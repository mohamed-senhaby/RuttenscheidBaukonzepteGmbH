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alcChain.xml" ContentType="application/vnd.openxmlformats-officedocument.spreadsheetml.calcChain+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d72a9a397d4b4a1f" /><Relationship Type="http://schemas.openxmlformats.org/officeDocument/2006/relationships/extended-properties" Target="/docProps/app.xml" Id="rId1" /><Relationship Type="http://schemas.openxmlformats.org/package/2006/relationships/metadata/core-properties" Target="/package/services/metadata/core-properties/5ac7a306e755401494ae00bd1b1a614e.psmdcp" Id="Re9ff64eb5d8e46a3"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2140" sheetId="1" r:id="rId2"/>
    <x:sheet name="Projektinfo" sheetId="2" r:id="rId3"/>
    <x:sheet name="Kalkulation" sheetId="3" r:id="rId4"/>
    <x:sheet name="Config" sheetId="4" state="veryHidden" r:id="rId5"/>
  </x:sheets>
  <x:definedNames>
    <x:definedName name="_xlnm.Print_Titles" localSheetId="0">'2140'!1:3</x:definedName>
  </x:definedNames>
  <x:calcPr calcId="125725"/>
</x:workbook>
</file>

<file path=xl/calcChain.xml><?xml version="1.0" encoding="utf-8"?>
<x:calcChain xmlns:x="http://schemas.openxmlformats.org/spreadsheetml/2006/main">
  <x:c r="B1" i="1"/>
  <x:c r="K5" i="1"/>
  <x:c r="K6" i="1"/>
  <x:c r="K7" i="1"/>
  <x:c r="K8" i="1"/>
  <x:c r="K9" i="1"/>
  <x:c r="K10" i="1"/>
  <x:c r="K11" i="1"/>
  <x:c r="K12" i="1"/>
  <x:c r="K13" i="1"/>
  <x:c r="K14" i="1"/>
  <x:c r="K15" i="1"/>
  <x:c r="K16" i="1"/>
  <x:c r="K17" i="1"/>
  <x:c r="K18" i="1"/>
  <x:c r="K19" i="1"/>
  <x:c r="K20" i="1"/>
  <x:c r="K21" i="1"/>
  <x:c r="K22" i="1"/>
  <x:c r="K23" i="1"/>
  <x:c r="K24" i="1"/>
  <x:c r="K25" i="1"/>
  <x:c r="K26" i="1"/>
  <x:c r="K27" i="1"/>
  <x:c r="K28" i="1"/>
  <x:c r="K29" i="1"/>
  <x:c r="K30" i="1"/>
  <x:c r="K31" i="1"/>
  <x:c r="K32" i="1"/>
  <x:c r="K33" i="1"/>
  <x:c r="K34" i="1"/>
  <x:c r="K35" i="1"/>
  <x:c r="K36" i="1"/>
  <x:c r="K37" i="1"/>
  <x:c r="K38" i="1"/>
  <x:c r="K39" i="1"/>
  <x:c r="K40" i="1"/>
  <x:c r="K41" i="1"/>
  <x:c r="K42" i="1"/>
  <x:c r="K43" i="1"/>
  <x:c r="K44" i="1"/>
  <x:c r="K45" i="1"/>
  <x:c r="G46" i="1"/>
  <x:c r="H46" i="1"/>
  <x:c r="J46" i="1"/>
  <x:c r="K46" i="1"/>
  <x:c r="G47" i="1"/>
  <x:c r="H47" i="1"/>
  <x:c r="J47" i="1"/>
  <x:c r="K47" i="1"/>
  <x:c r="G48" i="1"/>
  <x:c r="H48" i="1"/>
  <x:c r="J48" i="1"/>
  <x:c r="K48" i="1"/>
  <x:c r="G49" i="1"/>
  <x:c r="H49" i="1"/>
  <x:c r="J49" i="1"/>
  <x:c r="K49" i="1"/>
  <x:c r="G50" i="1"/>
  <x:c r="H50" i="1"/>
  <x:c r="J50" i="1"/>
  <x:c r="K50" i="1"/>
  <x:c r="G51" i="1"/>
  <x:c r="H51" i="1"/>
  <x:c r="J51" i="1"/>
  <x:c r="K51" i="1"/>
  <x:c r="H52" i="1"/>
  <x:c r="J52" i="1"/>
  <x:c r="K53" i="1"/>
  <x:c r="K54" i="1"/>
  <x:c r="G55" i="1"/>
  <x:c r="H55" i="1"/>
  <x:c r="J55" i="1"/>
  <x:c r="K55" i="1"/>
  <x:c r="G56" i="1"/>
  <x:c r="H56" i="1"/>
  <x:c r="J56" i="1"/>
  <x:c r="K56" i="1"/>
  <x:c r="G57" i="1"/>
  <x:c r="H57" i="1"/>
  <x:c r="J57" i="1"/>
  <x:c r="K57" i="1"/>
  <x:c r="G58" i="1"/>
  <x:c r="H58" i="1"/>
  <x:c r="J58" i="1"/>
  <x:c r="K58" i="1"/>
  <x:c r="G59" i="1"/>
  <x:c r="H59" i="1"/>
  <x:c r="J59" i="1"/>
  <x:c r="K59" i="1"/>
  <x:c r="G60" i="1"/>
  <x:c r="H60" i="1"/>
  <x:c r="J60" i="1"/>
  <x:c r="K60" i="1"/>
  <x:c r="G61" i="1"/>
  <x:c r="H61" i="1"/>
  <x:c r="J61" i="1"/>
  <x:c r="K61" i="1"/>
  <x:c r="G62" i="1"/>
  <x:c r="H62" i="1"/>
  <x:c r="J62" i="1"/>
  <x:c r="K62" i="1"/>
  <x:c r="G63" i="1"/>
  <x:c r="H63" i="1"/>
  <x:c r="J63" i="1"/>
  <x:c r="K63" i="1"/>
  <x:c r="G64" i="1"/>
  <x:c r="H64" i="1"/>
  <x:c r="J64" i="1"/>
  <x:c r="K64" i="1"/>
  <x:c r="G65" i="1"/>
  <x:c r="H65" i="1"/>
  <x:c r="J65" i="1"/>
  <x:c r="K65" i="1"/>
  <x:c r="G66" i="1"/>
  <x:c r="H66" i="1"/>
  <x:c r="J66" i="1"/>
  <x:c r="K66" i="1"/>
  <x:c r="G67" i="1"/>
  <x:c r="H67" i="1"/>
  <x:c r="J67" i="1"/>
  <x:c r="K67" i="1"/>
  <x:c r="G68" i="1"/>
  <x:c r="H68" i="1"/>
  <x:c r="J68" i="1"/>
  <x:c r="K68" i="1"/>
  <x:c r="G69" i="1"/>
  <x:c r="H69" i="1"/>
  <x:c r="J69" i="1"/>
  <x:c r="K69" i="1"/>
  <x:c r="G70" i="1"/>
  <x:c r="H70" i="1"/>
  <x:c r="J70" i="1"/>
  <x:c r="K70" i="1"/>
  <x:c r="G71" i="1"/>
  <x:c r="H71" i="1"/>
  <x:c r="J71" i="1"/>
  <x:c r="K71" i="1"/>
  <x:c r="G72" i="1"/>
  <x:c r="H72" i="1"/>
  <x:c r="J72" i="1"/>
  <x:c r="K72" i="1"/>
  <x:c r="G73" i="1"/>
  <x:c r="H73" i="1"/>
  <x:c r="J73" i="1"/>
  <x:c r="K73" i="1"/>
  <x:c r="G74" i="1"/>
  <x:c r="H74" i="1"/>
  <x:c r="J74" i="1"/>
  <x:c r="K74" i="1"/>
  <x:c r="G75" i="1"/>
  <x:c r="H75" i="1"/>
  <x:c r="J75" i="1"/>
  <x:c r="K75" i="1"/>
  <x:c r="G76" i="1"/>
  <x:c r="H76" i="1"/>
  <x:c r="J76" i="1"/>
  <x:c r="K76" i="1"/>
  <x:c r="G77" i="1"/>
  <x:c r="H77" i="1"/>
  <x:c r="J77" i="1"/>
  <x:c r="K77" i="1"/>
  <x:c r="G78" i="1"/>
  <x:c r="H78" i="1"/>
  <x:c r="J78" i="1"/>
  <x:c r="K78" i="1"/>
  <x:c r="H79" i="1"/>
  <x:c r="J79" i="1"/>
  <x:c r="K80" i="1"/>
  <x:c r="K81" i="1"/>
  <x:c r="G82" i="1"/>
  <x:c r="H82" i="1"/>
  <x:c r="J82" i="1"/>
  <x:c r="K82" i="1"/>
  <x:c r="G83" i="1"/>
  <x:c r="H83" i="1"/>
  <x:c r="J83" i="1"/>
  <x:c r="K83" i="1"/>
  <x:c r="G84" i="1"/>
  <x:c r="H84" i="1"/>
  <x:c r="J84" i="1"/>
  <x:c r="K84" i="1"/>
  <x:c r="G85" i="1"/>
  <x:c r="H85" i="1"/>
  <x:c r="J85" i="1"/>
  <x:c r="K85" i="1"/>
  <x:c r="H86" i="1"/>
  <x:c r="J86" i="1"/>
  <x:c r="H87" i="1"/>
  <x:c r="J87" i="1"/>
  <x:c r="K88" i="1"/>
  <x:c r="K89" i="1"/>
  <x:c r="G90" i="1"/>
  <x:c r="H90" i="1"/>
  <x:c r="J90" i="1"/>
  <x:c r="K90" i="1"/>
  <x:c r="G91" i="1"/>
  <x:c r="H91" i="1"/>
  <x:c r="J91" i="1"/>
  <x:c r="K91" i="1"/>
  <x:c r="H92" i="1"/>
  <x:c r="J92" i="1"/>
  <x:c r="K93" i="1"/>
  <x:c r="K94" i="1"/>
  <x:c r="G95" i="1"/>
  <x:c r="H95" i="1"/>
  <x:c r="J95" i="1"/>
  <x:c r="K95" i="1"/>
  <x:c r="G96" i="1"/>
  <x:c r="H96" i="1"/>
  <x:c r="J96" i="1"/>
  <x:c r="K96" i="1"/>
  <x:c r="G97" i="1"/>
  <x:c r="H97" i="1"/>
  <x:c r="J97" i="1"/>
  <x:c r="K97" i="1"/>
  <x:c r="H98" i="1"/>
  <x:c r="J98" i="1"/>
  <x:c r="K99" i="1"/>
  <x:c r="K100" i="1"/>
  <x:c r="K101" i="1"/>
  <x:c r="G102" i="1"/>
  <x:c r="H102" i="1"/>
  <x:c r="J102" i="1"/>
  <x:c r="K102" i="1"/>
  <x:c r="G103" i="1"/>
  <x:c r="H103" i="1"/>
  <x:c r="J103" i="1"/>
  <x:c r="K103" i="1"/>
  <x:c r="K104" i="1"/>
  <x:c r="G105" i="1"/>
  <x:c r="H105" i="1"/>
  <x:c r="J105" i="1"/>
  <x:c r="K105" i="1"/>
  <x:c r="G106" i="1"/>
  <x:c r="H106" i="1"/>
  <x:c r="J106" i="1"/>
  <x:c r="K106" i="1"/>
  <x:c r="G107" i="1"/>
  <x:c r="H107" i="1"/>
  <x:c r="J107" i="1"/>
  <x:c r="K107" i="1"/>
  <x:c r="G108" i="1"/>
  <x:c r="H108" i="1"/>
  <x:c r="J108" i="1"/>
  <x:c r="K108" i="1"/>
  <x:c r="H109" i="1"/>
  <x:c r="J109" i="1"/>
  <x:c r="K110" i="1"/>
  <x:c r="G111" i="1"/>
  <x:c r="H111" i="1"/>
  <x:c r="J111" i="1"/>
  <x:c r="K111" i="1"/>
  <x:c r="G112" i="1"/>
  <x:c r="H112" i="1"/>
  <x:c r="J112" i="1"/>
  <x:c r="K112" i="1"/>
  <x:c r="G113" i="1"/>
  <x:c r="H113" i="1"/>
  <x:c r="J113" i="1"/>
  <x:c r="K113" i="1"/>
  <x:c r="G114" i="1"/>
  <x:c r="H114" i="1"/>
  <x:c r="J114" i="1"/>
  <x:c r="K114" i="1"/>
  <x:c r="G115" i="1"/>
  <x:c r="H115" i="1"/>
  <x:c r="J115" i="1"/>
  <x:c r="K115" i="1"/>
  <x:c r="G116" i="1"/>
  <x:c r="H116" i="1"/>
  <x:c r="J116" i="1"/>
  <x:c r="K116" i="1"/>
  <x:c r="G117" i="1"/>
  <x:c r="H117" i="1"/>
  <x:c r="J117" i="1"/>
  <x:c r="K117" i="1"/>
  <x:c r="G118" i="1"/>
  <x:c r="H118" i="1"/>
  <x:c r="J118" i="1"/>
  <x:c r="K118" i="1"/>
  <x:c r="G119" i="1"/>
  <x:c r="H119" i="1"/>
  <x:c r="J119" i="1"/>
  <x:c r="K119" i="1"/>
  <x:c r="H120" i="1"/>
  <x:c r="J120" i="1"/>
  <x:c r="K121" i="1"/>
  <x:c r="K122" i="1"/>
  <x:c r="G123" i="1"/>
  <x:c r="H123" i="1"/>
  <x:c r="J123" i="1"/>
  <x:c r="K123" i="1"/>
  <x:c r="G124" i="1"/>
  <x:c r="H124" i="1"/>
  <x:c r="J124" i="1"/>
  <x:c r="K124" i="1"/>
  <x:c r="G125" i="1"/>
  <x:c r="H125" i="1"/>
  <x:c r="J125" i="1"/>
  <x:c r="K125" i="1"/>
  <x:c r="G126" i="1"/>
  <x:c r="H126" i="1"/>
  <x:c r="J126" i="1"/>
  <x:c r="K126" i="1"/>
  <x:c r="G127" i="1"/>
  <x:c r="H127" i="1"/>
  <x:c r="J127" i="1"/>
  <x:c r="K127" i="1"/>
  <x:c r="G128" i="1"/>
  <x:c r="H128" i="1"/>
  <x:c r="J128" i="1"/>
  <x:c r="K128" i="1"/>
  <x:c r="G129" i="1"/>
  <x:c r="H129" i="1"/>
  <x:c r="J129" i="1"/>
  <x:c r="K129" i="1"/>
  <x:c r="H130" i="1"/>
  <x:c r="J130" i="1"/>
  <x:c r="H131" i="1"/>
  <x:c r="J131" i="1"/>
  <x:c r="H132" i="1"/>
  <x:c r="J132" i="1"/>
  <x:c r="I133" i="1"/>
  <x:c r="J133" i="1"/>
  <x:c r="J134" i="1"/>
  <x:c r="E2" i="3"/>
  <x:c r="E3" i="3"/>
  <x:c r="E4" i="3"/>
  <x:c r="E5" i="3"/>
  <x:c r="E6" i="3"/>
  <x:c r="E7" i="3"/>
  <x:c r="E8" i="3"/>
  <x:c r="E9" i="3"/>
  <x:c r="E10" i="3"/>
  <x:c r="E11" i="3"/>
  <x:c r="E12" i="3"/>
  <x:c r="E13" i="3"/>
  <x:c r="E14" i="3"/>
  <x:c r="E15" i="3"/>
  <x:c r="E16" i="3"/>
  <x:c r="E17" i="3"/>
  <x:c r="E18" i="3"/>
  <x:c r="E19" i="3"/>
  <x:c r="E20" i="3"/>
  <x:c r="E21" i="3"/>
  <x:c r="E22" i="3"/>
  <x:c r="E23" i="3"/>
  <x:c r="E24" i="3"/>
  <x:c r="E25" i="3"/>
  <x:c r="E26" i="3"/>
  <x:c r="E27" i="3"/>
  <x:c r="E28" i="3"/>
  <x:c r="E29" i="3"/>
  <x:c r="E30" i="3"/>
  <x:c r="E31" i="3"/>
  <x:c r="E32" i="3"/>
  <x:c r="E33" i="3"/>
  <x:c r="E34" i="3"/>
  <x:c r="E35" i="3"/>
  <x:c r="E36" i="3"/>
  <x:c r="E37" i="3"/>
  <x:c r="E38" i="3"/>
  <x:c r="E39" i="3"/>
  <x:c r="E40" i="3"/>
  <x:c r="E41" i="3"/>
  <x:c r="E42" i="3"/>
  <x:c r="E43" i="3"/>
  <x:c r="E44" i="3"/>
  <x:c r="E45" i="3"/>
  <x:c r="E46" i="3"/>
  <x:c r="E47" i="3"/>
  <x:c r="E48" i="3"/>
  <x:c r="E49" i="3"/>
  <x:c r="E50" i="3"/>
  <x:c r="E51" i="3"/>
  <x:c r="E52" i="3"/>
  <x:c r="E53" i="3"/>
  <x:c r="E54" i="3"/>
  <x:c r="E55" i="3"/>
  <x:c r="E56" i="3"/>
  <x:c r="E57" i="3"/>
  <x:c r="E58" i="3"/>
  <x:c r="E59" i="3"/>
  <x:c r="E60" i="3"/>
  <x:c r="E61" i="3"/>
  <x:c r="E62" i="3"/>
</x:calcChain>
</file>

<file path=xl/sharedStrings.xml><?xml version="1.0" encoding="utf-8"?>
<x:sst xmlns:x="http://schemas.openxmlformats.org/spreadsheetml/2006/main">
  <x:si>
    <x:t>Projektname</x:t>
  </x:si>
  <x:si>
    <x:t>MwSt.</x:t>
  </x:si>
  <x:si>
    <x:t>Typ</x:t>
  </x:si>
  <x:si>
    <x:t>Ordnungszahl</x:t>
  </x:si>
  <x:si>
    <x:t>Kurztext</x:t>
  </x:si>
  <x:si>
    <x:t>Langtext</x:t>
  </x:si>
  <x:si>
    <x:t>Menge</x:t>
  </x:si>
  <x:si>
    <x:t>Einheit</x:t>
  </x:si>
  <x:si>
    <x:t>Einheitspreis</x:t>
  </x:si>
  <x:si>
    <x:t>Nachlass</x:t>
  </x:si>
  <x:si>
    <x:t>Gesamtpreis</x:t>
  </x:si>
  <x:si>
    <x:t>Preis nach Nachlass</x:t>
  </x:si>
  <x:si>
    <x:t>Leistungsbeschreibung</x:t>
  </x:si>
  <x:si>
    <x:t>ABBRUCHARBEITEN</x:t>
  </x:si>
  <x:si>
    <x:t>Gruppe</x:t>
  </x:si>
  <x:si>
    <x:t>01.</x:t>
  </x:si>
  <x:si>
    <x:t>LV: ABBRUCHARBEITEN</x:t>
  </x:si>
  <x:si>
    <x:t>Hinweistext</x:t>
  </x:si>
  <x:si>
    <x:t>1 Vortext</x:t>
  </x:si>
  <x:si>
    <x:t>ffe1cb5e-8540-4835-97d2-24b768e06d00</x:t>
  </x:si>
  <x:si>
    <x:t>1.1 Beschreibung der Baumaßnahme</x:t>
  </x:si>
  <x:si>
    <x:t>1.1 Beschreibung der Baumaßnahme
Die Stadtverwaltung Wesel - Fachbereich Gebäude-
service plant auf den Rückbau des eingeschossigen, ehemaligen Hallenbades In den Plenken 3 in 46487 Wesel.
Gegenstand der vorliegenden Ausschreibung sind Leistungen im Bereich
- Entkernung einschl. Separierung schadstoffhaltiger
  Materialien
- Rückbau
- Entsorgung
- Verfüllen Baugrube
einschließlich aller zur Erreichung des Erfolges der Rückbaumaßnahme notwendiger begleitender Maß-
nahmen.</x:t>
  </x:si>
  <x:si>
    <x:t>f0377b39-c437-41ba-95c3-867544038834</x:t>
  </x:si>
  <x:si>
    <x:t>1.2  Termine</x:t>
  </x:si>
  <x:si>
    <x:t>1.2  Termine
Bauseitig ist eine maximale Bauzeit von insgesamt
3 Monaten (Beginn Baustelleneinrichtung bis
Übergabe) vorgegeben.</x:t>
  </x:si>
  <x:si>
    <x:t>4551a6a3-cb98-45c5-9d40-65cdd29e47e2</x:t>
  </x:si>
  <x:si>
    <x:t>1.3 Normen/Vorschriften</x:t>
  </x:si>
  <x:si>
    <x:t>1.3 Normen/Vorschriften
Die nachstehend in alphabetischer Reihenfolge aufgeführtenGesetze, Vorschriften, Regelwerke,
Normen, technischen Regeln und Bestimmungen
sind bei den jeweils betroffenen Arbeiten u.a.
zu beachten:
- Allgemeine Verwaltungsvorschrift zum Schutz
  gegen Baulärm, ndash; Geräuschimmissionen ndash; vom
  19. August 1970 (Bundesanzeiger Nr. 160 vom
  1. September 1970)
- Anforderungen an das Aufbringen und Einbringen
  von Materialien auf oder in den Boden gemäß sect; 12
  Bundes-Bodenschutz und Altlastenverordnung,
  LUA Merkblätter Nr. 44, Landesumweltamt 2004
- Arbeitsstätten-Richtlinie (ASR)
- Arbeitsstättenverordnung (ArbStättV)
- aktuelle berufsgenossenschaftliche Regelungen
- Bundes-Bodenschutz- und Altlastenverordnung
  (BBodSchV) vom 12.07.1999
- Bundes-Immissionsschutzgesetz, Gesetz zum Schutz vor
  schädlichen Umwelteinwirkungen durch Luftver-
  unreinigungen, Geräusche, Erschütterungen und
  ähnliche Vorgänge vom 26. September 2002 (BImSchG)
- DIN 4150 Erschütterungen im Bauwesen
- DIN 4420: Verwendung von Arbeitsgerüsten
- Europäisches Übereinkommen über die internationale
  Beförderung gefährlicher Güter auf der Straße Fassung   vom 20.09.2005 (ADR)
- Gefahrgutverordnung Straße und Eisenbahn) Verordnung
  über die innerstaatliche und grenzüberschreitende
  Beförderung gefährlicher Güter auf der Straße und mit   der Eisenbahn (GGVSE)
- Gefahrgutvorschriften Straße (GGVS) / Ausführungs-
  vorschriften (RS 002)
- Geräte- und Maschinenlärmschutzverordnung
  (2000/14/EG), Fassung vom 29.8.2002
- Ersatzbaustoff-Verordnung vom 01.08.2023
- LAGA-Merkblatt: Anforderungen an die stoffliche
  Verwertung von mineralischen Reststoffen/Abfällen -
  Technische Regeln, Mitteilung der Länderarbeits-
  gemeinschaft Abfall (LAGA) Nr. 20, Stand 6. November
  2003
- StVO / RSA
- TASi: Technische Anleitung zur Verwertung, Behandlung   und sonstiger Entsorgung von Siedlungsabfällen
  (sect; 4 Abs. 5 AbfG) vom 1. Juni 1993
- Technische Anleitung zum Schutz gegen Lärm
  Sechste Allgemeine Verwaltungsvorschrift zum
  Bundes-Immissionsschutzgesetz vom 26. August 1998
  (TA Lärm)
- TRGS 400: Ermitteln und Beurteilen der Gefährdungen
  durch Gefahrstoffe am Arbeitsplatz
- TRGS 420: Verfahrens- und stoffspezifische Kriterien
  (VSK) für die Gefährdungsbeurteilung
- TRGS 521: Technische Regel für Gefahrstoffendash;
  Faserstäube, Ausgabe Mai 2002
- TRGS 551: Teer und Pyrolyseprodukte
- TRGS 555: Betriebsanweisung und Unterweisung
- TRGS 900: Maximale Arbeitsplatzkonzentrationen und
  biologische Arbeitsstofftoleranzwerte (MAK-Werte)
- TRGS 905: Technische Regel für Gefahrstoffe 905,
  Verzeichnis krebserzeugender, erbgutverändernder oder
  fortpflanzungsgefährdender Stoffe
- UVV BGV A1: Grundsätze der Prävention
- Verordnung über Anforderungen an die Verwertung und
  Beseitigung von Altholz (Altholzverordnung ndash;
  AltholzV), vom 15. August 2002
- Verordnung über das Europäische Abfallverzeichnis /
  Abfallverzeichnisverordnung (AVV) vom 10.12.2001,
  zuletzt geändert durch Verordnung vom 24.7.2002
- Verordnung über Sicherheit und Gesundheitsschutz auf
  Baustellen (BaustellV) vom 10.06.1998 (Fassung vom
  23. Dezember 2004)
- Verordnung über Sicherheit und Gesundheitsschutz bei    Tätigkeiten mit biologischen Arbeitsstoffen
  (BioStoffV)
- Verordnung über Verwertungs- und  Beseitigungs-
  nachweise (NachwV), Fassung vom 17.6.2002
- Verordnung zum Schutz vor Gefahrstoffen
  (Gefahrstoffverordnung - GefStoffV) vom 23. Dezember
  2004 (BGBl. I S. 3758, 3759), zuletzt geändert durch
  Artikel 4 der Verordnung vom 6. März 2007 (BGBl. I
  S. 261)
- Verordnung zur Transportgenehmigung (TGV) vom
  10.09.1996
- VGB 113: Umgang mit krebserzeugenden Stoffen
- VOB Vergabe- und Vertragsordnung für Bauleistungen</x:t>
  </x:si>
  <x:si>
    <x:t>311833cd-8f21-41f1-9aba-087fc9e5903b</x:t>
  </x:si>
  <x:si>
    <x:t>2 Örtliche Verhältnisse und Bestand</x:t>
  </x:si>
  <x:si>
    <x:t>5f7cd5a6-1566-4b26-be3f-23739e5ea2b9</x:t>
  </x:si>
  <x:si>
    <x:t>2.1 Vorbemerkungen</x:t>
  </x:si>
  <x:si>
    <x:t>2.1 Vorbemerkungen
Das gegenständlich rückzubauenden Gebäude
liegt auf dem Gelände der Theodor-Heuss-Grund-
schule, In den Plenken 3 in 46487 Wesel.
Das ehemalige Hallenbad ist als Bestandteil des  Schulobjektes mit dem Schulgebäude verflochten
und befindet sich in einem reinen Wohngebiet.
Die Straße In den Plenken ist eine Sackgasse.
Die Leistung umfasst den Rückbau folgendes Gebäudes:
- ein 1-geschossiges Hallenbad, über einen Flur an das
  Haupt-Schulgebäude angeschlossen
Das Gebäude ist baulich vom Hauptgebäude getrennt
und mit einem Kriechkeller unterkellert. Der Rückbau umfasst das gesamte Gebäude einschl. der Bodenplatte
und Fundamente sowie die Entflechung im Bereich des
Flures.
Es handelt sich bei dem rückzubauenden Gebäude-
bestand um insgesamt ca. 800 m² bebaute Grund-
fläche mit ca. 4.000 m³ BRI.
Das rückzubauende Gebäude grenzt an das
Schulgebäude und verfügt über einen separaten
Eingang über den Weg zwischen den angrenzenden
Wohnhäusern In den Plenken 9 und 17.
Baualtersbedingt leitet sich grundsätzlich ein Potential bzw. Varianz an schadstoffhaltigen
Bauteilen und Installationen (Asbest-, KMF-,
PCB-, PCP-, PAK-haltig) ab.</x:t>
  </x:si>
  <x:si>
    <x:t>9e2f60e1-11d1-4140-bb9d-e7e1168f4948</x:t>
  </x:si>
  <x:si>
    <x:t>2.2 Lage / Nutzung / Baulichkeiten</x:t>
  </x:si>
  <x:si>
    <x:t>0ded0a02-756f-48c1-a0ef-a1a0b62dcdbe</x:t>
  </x:si>
  <x:si>
    <x:t>2.2.1 Lage und Außenflächen</x:t>
  </x:si>
  <x:si>
    <x:t>2.2.1 Lage und Außenflächen
Das rückzubauende Gebäude befindt sich auf dem
Gelände der Theodor-Heuss-Grundschule Bislich.
Die Zufahrt erfolgt über die Straße In den Plenken.
Die umgebende Bebauung ist durch Wohnbebauung
und den angrenzenden Rheinwiesen gekennzeichnet.
Die Baulichkeiten grenzen unmittelbar an das
Schulgebäude.
Die Außenflächen sind weitgehend begrünt und mit
einem hohen Baumbestand auf der Nord- und Westseite versehen. Die Zuwegung von der Straße In den Plenken ist mit einem Pflasterbelag ausgeführt.
Der Abstand der Gebäude zur umgebenden Bebauung
liegt bei:
Hallenbad - Schulgebäude: angebaut
Unterrichtsgebäude: ca. 5 m
Darüber hinaus befindet angrenzend ein überdachter
Bereich.
In der als Anlage beigefügten Fotodokumentation sind
die Gebäude nochmals dargestellt.</x:t>
  </x:si>
  <x:si>
    <x:t>43cb33c6-2b8e-4a75-8abc-4bccfe72ca7b</x:t>
  </x:si>
  <x:si>
    <x:t>2.2.2 Gebäudebestand, -bauweise und -daten</x:t>
  </x:si>
  <x:si>
    <x:t>2.2.2 Gebäudebestand, -bauweise und -daten
Die durch Aktenauswertungen und Objektbegehungen ermittelten Angaben zur Größe und Ausführung der vorhandenen Bauwerke sind nachfolgend in Kürze zusammengefasst.
Die Fotodokumentation in Anlage gibt neben zahlreichen Gebäudedetails auch Außenansichten der vorhandenen Bebauung wieder.
Die gebäudespezifischen Informationen zur Länge, Breite, Höhe, Bruttorauminhalt (BRI) und Bauweise sind den Angaben im Titel 1.4 LV zu entnehmen.</x:t>
  </x:si>
  <x:si>
    <x:t>0e2a0f50-a514-49f9-bbf6-8912c82c7ecd</x:t>
  </x:si>
  <x:si>
    <x:t>2.3 Rahmenbedingungen und Zwangspunkte</x:t>
  </x:si>
  <x:si>
    <x:t>2.3 Rahmenbedingungen und Zwangspunkte
Aus den baulichen Gegebenheiten, den lokalen Rand-
bedingungen der Bauschadstofferhebung sowie den
Zwängen aus dem Projekt ergeben sich folgende besonderen Rahmenbedingungen für den Rückbau:
- Die einzige nutzbare Freifläche befindet sich vor
  dem Gebäude auf der Zuwegung von der Straße
  In den Plenken (zwischen den Häusern Nr. 9 und 17).
  Der Aufbau einer Brecheranlage ist daher nicht
  möglich, das mineralische Abbruchmaterial ist daher
  mit LKWs abzutransportieren.
- Bedingt durch die enge Straßenführung ist eine
  Regelung der Verkehrsführung zur Materialabfuhr
  notwendig.
- Baubedingt notwendige Eingriffe in den anliegenden
  Verkehrsraum (Fußgänger, Radfahrer, PKW-Verkehr)
  müssen räumlich und zeitlich stark eingegrenzt
  werden.</x:t>
  </x:si>
  <x:si>
    <x:t>92eb0f85-aa6f-4830-86ed-6828a5f4a106</x:t>
  </x:si>
  <x:si>
    <x:t>3 Schadstoffbestand</x:t>
  </x:si>
  <x:si>
    <x:t>f590a511-fec9-4d6b-8fff-3fee7c40ba9a</x:t>
  </x:si>
  <x:si>
    <x:t>3.1 Übersicht Bestand Analytik Bausubstanz</x:t>
  </x:si>
  <x:si>
    <x:t>3.1 Übersicht Bestand Analytik Bausubstanz
Dem Bieter stehen zur näheren Information die Ergebnisse der Probeentnahmen und der chemischen Analysen der mineralischen und nicht mineralischen Bausubstanz zur Verfügung.
Die Ergebnisse der laboranalytischen Untersuchungen sind tabellarisch nach Untersuchungsmedium sowie nach Einzelparameter und Untersuchungspakete geordnet in den Anlagen dargestellt.
Die chemischen Untersuchungsergebnisse sind den entsprechenden Zuordnungswerten der LAGA sowie sonstigen Bewertungsgrundlagen gegenüber gestellt
und Überschreitungen bzw. Nachweise markiert.
Alle entnommenen Proben sowie relevante Ergebnisse / erhöhte Schadstoffgehalte sind in den Anlagen dar-
gestellt.
Es wird ausdrücklich darauf hingewiesen, dass die ermittelten Untersuchungsergebnisse der Bausub-
stanz, insbesondere die zur Deklaration gemäß LAGA aufgrund der stichprobenartigen Beprobung und begrenzten Probenahmemöglichkeiten nur als
orientierend bzw. näherungsweise zu verstehen sind.
Sie ersetzen nicht die für die endgültige Verwertung bzw. Beseitigung der Abfälle grundsätzlich notwendige repräsentative Beprobung und umfängliche Deklarations- und Kontrollanalytik (ErsatzbaustoffV, LAGA, TA Abfall) anfallender Bauschuttmassen, bei denen sich zudem je nach bieterabhängigem Entsorgungsweg, die Notwendigkeit zur Untersuchung weiterer, besonderer Parameter
ergeben kann.
Daher ist der AN gehalten, im Zuge der Bauaus-
führung vor Ort anfallende Bauschuttmassen in Eigenverantwortung nach Notwendigkeit beproben
und dahingehend untersuchen zu lassen.
Die Probenahme wird durch die örtliche Bauüber-
wachung überwacht. Alle weitergehenden Analysen
im Rahmen von Deklaration-, Kontroll- und Annahme-
überwachung sind vom AN eigenverantwortlich zu erbringen und in die Einheitspreise mit einzu-
kalkulieren.</x:t>
  </x:si>
  <x:si>
    <x:t>501b9ce1-435d-4a51-8397-8e59f67fc025</x:t>
  </x:si>
  <x:si>
    <x:t>3.1.1 Proben und Laboranalysen Materialproben Bausubstanz</x:t>
  </x:si>
  <x:si>
    <x:t>3.1.1 Proben und Laboranalysen Materialproben Bausubstanz
Die Ergebnisse der Materialprobenuntersuchung
sind der Anlage zu entnehmen.</x:t>
  </x:si>
  <x:si>
    <x:t>f8b3d74c-8b68-455a-95f3-113f8b911e9b</x:t>
  </x:si>
  <x:si>
    <x:t>3.2 Ergebnisse der laboranalytischen Untersuchungen</x:t>
  </x:si>
  <x:si>
    <x:t>3.2 Ergebnisse der laboranalytischen Untersuchungen
Neben an dieser Stelle nicht aufgeführten üblichen
und in den Gebäuden umfänglich verbauten schad-
und störstoffhaltigem Inventar bzw. Bausubstanz
(wie z.B. KMF-Dämmungen, behandeltes Holz,
bituminöse Eindachungen, Bauabfall etc.) lassen
sich auf Basis der zahlreichen Gebäudesubstanz-
und Schadstoffanalysen eine signifikanten Schad-
stoffbelastung mit asbesthaltigen Kitten und
Plattenmaterial hervorheben.</x:t>
  </x:si>
  <x:si>
    <x:t>9e2c596c-616e-4e4b-ada1-d19c064ee4a6</x:t>
  </x:si>
  <x:si>
    <x:t>4 Rückbau</x:t>
  </x:si>
  <x:si>
    <x:t>24c5193a-87ff-4b84-b861-0d295293c293</x:t>
  </x:si>
  <x:si>
    <x:t>4.1 Übersicht / Ablauf</x:t>
  </x:si>
  <x:si>
    <x:t>4.1 Übersicht / Ablauf
Der nachfolgend beschriebene Verfahrensablauf
ist als unverbindlicher Vorschlag zu verstehen und entbindet den Bieter nicht von einer eigenen Prüfung.
Der AN ist aufgefordert, eine eigene Rückbaukonzeption
zu entwickeln.
Phase 0: vorbereitende Tätigkeiten
Vor dem Beginn der Rückbauarbeiten werden auf Veranlassung des Bauherren folgende Arbeiten durchgeführt:
- Umlegung von Versorgungsleitungen, die möglicher-
  weise im Bereich der Abbrüche liegen
- Abrüstung von Medien aus dem Rückbauobjekt
Phase 1: Baustelleneinrichtung
Zu Beginn des Rückbaus erfolgt die Baustellen-
einrichtung. Hierfür steht zunächst nur begrenzt Platz zur Verfügung, da ein Großteil des Areals begrünt ist.
Phase 2: Schadstoffsanierung/Entkernung
In der Phase 2 erfolgt vollflächig die Schadstoff-
sanierung und Entkernung des Gebäudes.
Die demontierten und separierten Stör- und Schad-
stoffe sind jeweils unverzüglich zu verpacken und in geeigneten Containern abzufahren.
Die weiteren demontierten und separierten Baustoffe
und Elemente sind zu zentralisieren, jeweils in geeignete Container zu verpacken und abzufahren.
Phase 3: Rückbau Gebäude
In der Phase 3 erfolgt der Rückbau der entkernten / sanierten Bausubstanz.
Der Abbruch erfolgt abschnittsweise, das Material wird vorkonditioniert. Die Schutzabstände sind zu beachten.</x:t>
  </x:si>
  <x:si>
    <x:t>2baff221-32db-4bab-bac9-6300bafd361c</x:t>
  </x:si>
  <x:si>
    <x:t>4.2 Abbruchvorbreitende Maßnahmen</x:t>
  </x:si>
  <x:si>
    <x:t>4.2 Abbruchvorbreitende Maßnahmen
4.2.1 Grundsätze
Beim Abbruch der Gebäude ohne vorherige Demontage / Separation von
- Anlagen / Installationen
- verschiedenen Baumaterialien
- unterschiedlich verunreinigten Bauteilen
besteht die Gefahr der Schadstofffreisetzung und -verschleppung.
Dies kann neben möglichen Emissionen mit den daraus folgenden Gefährdungen für Mensch und Grundwasser
auch zu vermischungsbedingten Entsorgungsein-
schränkungen, Verstößen gegen das Abfallrecht und den damit verbundenen Mehrkosten führen.
Die Abbrucharbeiten der Gebäude und Anlagen sind derart durchzuführen, dass die unterschiedlichen Materialien hinsichtlich relevanter chemisch-physikalischer Eigenschaften und ihrer entsorgungswegsspezifischen
Deklaration nicht vermischt werden.
Es ist zu unterbinden, dass problematische Materialien / Stoffe zu einer kostenintensiven Verunreinigung un-
problematischer Stoffe führen. Weiterhin ist sicherzu-
stellen, dass gefährliche Stoffe bei Abbruch, Lagerung und Transport nicht freigesetzt werden. Um dies zu gewährleisten, ist bei den Abbrucharbeiten eine Sepa-
ration durchzuführen, welche sich in die nachfolgenden drei Hauptgruppen unterteilen lässt:
- Separierung von materialspezifisch bedingt (primär)    "belasteten" Baumaterialien oder Anlagen (z.B. asbest-
  haltige Kitte und Plattenmaterialien, KMF-haltige
  Materialien, und Installationen etc.)
- Separierung von nicht i.e.S. belasteten, jedoch auf
  Grund ihrer materialspezifischen Eigenschaften
  aufgrund unterschiedlicher Entsorgungswege vom
  übrigen Abbruchgut (Bauschutt) getrennt rückzu-
  bauenden Materialien (Konstruktionshölzer, sonstige
  Dämmstoffe, Isoliermaterialien, "Leichtbausubstanz"
  etc.)
Um eine solche Separation zu gewährleisten, sind vom
AN weite Teile der Abbrucharbeiten als geordnete De-
montage- und Separationsarbeiten unter definierten Sicherheitsanforderungen durchzuführen.
Soweit es sich nicht um bekannte, weitgehend "standardisierte" Produkte (z.B. Gipskarton, Heraklith, Kunststoffverkleidungen, KMF, bituminöse Materialen
mit bereits analysierten PAKGehalten, oder "mono-
strukturell" beschaffene, beseitigungspflichtige
Schadstoff-Abfälle wie KMF etc.) handelt, sind insbesondere mineralische, für eine mögliche Ver-
wertung vorgesehene Abfälle (z.B. Estriche und
sonstige mineralische Bodenbeläge) vom AN getrennt
zu halten, für die endgültige Deklaration zu beproben und zu analysieren. Die verpackten Chargen sind vor Ort gemäß des Schadstoffe und Art des Inhaltszweifelsfrei auszuschildern.
Der AN hat hierzu eigenverantwortlich diese Abfälle auf dem Gelände bis zur Klärung des endgültigen Ent-
sorgungswegs getrennt vorzuhalten. Die Vorhaltung und alle baustelleninternen Lade- und Transportvorgänge sowie alle mit dem Entsorgungsweg des AN zusammen-
hängenden, notwendigen Probenahmen zur Deklaration, bauzeitlichen Kontrolle und Annahmekontrolle, sind, soweit nicht anders benannt, in die Einheitspreise / Pauschalen der Demontage-, Separations- und
Sanierungsleistungen.
Die analytischen Leistungen für die Deklaration bauzeitlichen Kontrolle und Annahmekontrolle sind Auftragsgegenstand und werden nicht zusätzlich
vergütet.
Die Arbeiten gemäß Titel 1.2 sind durch den AN unter fachgerechter Separation und in vollständigem Umfang
so durchzuführen, dass beim Rückbau der entkernten Gebäude keine Schad- und Störstoffe mehr vorhanden sind, die die Verwertungsfähigkeit kostenseitig beeinträchtigen.
Entsorgungsbedingte Massen- und Kostenmehrungen,
die im Rahmen der ausgeschriebenen Leistungen auf schuldhaft unzureichende Sanierungs-, Entkernungs-
und Separationsarbeiten zurückzuführen sind, gehen
zu Lasten des AN.
4.2.2 Vorgezogene Schadstoffsanierungen und
Demontagen
Soweit auf Basis der bauseitig durchgeführten Unter-
suchungen zur Schadstoffsituation bekannt, sind alle nicht gesondert aufgeführten Demontage- und Separations
-arbeiten grundsätzlich Gegenstand des Titels 1.4 (Entkernung). Eine zusätzliche Vergütung, z.B. für abweichende Bauweisen oder weitere als z.B. die im LV
genannten Bodenbeläge erfolgt nicht.
4.2.3 Entkernung, Anlagen- und Installationsdemontage
Die Entkernung, Anlagen und Installationsdemontage sind im Titel 1.4 als Pauschalen auf Basis des umbauten Raums je Gebäude anzubieten.
Die aufgeführten Angaben zu haustechnischen
Anlagen erfassen nur einen Teil der verbauten Haustechnik und ihrer Installationen. Sie sind vom
AN zur orientierenden Abschätzung zu verwenden.
4.2.4 Interne Materialtransporte
Die für die Zentralisierung der bei der Entkernung und Sanierung in umfangreichen Mengen anfallenden Abfälle sind auf Grund der beengten Platzverhältnisse jeweils
unverzüglich abzufahren.
Die Abfälle sind vor Witterung und unbefugte Zugriffe geschützt in Containern vorzuhalten und abzufahren.</x:t>
  </x:si>
  <x:si>
    <x:t>b3ef1afa-68b7-4ced-bd04-d0e6756daa75</x:t>
  </x:si>
  <x:si>
    <x:t>4.3 Rückbau der entkernten Bausubstanz</x:t>
  </x:si>
  <x:si>
    <x:t>4.3 Rückbau der entkernten Bausubstanz
Die vom AN spezifisch einzuhaltenden Arbeits-
und Emissionsschutzmaßnahmen sind im LV zusammengefasst.
Der Rückbau ist im Titel 1.5 als Pauschalen auf
Basis des umbauten Raums je Gebäude anzu-
bieten und versteht sich ausschließlich Unter-
kellerung und Streifenfundamentierung sowie
restlicher nicht durchführbarer Demontage- und Separationsleistungen.
Die Vorhaltung und alle baustelleninternen Lade-
und Transportvorgänge sind, sowie alle mit dem Entsorgungsweg des AN zusammenhängenden,
notwendigen Probenahmen zur Deklaration,
bauzeitlichen Kontrolle und Annahmekontrolle,
soweit nicht anders benannt, in die Einheitspreise / Pauschalen für den Rückbau einzurechnen.
Die analytischen Leistungen für die Deklaration
bauzeitlichen Kontrolle und Annahmekontrolle sind Gegenstand der Entsorgungsleistungen.
Ohne Keller und Fundamentierung sind Baulichkeiten mit geschätzten rd. 4.000 m³ BRI zurückzubauen.
4.3.1 Abbruchverfahren
Bei der Wahl der Abbruchverfahren ist darauf zu achten, dass möglichst emissionsarm gearbeitet wird. Erschütterungen und Lärm sind dadurch zu minimieren, dass keine schlagenden Abbruchverfahren (Zerschlagen von Bauteilen mittels an Seilen geführter Stahlmasse) verwendet werden. Die aufgehenden Gebäudeteile sind
bei der Wahl von konventionellen Rückbauverfahren durch Abgreifen, Eindrücken oder Einziehen abgebrochen,
massive Bauteile und Fundamente durch Pressschneiden
bzw. Scherschneiden und Stemmen abzubrechen.
Die übermäßige Entwicklung von Staub ist durch Niederschlagen mittels Wasser zu vermeiden.
Die Wahl des Abbruchverfahrens sowie der dabei einzusetzenden Geräte ist Sache des AN und wird
durch die Bauüberwachung des Bauherren kontrolliert.</x:t>
  </x:si>
  <x:si>
    <x:t>cf17d9b3-bc65-434e-ba4f-2f6408e0c841</x:t>
  </x:si>
  <x:si>
    <x:t>4.4 Materialvorhaltung</x:t>
  </x:si>
  <x:si>
    <x:t>4.4 Materialvorhaltung
Der AN hat das anfallenden Abfälle und verwert-
baren Güter aus der Schadstoffsanierung, Ent-
kernung und dem Rückbau eigenverantwortlich,
soweit bei den jeweiligen Bauphasen möglich,
auf dem Gelände oder auf einem genehmigten
externen Vorhaltungsort nach Wahl des AN eigenverantwortlich bis zur Freigabe des end-
gültigen Entsorgungswegs fachgerecht, getrennt
nach Abfallart und Materialien und Kontaminations-
grade und gegen schädliche Emissionen gesichert
so vorzuhalten, dass eine unzulässige Vermischung verhindert wird.
Maßgeblich sind die Vorgaben, die aus den Anlagen  sowie aus den Klassifikationen resultieren.
Für den Bauschutt gilt, soweit bautechnisch möglich und gemäß vorläufiger Deklaration notwendig, folgende Trennung nach
1. Gebäude
2. Beton
3. Mauerwerk
4. Gipskarton
5. verunreinigt / nicht verunreinigt
6. bituminöse / nicht bituminöse Bausubstanz
Verunreinigtes bzw. schadstoffhaltiges Abbruch- und Demontagematerial ist grundsätzlich gegen Aus-
waschungen durch Tagwasser und Verwehung
durch Wind mittels beschwerter Bauplanen oder Einlagerung in tagwasserdichte Deckelmulden zu
sichern.
Die vorstehend genannten Leistungen sind Gegenstand
der Demontage, Separations-, Entkernungs- und Rückbauleistungen.
Entsorgungsbedingte Massen- und Kostenmehrungen,
die im Rahmen der ausgeschriebenen Leistungen auf schuldhaft unzureichende Materialtrennungen zurück-
zuführen sind, gehen zu Lasten des AN.</x:t>
  </x:si>
  <x:si>
    <x:t>c5200b1d-f40b-4ee1-b35d-8c2acf7421a4</x:t>
  </x:si>
  <x:si>
    <x:t>5 Arbeitssicherheit</x:t>
  </x:si>
  <x:si>
    <x:t>5 Arbeitssicherheit
Die vom AN spezifisch einzuhaltenden Arbeits- und Emissionsschutzmaßnahmen sind nachfolgend
zusammengefasst.</x:t>
  </x:si>
  <x:si>
    <x:t>1a07b932-6a7b-446e-9ed6-c65e4ae9adaa</x:t>
  </x:si>
  <x:si>
    <x:t>5.1 BaustellV / SiGeKo / Nachweise</x:t>
  </x:si>
  <x:si>
    <x:t>5.1 BaustellV / SiGeKo / Nachweise
Der Bauherr wird zum Zweck der Umsetzung der BaustellV einen Sicherheits- und Gesundheitsschutzkoordinator (SiGeKo) einsetzen.
Der SiGeKo wird die Baustelle in regelmäßigen Abständen
begehen und auf die Einhaltung der Arbeitsschutz-
bestimmungen achten. Seinen Anweisungen und Auflagen zur Abstellung von Mängeln ist unverzüglich Folge zu leisten. Arbeitsverfahren, Schutzmaßnahmen etc. sind mit dem SiGeKo vor Arbeitsaufnahme abzustimmen. Eventuell erforderliche Mehrbesuche des SiGeKo,
die einzelne Auftragnehmer zu verschulden haben,
werden dem betreffenden Unternehmen in Rechnung gestellt.
Jeder Unfall ist dem SiGeKo unverzüglich schriftlich und vorab telefonisch zu melden. Die auf der Baustelle anwesenden Firmen haben untereinander einen Koordinator nach UVV BGV A1 (ehem. VBG 1) zu bestimmen, sofern eine Abstimmung bei gegenseitiger Gefährdung gegeben ist. Dieser VBG-Koordinator ist dem SiGeKo zu benennen und hat sich mit diesem abzustimmen.
Gemäß der BaustellV wird ein SiGe-Plan sowie eine Baustellenordnung erstellt werden. Die Regelungen sind für alle auf der Baustelle tätigen Firmen Vertrags-
bestandteil und sind zwingend einzuhalten.
Der SiGe-Plan wird auf der Baustelle sichtbar aus-
gehängt, die Einweisung erfolgt durch den SiGeKo.
Sämtliche gemäß UVV und anderen Gesetzen und Verordnungen erforderlichen Schutz- und Sicher-
heitsmaßnahmen sind unmittelbar und parallel mit den
Arbeiten aus- bzw. durchzuführen und gemäß Anweisung der Bauleitung und des SiGeKo vorzuhalten, ein-
schließlich eventuell erforderlicher Wartung und Reparatur.
Folgende Unterlagen müssen dem SiGeKo mindestens 2 Wochen vor Arbeitsbeginn unaufgefordert zur Verfügung zu stellen:
- Nachweis der Eignung / Zulassung als
  Abbruchunternehmer
- Nachweise Sachkunde gemäß TRGS 521
- Nachweis der Eignung zur Entsorgung von Gefahrstoffen
- Baustelleneinrichtungsplan
- Gefährdungsbeurteilung der Firma gemäß sect;sect; 5 und 6 des
  ArbSchG
- Angabe der Nachunternehmer (Name, Anzahl der
  Beschäftigten, Einsatzdauer)
- Bauzeitenplan mit Angabe der Gewerke
- Unterweisungsnachweis der Beschäftigten
- Arbeitsmedizinische Untersuchungsnachweise
- Angabe des Namen der Sicherheitsfachkraft
- Angabe der Namen der Sicherheitsbeauftragten auf der
  Baustelle
- Angabe der Namen der Ersthelfer auf der Baustelle</x:t>
  </x:si>
  <x:si>
    <x:t>ead088d4-b314-4a09-9d8f-9c3555b8677d</x:t>
  </x:si>
  <x:si>
    <x:t>5.2 Schadstoffbezogener Arbeitsschutz</x:t>
  </x:si>
  <x:si>
    <x:t>5.2 Schadstoffbezogener Arbeitsschutz
Beim Rückbau werden für die persönliche Schutz-
ausrüstung Arbeitssicherheitsschuhe, Helm und Arbeitshandschuhe sowie Schutzbrille als selbst-
verständlich vorausgesetzt. Ebenso sind Arbeiten in größeren Höhen mit entsprechender Sicherung
(Mobilbühne mit Geländer, gesicherte Gerüste, Klettergurt / Seilsicherung) zu versehen.
Eine separate Vergütung erfolgt nicht.
Darüber hinaus fallen insbesondere im Rahmen von Sanierungs-, Demontage-, Entkernungs-, Reinigungs-, Rückbau- und Aushubarbeiten Stoffe und Materialien in staubförmiger, untergeordnet auch gasförmiger und flüssiger Form an, die aufgrund ihrer Eigenschaften
eine Gefährdung der Arbeitssicherheit im Falle des
unsachgemäßen Umgangs darstellen. Die notwendigen grundlegenden Schutzmaßnahmen sind nachstehend in Tabelle 1 beschrieben. Detaillierte Maßnahmen sind den jeweiligen Leistungspositionen zu entnehmen.
Asbest, fest gebunden
gemäß TRGS 519 / BGI 664, keine Schneid- und
Trennarbeiten, Befeuchtung; FFP 3- Maske Einwegschutzanzug
Kategorie III, Typ 5 + 6, Schutzhandschuhe,
sofortiges Verpacken in staubdichte Foliensäcke,
spezielle Arbeitsanweisungen gemäß Kapitel 5
beachten
KMF (Mineralfaserdämmungen)
gemäß TRGS 521: Schutzstufe 2, Abschottung /
Abdeckung,: staubarmes Bearbeiten / Befeuchtung;
Atemschutzmaske mit P3-Filter, Einwegschutzanzug
Kategorie III, Typ 5 + 6, Schutzhandschuhe, sofortiges
Verpacken in staubdichte Foliensäcke, spezielle
Arbeitsanweisungen gemäß Kapitel 5 beachten
Soweit nicht eine gesonderte Vergütung für technische und persönliche Schutzmaßnahmen bzw. -ausrüstung erfolgt, sind diese in die Einheits- oder Pauschal-
positionen der jeweiligen Gewerke einzukalkulieren.</x:t>
  </x:si>
  <x:si>
    <x:t>4604cf53-fd95-456d-b8c3-08a6fead1c50</x:t>
  </x:si>
  <x:si>
    <x:t>5.3 Gerüste, Leitern</x:t>
  </x:si>
  <x:si>
    <x:t>5.3 Gerüste, Leitern
Sämtliche Gerüste, die eingesetzt werden, sind
gemäß DIN 4422 und BGV C 22 (ehem. VBG 37)
zu erstellen. Hierzu gehören insbesondere:
ausreichende Verankerung und Standfestigkeit, dreiteiliger Seitenschutz, max. Abstand zum Bauwerk
max. 30 cm. Die Gerüste sind vom Gerüstbauer freizugeben und entsprechend an den Aufgängen mit einem Schild (Gerüstgruppe, max. Belastung etc.) zu kennzeichnen.
Es wird besonders darauf hingewiesen, dass bei Absturz-
höhen von mehr als 2,00 m sämtliche Gerüste mit
dreiteiligem Seitenschutz auszustatten und mindestens 60 cm breit mit Bohlen auszulegen. Der Zugang zu Gerüsten darf bis zu einer maximalen Höhe von 5,00 m von Leitern aus erfolgen.
Darüber hinaus sind Treppentürme als Zugang vorzusehen.
Arbeiten von Leitern dürfen nur als kurzeitige Arbeiten durchgeführt werden.
Arbeiten von Leitern sind nur in geringem Umfang zulässig (&lt; 2 Std.). Tritthilfen, die bei den geringen Deckenhöhen u.U. notwendig werden, müssen ausreichend breit und standfest sein. Behelfe z.B. mit einem "aufgebockten" Gerüstbrett sind nicht zulässig.
Sämtliche eingesetzte Leitern haben entsprechend BGV D36 (ehem. VBG 74) mindestens jährlich überprüft zu sein. Ein Nachweis ist auf der Baustelle vorzuhalten (Prüfplakette, Prüfbuch).</x:t>
  </x:si>
  <x:si>
    <x:t>8892de53-b42a-4f46-9167-10faa8ae47d3</x:t>
  </x:si>
  <x:si>
    <x:t>5.4 Hebezeuge</x:t>
  </x:si>
  <x:si>
    <x:t>5.4 Hebezeuge
Beim Einsatz von Hebezeugen ist auf deren Standsicherheit und richtige Bedienung zu achten.
Sie sind jährlich durch einen Sachkundigen zu prüfen. Die erfolgte Prüfung ist nachzuweisen.
Bedienpersonal von Abrissgeräten und Hebezeugen
müssen sachkundig sein und im Umgang mit den
Geräten unterweisen sein.
Die erfolgte Einweisung ist gegenüber der Bauleitung und dem SiGeKo schriftlich nachzuweisen.</x:t>
  </x:si>
  <x:si>
    <x:t>80a6b14f-d5ad-43de-8df1-45f9bd57d1b5</x:t>
  </x:si>
  <x:si>
    <x:t>5.5 Freischaltung</x:t>
  </x:si>
  <x:si>
    <x:t>5.5 Freischaltung
Vor Beginn der Abbrucharbeiten sind alle abzu-
brechenden Gebäude durch eine Elektrofachkraft elektrisch frei zuschalten. Mit dem Abbruch darf erst begonnen werden, wenn eine absolute Spannungs-
freiheit festgestellt wurde. Hierzu ist in jedem
Fall eine schriftliche Freigabe erforderlich, die durch den Freischaltenden erstellt wird und nach Gegen-
zeichnung durch die Bauleitung an den Abbruch-
verantwortlichen (Aufsichtsführender Vor Ort) über-
geben wird. Erst dann darf dieser mit dem Abbruch
beginnen. Das gleiche Freigabeverfahren gilt auch für eventuelle gas- oder fernwärmetechnische Einrichtungen, Einbauten und Leitungen.</x:t>
  </x:si>
  <x:si>
    <x:t>19c1cc9c-4791-4ee9-9720-3a5a5440c345</x:t>
  </x:si>
  <x:si>
    <x:t>5.6 Abbrucharbeiten</x:t>
  </x:si>
  <x:si>
    <x:t>5.6 Abbrucharbeiten
Vor Arbeitsbeginn hat sich jede Firma (auch die eingesetzten Subunternehmer) bei der Bauleitung mit Angabe der anwesenden AN anzumelden.
Es wird darauf hingewiesen, dass von jedem Auftragnehmer der Bauleiter, Polier, Vorarbeiter
(d.h. weisungsbefugtes Personal) deutschsprachig sein muss.
Die Abbrucharbeiten dürfen erst begonnen werden, wenn Kenntnis über den Zustand des abzubrechenden Bauwerkes in statischer und konstruktiver Hinsicht besteht.
Vor dem Beginn des Abbruchs ist eine schriftliche Abbruchanweisung und ein Abbruchplan der Bauleitung
und dem SiGeKo vorzulegen. Diese sind während der Arbeiten auf der Baustelle jederzeit einsehbar bereitzuhalten. Abbruchplan und Abbruchanweisung
sind ohne gesonderte Vergütung innerhalb von 10 AT
nach Auftragserteilung in Abstimmung mit der Bauleitung und dem SiGeKo zu erstellen und die Reihenfolge der Abbrucharbeiten ist darin genau festzulegen.
Der Beginn der Abbrucharbeiten ist der Bezirksregierung spätestens 14 Tage vor Beginn schriftlich anzuzeigen.
Dabei ist der Abbruchplan und die Anweisung mit einzureichen.
Eine Durchschrift der rechtzeitig erfolgten Meldung ist der Bauleitung und dem SiGeKo unaufgefordert zuzuleiten.
Der Verantwortliche für die Abbrucharbeiten hat ständig vor Ort seiner Aufsichtspflicht nachzukommen und nach dem vorliegenden Abbruchplan zu verfahren. Bei Abwesen-
heit des Abbruchverantwortlichen ist der Bauleitung ein sachkundiger Vertreter zu benennen, der auf der Baustelle anwesend ist.
Hilfskräfte sind nur mit solchen Aufgaben zu beauf-
tragen, die nicht mit besonderen Anforderungen an die Qualifikation verbunden sind und keine Erfahrung beim Abbruch voraussetzt.
Müssen abzubrechende bauliche Anlagen betreten werden, sind für die Beschäftigten sichere Arbeitsplätze, Verkehrs- und Fluchtwege zu schaffen, die stets von behinderndem Material freizuhalten sind. Gefahrenbereiche sind ausreichend gesichert, wenn sie
abgesperrt und als solche gekennzeichnet sind (Warnzeichen, Verbotszeichen für Zutritt) oder wenn eingewiesene Absperrposten aufgestellt sind. Als Absperrungen werden nur solche anerkannt,
die aus festem Material (z.B. feste Geländer, Gerüstmaterial, Bauzaun etc.) erstellt sind. Flatterband wird nicht akzeptiert.
Der Aufenthalt von Personen im Gefahrenbereich während der Abbrucharbeiten ist verboten. Zu dem Gefahren-
bereich gehört auch das Innere der abzubrechenden Gebäude. Der Zugang zu diesen Gebäuden ist strengstens untersagt. Sämtliche Zugänge zuden Abbruchgebäuden sind fest und dauerhaft zu sperren und zu kennzeichnen.
Bauteile dürfen nicht unterhöhlt werden und nicht waagerecht eingeschlitzt werden.
Zwischen Großgeräten und dem abzubrechenden Bauteilen sind Sicherheitsabstände einzuhalten.
Das direkte Abwerfen von Bauschutt sowie die Benutzung von Schuttrutschen ist nicht gestattet.
Auf Mauerkronen ist mit einer fest angebrachten Absturzsicherung zu arbeiten. Der Einsatz von Sicher-
heitsgurten und -geschirren ist nur in Ausnahmefällen für kurzzeitige Arbeiten zulässig. Dieses ist vor dem Arbeitseinsatz mit dem SiGeKo abzustimmen.
Bei nicht durchtrittsicheren Bauteilen sind zusätzlich Lauf- und Arbeitswege zu montieren.
Bei Abbrucharbeiten im Bereich von bestehender Bebauung ist die DIN 4123 "Gebäudesicherung im Bereich von Ausschachtungen, Gründungen und Unterfangungen" zu beachten.
Es dürfen nur Abbruchgeräte mit ausreichend Reichhöhe eingesetzt werden (beim Abgreifen muss die Reichhöhe mindestens 0,50 m, beim Einschlagen mindestens 1,50 m höher als die höchsten abzubrechenden Bauteile sein). Der Fahrplatz der Abbruchgeräte ist durch Gitterab-
deckungen vor herabfallenden Bauteilen zu schützen. Die eingesetzten Abbruchgeräte haben der UVV zu ent-
sprechen.
Einzusetzende Krane, Bauaufzüge und Geräte / Maschinen müssen zugelassen und geprüft sein. Für einen Personen-
transport mit Bauaufzügen und Kranen bedarf es einer speziellen Zulassung des Gerätes und einer Anmeldung des Transportes für die spezielle Baustelle bei der BG Bau. Von den Firmen ist der Nachweis zu erbringen, dass der / die Aufzugsführer sachkundig sind und ent-
sprechend mit der Führung des Aufzuges durch den jeweiligen Unternehmer schriftlich beauftragt wurde/n.
Alle Lastaufnahmeinrichtungen müssen der VBG 9a entsprechen und regelmäßig geprüft sein. Die erfolgte Prüfung ist durch entsprechende Kennzeichnung und / oder Prüfbuch nachzuweisen.
Vor Arbeitsaufnahme sind die Lastaufnahmeinrichtungen arbeitstäglich auf Schäden zu überprüfen.
Vor den Abbrucharbeiten sind alle Bereiche vollständig von umweltbelastenden Stoffen (z.B. Asbest, Mineralfasern, Leuchtstoffröhren, elektrische Schalt-
einrichtungen, PVC-haltige Beläge und sonstiges) zu entsorgen. In den abzubrechenden Bereichen evtl. lagernde Abfälle sind aufzunehmen und in einer
zugelassenen Form nachweislich zu entsorgen.
Das Verbrennen von Bauteilen oder Baustoffen auf dem Grundstück und in den Bauteilen ist untersagt.
Bei allen Abbrucharbeiten sind die entsprechenden Vorschriften der Berufsgenossenschaften und Baubehörden einzuhalten.</x:t>
  </x:si>
  <x:si>
    <x:t>c4d207cd-1a0f-43aa-9c45-935389b586b7</x:t>
  </x:si>
  <x:si>
    <x:t>5.7 Verkehrswege</x:t>
  </x:si>
  <x:si>
    <x:t>5.7 Verkehrswege
Verkehrswege und Fluchtwege sind stets frei zu halten müssen sicher begehbar sein.
Soweit nicht anders beschrieben, werden die, aus den in Kapitel 6 (Arbeitssicherheit)  aufgeführten Anforderungen sowie in Kapitel 1.3 aufgeführten Regelwerke resultierenden Leistungen des AN nicht gesondert vergütet.</x:t>
  </x:si>
  <x:si>
    <x:t>a16dfe06-5d2f-4187-8908-835ee8cab963</x:t>
  </x:si>
  <x:si>
    <x:t>6 Entsorgung</x:t>
  </x:si>
  <x:si>
    <x:t>bd7c5f92-f5fe-4b13-9aca-e96f76a2ad09</x:t>
  </x:si>
  <x:si>
    <x:t>6.1 Zuordnung AVV</x:t>
  </x:si>
  <x:si>
    <x:t>6.1 Zuordnung AVV
Die bei der Maßnahme anfallenden, zu entsorgenden
Böden sind prinzipiell nach den Abfallschlüsseln / Abfallbezeichnungen der Verordnung über das
Europäische Abfallverzeichnis (AVV) vom 10.12.2001 zuzuordnen.
Gefährliche Abfallarten sind besonders überwachungs-
bedürftig im Sinne des sect; 41 Abs. 1 Satz 1 und Abs. 3 Nr. 1 des Kreislaufwirtschaftsgesetzes.
Die Zuordnung ist von den Möglichkeiten der anbietenden
Entsorgungsunternehmen abhängig. Die Zuordnung der
aus der ausgeschriebenen Maßnahme resultierenden Entsorgungschargen ist vom Bieter in Absprache mit der Behörde durchzuführen. Die vorgesehenen Entsorgungs-
wege sind mit der unteren Abfallwirtschaftbehörde
der Stadt Wesel abzustimmen.</x:t>
  </x:si>
  <x:si>
    <x:t>ca589635-de78-4391-a21d-d7e5da482e06</x:t>
  </x:si>
  <x:si>
    <x:t>6.2 Vorhaltung</x:t>
  </x:si>
  <x:si>
    <x:t>6.2 Vorhaltung
Die separierten Chargen des Rückbaus, insbesondere die aus
- der Anlagen- und Installationsdemontage,
- der Demontage von Leichtbausubstanz / Dämmungen /       Innenausbauten,
- der Demontage von Estrichen und Fußbodenbelägen,
- der Dachdemontage
bedingen eine separate und den Stoffeigenschaften bzw.
Gefahrenpotentialen angepasste Vorhaltung und Entsorgung. Die Vorhaltung erfolgt in Eigenregie des AN und hat
- dem Platzangebot der Baustelle,
- dem vom AN vorgesehenen Entsorgungsweg mit der daraus
  resultierenden Notwendigkeit für eine endgültige De-
  klaration,Annahmekontrolle etc. (Analytik) sowie
  separaten Vorhaltung und
- den spezifischen Materialanforderungen Rechnung zu      tragen. Die Vorhaltungsleistung ist Gegenstand der
  Leistungspositionen.</x:t>
  </x:si>
  <x:si>
    <x:t>8d8f18fb-e562-4952-a961-2da86c896b17</x:t>
  </x:si>
  <x:si>
    <x:t>6.3 Allgemeine Anforderungen</x:t>
  </x:si>
  <x:si>
    <x:t>6.3 Allgemeine Anforderungen
Die Abfallsatzung der Stadt Wesel ist zwingend zu beachten.
Die Klärung des Anschluss- und Benutzerzwangs hat
durch den Bieter zu erfolgen und ist mit der Unteren Abfallwirtschaftsbehörde des Kreises Wesel abzu-
stimmen.
Alle bauzeitlichen Kontroll-, Deklarations- oder Annahmekontrollanalysen oder sonstigen Analysen
des AN bzw. des Entsorgers, sind eigenverantwortlich vom AN bzw. auf dessen Veranlassung im Rahmen der Verbringung durchzuführen und in die Einheitspreise
einzukalkulieren. Der hierfür erforderliche Zeitbedarf und damit eventuell verbundene Baustillstandszeiten sind seitens des AN ebenfalls in die Bauzeitplanung
und in die Einheitspreise einzukalkulieren.
Die Durchführung und Zusammenstellung der Proben
des anfallenden Aushubmaterials für die weitergehende Analytik obliegt damit dem AN und ist durch diesen eigenverantwortlich durchzuführen.
Für die Probenahme sind dabei die Vorgaben gemäß LAGA-Regelwerk und der ErsatzbaustoffVerordnung
einzuhalten. Die Analysen sind durch ein anerkanntes Labor (Sitz innerhalb BRD), das über eine Akkreditierung gemäß DIN EN 45001 verfügt, durchzu-
führen.
Für die Analyseverfahren und Nachweisgrenzen gilt die BBodSchV.</x:t>
  </x:si>
  <x:si>
    <x:t>04a4b25e-2c63-4c94-90e8-7bc71637aa65</x:t>
  </x:si>
  <x:si>
    <x:t>6.4 Spezielle Anforderungen bei Abfallaufnahme, Transport und Entsorgung</x:t>
  </x:si>
  <x:si>
    <x:t>6.4 Spezielle Anforderungen bei Abfallaufnahme, Transport und Entsorgung
Es ist zu gewährleisten, dass Boden soweit entwässert ist, dass es den Annahmekriterien des Verbringungsortes entspricht und ein Abtropfen vom LKW während der Fahrt nicht stattfindet.
Der Transport darf nur der jeweiligen Abfallart ge-
eigneten und zugelassenen Behältnissen (z.B. in wasserdichten, abgeplanten Sattelzügen mit Abfallkennzeichnung oder entsprechenden
Containern bzw. Sicherheitsbehältnissen) erfolgen.
Evtl. Verunreinigungen der Radflächen, Aufbauten etc. sind vor der Abfahrt zu entfernen.</x:t>
  </x:si>
  <x:si>
    <x:t>6f1de00b-ca61-4c3d-b27f-316e8abcd5e8</x:t>
  </x:si>
  <x:si>
    <x:t>6.5 Allgemeine abfallrechtliche Bestimmungen</x:t>
  </x:si>
  <x:si>
    <x:t>6.5 Allgemeine abfallrechtliche Bestimmungen
Soweit die einzelnen Abfälle den gefahrgutrechtlichen Vorschriften unterliegen, sind die Vorschriften des Gesetzes über die Beförderung gefährlicher Güter, die Anlagen A und B des Europäischen Überein-
kommens über die internationale Beförderung gefährlicher Güter auf der Straße (ADR) bzw. die Gefahrgutvorschriften Straße (GGVS) sowie die Ausführungsvorschriften (RS 002) in ihren aktuellen Fassungen zu beachten. Hiernach sind zugelassene
Abfallbehältnisse zu verwenden und zu kennzeichnen.
Zu Beginn der Entsorgung müssen rechtswirksame Entsorgungsnachweise gemäß Nachweisverordnung vorliegen.
Für besonders gefährliche Abfälle zur Beseitigung sind die obligatorischen Nachweisverfahren (verantwortliche Erklärung desErzeugers, Annahmeerklärung des Ent- sorgers, Behördenbestätigung, Begleitschein, Übernahmeschein und Transportgenehmigung)
zu beachten.
Für gefährliche Abfälle zur Beseitigung sind die fakultativen Nachweisverfahren (verantwortliche Erklärung des Erzeugers, Annahmeerklärung des Entsorgers, Übernahmeschein und Transportgenehmigung)
zu beachten. Behördenbestätigung und Begleitschein
sind nur auf Anordnung erforderlich.
Für besonders gefährliche Abfälle zur Verwertung sind die obligatorischen Nachweisverfahren (verantwortliche Erklärung des Erzeugers, Begleitschein, Annahme-
erklärung des Entsorgers, Behördenbestätigung) zu beachten.
Für gefährliche Abfälle zur Verwertung sind die fakultativen Nachweisverfahren (verantwortliche Erklärung des Erzeugers, Annahmeerklärung des Entsorgers, Übernahmeschein) zu beachten. Behördenbestätigung und Begleitschein sind nur auf
Anordnung erforderlich.
Der Abtransport der Abfälle hat so zu erfolgen, dass kein Tatbestand der Lagerung entsteht.
Beim Umgang mit den Abfällen sind die einschlägigen Unfallverhütungs- und gefahrstoffrechtlichen Vor-
schriften sowie die arbeitsschutzrechtlichen Be-
stimmungen zu beachten.
Im Vorfeld des Abtransportes von Abfällen sind die Fahrzeugführer mit den Transportpapieren auszurüsten (Begleitschein /Beförderungspapier, ggf. schriftlich Weisung / Unfallmerkblatt) und am Dispositionstermin vom Auftraggeber bzw. durch dessen Vertretungs-
berechtigten abzuzeichnen.
Die ordnungsgemäße Entsorgung ist durch Vorlage der Dokumente des Nachweisverfahrens (inkl. Wiegescheine und komplementäre Begleitscheine) nachzuweisen. Die Nachweise sind spätestens 5 KW nach Durchführung der Entsorgung dem AG vorzulegen. Die Entsorgungsnachweise sind Grundlage für die Rechnungsstellung des AN. Der Abfallerzeuger kann gemäß der aktuellen Rechtsprechung weitergehende Abfallverbleibskontrollen durchführen.
Die Überwachungsbedürftigkeit der Abfälle richtet sich nach:
- Verordnung über das Europäische Abfallverzeichnis
  (AVV) vom 10.12.2001,
- Verordnung über Verwertungs- und Beseitigungs-
  nachweise (NachwV), Fassung vom 17.6.2002
- Verordnung zur Transportgenehmigung (TGV) vom
  10.09.1996.</x:t>
  </x:si>
  <x:si>
    <x:t>beb5a736-e700-41c1-9e03-13d57b70681f</x:t>
  </x:si>
  <x:si>
    <x:t>7 Baustelleneinrichtung</x:t>
  </x:si>
  <x:si>
    <x:t>429031cb-95d5-4647-bcdd-b3ae6aec8b37</x:t>
  </x:si>
  <x:si>
    <x:t>7.1 Lage/ Zugänglichkeit</x:t>
  </x:si>
  <x:si>
    <x:t>7.1 Lage/ Zugänglichkeit
Externe Flächen stehen in der Nähe des Rückbau-
areals nur eingeschränkt zur Verfügung.
Die Nutzung von vorhandenen Räumlichkeiten des AG
in den ersten Abschnitten der Baumaßnahme und deren Medienversorgung ist durch den AN mit dem AG abzu-
klären.</x:t>
  </x:si>
  <x:si>
    <x:t>62079af6-383e-42eb-a84a-b935efae8f26</x:t>
  </x:si>
  <x:si>
    <x:t>7.2 Bauzeitliche Verkehrsicherung und -führung</x:t>
  </x:si>
  <x:si>
    <x:t>7.2 Bauzeitliche Verkehrsicherung und -führung
Die Baustelle und der Baufortschritt erfordern um-
fassende Maßnahmen zur Absperrung, Sicherung
und Verkehrregulierung. In den Leistungen der Baustelleneinrichtung sind u.a auch Planungs- und Ausführungsleistungen zur bauzeitlichen Verkehrs-
sicherung und Verkehrsführung enthalten. Diese erfordern eine enge Koordination und Abstimmung
mit dem Auftraggeber.
Absperrungen werden über Pos. 1.1. .1 LV vergütet.
Der AN hat die Vorgaben bei der Ausführung der Leistungen zu beachten. Jeglicher Eingriff in den Straßenverkehr ist vom AN eigenverantwortlich mit der Kommune abzustimmen.</x:t>
  </x:si>
  <x:si>
    <x:t>34dc83a2-65cd-4c67-891c-c2fabf3068c8</x:t>
  </x:si>
  <x:si>
    <x:t>7.3 Allgemeine Teile der BE</x:t>
  </x:si>
  <x:si>
    <x:t>7.3 Allgemeine Teile der BE
Die genaue Lage der einzelnen Teile der BE ist
Sache des AN und hat den Erfordernissen der
einzelnen Gewerke und dem Bauablauf Rechnung
zu tragen. Dieser hat sich mit den örtlichen Ge-
gebenheiten vertraut zu machen.
Nach Abschluss aller Arbeiten sind die Flächen in Absprache mit der Bauüberwachung des AG in den ursprünglichen Zustand zu versetzen.
Der Flächenzustand ist vor Beginn der Baustellen-
einrichtung zu dokumentieren. Der Auftragnehmer hat die Baustelleneinrichtung unter eigener Verantwortung auszuführen. Er hat dabei die anerkannten Regeln der Technik und die behördlichen Vorschriften zu beachten.
Über die in Titel 1 aufgeführten Leistungen hinaus ist vom AN in die BE einzukalkulieren:
- Führung eines Bautagebuchs
- nicht gesondert in ausgewiesene Kosten zum Arbeits-
  und Emissionsschutz,
Ferner sind alle Kosten für Hilfslöhne, für Transporte zur Ver- und Entsorgung der Baustelle und für Instandhaltung und -setzung für sämtliche im LB aufgeführten Leistungen und Gewerke in den Preis
der Baustelleneinrichtung einzurechnen.
Das Entsorgen von Abfall aus dem Bereich des AN (Baustellenabfälle, gebrauchte Arbeitskleidung, Folienreste, etc.) ist gemäß DIN 18299 Nebenleistung. Die Kosten hierfür, einschließlich der Deponiekosten, trägt somit der AN.
Für sämtliche auf der Baustelle vorhandenen Gerät-
schaften und Arbeitsmittel sind die aktuellen Prüf-
zeugnisse vorzuhalten und dem AG bzw. den Behörden
auf Verlangen vorzulegen.</x:t>
  </x:si>
  <x:si>
    <x:t>ce3be094-31ca-4210-8489-2b483cad3694</x:t>
  </x:si>
  <x:si>
    <x:t>7.4 Sonstige Anforderungen (in der BE enthalten)</x:t>
  </x:si>
  <x:si>
    <x:t>7.4 Sonstige Anforderungen (in der BE enthalten)
Der AN ist zur Einhaltung der Arbeitsstättenverordnung und der Lärmschutzverordnung verpflichtet. Es gelten die Vorschriften des Bundesimmissionsschutzgesetzes
und die allgemeinen Verwaltungsvorschriften zum Schutz gegen Baulärm. Alle Gesetze und Verordnungen zum Schutz gegen Baulärm hat der AN in vollem Umfang zu beachten. Alle aufgrund solcher Gesetze von den zuständigen Aufsichtsbehörden gemachten Auflagen sind kostenfrei
vom AN zu erfüllen. Mit Beschwerden hat sich der AN mit der hierfür zuständigen Behörde allein auseinander zu setzen. Der Bieter hat alle hieraus resultierenden Maß-
nahmen in den Preis der Baustelleneinrichtung mit einzukalkulieren.
Ohne gesonderte Genehmigung hat der Baustellenverkehr des AN die Verkehrsvorschriften einzuhalten. Behördliche Erlaubnisse bzw. Genehmigungen zum Betrieb der Baustelle sind vom Auftragnehmer vor Baubeginn bei den jeweiligen Behörden einzuholen.
Die Verkehrssicherungspflicht obliegt dem Auftrag-
nehmer. Die Baustelle ist während der gesamten Bauzeit seitens des AN zu überwachen. Für Schäden die sich aus einer Nichteinhaltung der Überwachungspflicht ergeben, haftet ausschließlich der Auftragnehmer. Verkehrswege und Fluchtwege sind stets frei zu halten und müssen sicher begehbar sein.
Der Auftragnehmer hat die als Lager- und Arbeitsplatz vom Auftraggeber zur Verfügung gestellten Flächen und Zuwegungen samt ihrem Zubehör so pfleglich wie möglich zu behandeln und auf seine Kosten vor Verlassen der Baustelle wieder in den ursprünglichen Zustand zu versetzen.
Der Auftragnehmer ist verpflichtet, Arbeitskräfte sowie Geräte und Werkzeuge in dem Umfang bereitzustellen, dass der Auftrag in der im Angebot genannten Frist ausgeführt werden kann.
Die Anforderungen der Arbeitsstättenverordnung und der
Verordnung über Sicherheit und Gesundheitsschutz auf Baustellen (BaustellV) vom 10.06.1998 (siehe auch Er-
läuterungen in der Fassung vom 15.01.1999) sind einzuhalten.
Der Auftragnehmer ist verpflichtet, innerhalb von zwei Arbeitstagen nach Auftragserteilung einen verbindlichen Baustelleneinrichtungsplan der örtlichen Bauüberwachung des AG vorzulegen.
Hierbei hat er darauf zu achten, dass ein Umsetzen der
Einrichtung während der Bauzeit nicht erforderlich wird.
Veränderungen (Umsetzen) während der laufenden Arbeiten
werden nicht separat vergütet und sind, falls diese vom AN erwartet werden, einzukalkulieren.
Vor Beginn der Arbeiten hat der AN einen ständig auf der Baustelle anwesenden Bauleiter zu benennen.
Der AG / die Bauüberwachung des AG ist berechtigt, die sofortige Ablösung des Bauleiters des AN zu verlangen, wenn er gegen dessen Eignung begründete Bedenken bzw. Beanstandungen hat.
Arbeitszeiten
Als Arbeitstage gelten sämtliche Werktage einschl. der Samstage. Sonn- und Feiertagsarbeit ist grundsätzlich nur mit einer behördlichen Genehmigung zulässig.
Grundsätzlich sind die Regelungen des Arbeitszeit-
gesetzes einzuhalten.
Baulärm, Nachbarschaftsschutz
Für die Baustelle gelten die erhöhten Schallschutz-
anforderungen und Emissionsrichtwerte der "allgemeinen Verwaltungsvorschriften zum Schutz gegen Baulärm". Die eingesetzten Baumaschinen haben dem Umweltzeichen RAL - UZ 53 zu entsprechen. Die fahrbaren Kompressoren müssen den erhöhten Schallschutzanforderungen der Kompressoren - VwV entsprechen. Dem Einsatz von Einzelkompressoren ist zentrale Druckluftversorgung vorzuziehen.
Zur Gewährleistung eines möglichst geräuscharmen Baubetriebes ist die günstige Aufstellung der Bau-
maschinen zu beachten und ggf. sind Abschirmmaßnahmen zum Einhalten der zulässigen Richtwerte vorzusehen. Für die Durchführung der jeweiligen Arbeiten sind alle Schutzvorschriften für die Nachbarschaft bindend einzuhalten.
Folgende Regelwerke sind insbesondere zu beachten:
- BGI 665 (ehem. ZH 1/514 ) Abbrucharbeiten
- DIN 4150 Erschütterungen (Erschütterungen im
  Bauwesen)
- VV BaulärmG
Der Bieter hat alle hieraus resultierenden Maßnahmen in den Preis der Baustelleneinrichtung mit einzu-
kalkulieren.</x:t>
  </x:si>
  <x:si>
    <x:t>59398df3-9338-4dbd-993c-ef201362ac84</x:t>
  </x:si>
  <x:si>
    <x:t>01.01.</x:t>
  </x:si>
  <x:si>
    <x:t>Baustelleneinrichtung</x:t>
  </x:si>
  <x:si>
    <x:t>VORBEMERKUNG</x:t>
  </x:si>
  <x:si>
    <x:t>VORBEMERKUNG
Soweit für bestimmte Leistungen das Einrichten der Baustelle nicht als besonderer Ansatz in gesonderten LV-Positionen enthalten ist, umfasst die Baustellen-
einrichtung alle zur Erfüllung der vertraglichen Arbeiten notwendigen Geräte, Gerüste, Zäune und dergleichen für alle Gewerke nach Umfang / Vorgabe / Konditionen wie unten beschrieben.
Die Lage der BE und Zufahrtmöglichkeiten sowie die Nutzung von Flächen und Wegen sind mit dem AG
und den Grundstückseignern durch den AN eigen-
verantwortlich abzustimmen. Alle Schäden, die im Zusammenhang mit der Maßnahme entstehen, sind
vom AN auf dessen Kosten zu beheben und die ge-
nutzten Bereiche in den ursprünglichen Zustand zu versetzen.
Eventuelle bauzeitliche Schutzmaßnahmen der Wege
und Flächen haben durch den AN eigenverant-
wortlich zu erfolgen und werden nicht gesondert vergütet.
Die z.T. beengte innerstädtische Situation und die Straßenregelung im Umfeld ist zu berücksichtigen.
Es ist eine Absperrung der BE-Fläche und Gerät-
schaften mittels verschraubter Bauzaunelemente
in den jeweiligen Bereichen durchzuführen. Die Aufstellung und der Betrieb der Absperrung ist in
den Pos. 1.1. .4 des LV geregelt.
Die genaue Lage der einzelnen Teile der BE
ist Sache des AN und hat den Erfordernissen
des Bauablaufs Rechnung zu tragen.
Nach Abschluss aller Arbeiten sind die Flächen in
Absprache mit der Bauüberwachung des AG in den ursprünglichen Zustand zu versetzen.
Die BE ist unter eigener Verantwortung auszuführen.
In die Baustelleneinrichtung der LV-Positionen 1.1. .1 bis 1.1. .3 sind einzurechnen:
- Freimachen und Herrichten der Lagerplätze, deren Zu-    und Anfahrtswege, sowie der Gehwege vor den
  Containern o.ä. zu den öffentlichen Verkehrsflächen     einschl. ggf. notwendiger Treppen, Leitergänge, Stege   etc. im gesamten Baustellenbereich
- Bauzaun (für ggf. zusätzl. erforderliche externe Ab-
  sperrungen, über Pos. 1.1. .4 hinausreichend,
  mind. 2 m     hoch), Typ Heras o.ä. mit festver-
  schraubter Verbindung
- Sämtliche erforderlichen Geräte, auch Gerüste und
  Abfangkonstruktionen und Materialcontainer inklusive    Betriebsmittel, die zur fach- und fristgerechten Er-
  bringung der ausgeschriebenen Leistung notwendig
  sind, soweit diese nicht Bestandteil von anderen
  Leistungen des LV sind und eventueller Umstellung
  der Baustelleneinrichtung soweit nicht separat ausge-
  schrieben,
- Absturzsicherungen (Rückbau)
- Mannschaftscontainer und Sanitärcontainer mit
  Toiletten, Baubüro für AN,
  aller Anschlusseinrichtungen und der arbeitstäglichen   Reinigung. Der AN hat hierbei die Anforderungen nach
  sect;sect; 45 und 46 Arbeitsstättenverordnung und der
  Arbeitsstättenrichtlinien ASR 45 / 1-6 zu beachten.
- Kommunikationsmittel (Mobiltelefon, Funk) inkl.
  Betrieb
- Stromanschlüsse 16 / 32 A inkl. Stromzähler in für
  alle Arbeiten ausreichender Anzahl und
  Dimensionierung entsprechend den VDE- Richtlinien,
  einschl. aller Arbeiten zur Leitungsverlegung und
  Kennzeichnung.
  Sicherheits-Prüfung des Baustromverteilers.
- Beleuchtungsmittel (auch mobil) in für alle Arbeiten
  ausreichender Anzahl und Dimensionierung auf der
  gesamten Baustelle
- Erste-Hilfe-Kasten und Augendusche (inkl. regel-
  mäßigem Wasserwechsel)
- Löscheinrichtung zur Verhinderung von Entstehungs-
  bränden
- Mobile Installationen der für die Bauausführung
  notwendigen Einrichtungen und erforderlichen
  Lagerplätze, die nicht speziell ausgewiesen sind
- Betankungsanlage unter Berücksichtigung der
  Anforderungen der technischen Regeln für
  brennbare Flüssigkeiten (TRbF)
- Sicherstellung einer jederzeit ungehinderten Zu- und    Abfahrt von Rettungs- und Feuerwehrfahrzeugen
- Kosten für den Bauleiter des AN
- Für die Beanspruchung von öffentlichen Flächen für
  die BE hat der AN eigenverantwortlich die dafür
  notwendigen Absprachen mit der Stadt und deren
  Genehmigungen einschließlich der Beschilderung
  einzuholen
- Einholen der erforderlichen Genehmigungen/
  Zustimmungen von Behörden, Grundstückeignern etc.:
1. zur Ausführung der Bauleistungen
2. für ggf. erforderliche Rodungsarbeiten
3. für Straßensperrungen / Verkehrseinschränkungen /
    Verkehrssicherungsmaßnahmen
4. Inanspruchnahme öffentlicher oder privater
    Grundstücksflächen
- Planung und Ausführung sämtlicher bauzeitlicher
  Verkehrssicherungs- und Verkehrsregulierungsmaßnahmen   auf Basis der Angaben sowie darüber hinaus reichender   Erfordernisse einschließlich Absperrungen, Be-
  schilderungen, Beleuchtungsmittel gemäß den
  behördlichen Vorgaben einschließlich der Koordination   mit den zuständigen Behörden, Erstellung von
  Verkehrzeichenplänen und den Gebühren für die
  verkehrsrechtliche Anordnung.
- Baustellenschild mit Firmenbezeichnung des AN seiner    Adresse und Telefonnummer
- Zutrittsverbotsschilder gem. UVV / BGV A 8
  (min. 0,4 m ) in ausreichender Anzahl an den Zugängen
  und Absperrungen
- Beschilderungen der Baustellenzu- und -ausfahrt und     beanspruchter Flächen, sofern nicht anders ausge-
  schrieben
- Gestellung und Einsatz von Personal für die temporäre   Verkehrssicherung (auch Einweisung LKW etc.)
- Säuberung der Zufahrten und anliegenden Straßen von     Verschmutzungen, die durch den AN bzw. seine Nach-
  unternehmer entstanden sind (Saugkehrwagen).
  Entsprechenden Aufforderungen seitens der Bau-
  überwachung des AG ist umgehend nachzukommen
- bauzeitliche notwendige Reinigungsarbeiten von Bau-
  fahrzeugen, -maschinen und Gerätschaften, soweit
  nicht anders beschrieben. Die Reinigung ist so durch-
  zuführen, dass eine Verunreinigung des Untergrundes
  ausgeschlossen ist.
- Der AG stellt zu Baubeginn die Medienfreiheit der
  Baustelle sicher und erledigt die Abrüstung auf der
  Übergabeseite. Sofern seitens des AN eine bau-
  zeitliche temporäre Nutzung von vorhandenen
  technischen Einrichtungen wie Strom- und Wasser-
  versorgung, etc. beabsichtigt ist, hat der AN diese
  mit dem Eigner abzustimmen und alle dafür notwendigen
  Maßnahmen durchzuführen. Die für eine bauzeitliche
  Nutzung vom AN vorgesehenen Einrichtungen sind auf
  Ihre Eignung zu prüfen, im betriebsicheren Zustand zu
  erhalten und sachgerecht zu nutzen. Für die Nutzung
  haftet der AN. Der AN hat für die fachgerechte Still-
  legung und Abrüstung von bauzeitlich durch den AN
  genutzten Anlagen zu sorgen.
- Sicherung der folgenden zu schützenden Einrichtungen:
1. Kanalisation
2. bestehende Leitungen
3. Baumbestand
4. alle baulichen Einrichtungen, Zufahrten und Wege
Für die BE sind die Flächen des Schulgeländes zu nutzen.</x:t>
  </x:si>
  <x:si>
    <x:t>d41de7ea-f260-4387-b8b9-81a216a9dbf5</x:t>
  </x:si>
  <x:si>
    <x:t>Position</x:t>
  </x:si>
  <x:si>
    <x:t>01.01.1.</x:t>
  </x:si>
  <x:si>
    <x:t>Anlieferung, Montage, Installation und
Einrichtung der Baustelleneinrichtung für
alle ausgeschriebenen Leistungen einschl.
aller notwendigen Schutz- und Arbeitsgerüste
gemäß DIN EN 12811 und DIN 4420.</x:t>
  </x:si>
  <x:si>
    <x:t>Psch</x:t>
  </x:si>
  <x:si>
    <x:t>68685700-72d6-4abc-9d5a-f76b41762d1e</x:t>
  </x:si>
  <x:si>
    <x:t>ecbf80fb-67c7-4e07-a44e-efc4a3275450</x:t>
  </x:si>
  <x:si>
    <x:t>01.01.2.</x:t>
  </x:si>
  <x:si>
    <x:t>Vorhaltung Baustelleneinrichtung</x:t>
  </x:si>
  <x:si>
    <x:t>Vorhalten und Betreiben der Baustellen-
einrichtung für den Zeitraum der nach-
folgend beschriebenen Zeitraum
(3 Monate)</x:t>
  </x:si>
  <x:si>
    <x:t>83c5d2d9-fb01-4393-85fb-39aa6d896d3d</x:t>
  </x:si>
  <x:si>
    <x:t>01.01.3.</x:t>
  </x:si>
  <x:si>
    <x:t>Räumen der Baustelle</x:t>
  </x:si>
  <x:si>
    <x:t>Räumen (Demontage / Abtransport) der Baustelle
für die Geräte und Anlagen gemäß Pos. 01.01.0001
und Wiederherstellen des früheren Zustandes,
Entfernung von Lager- und Arbeitsplätzen,
Containerstellplatzbefestigungen.</x:t>
  </x:si>
  <x:si>
    <x:t>796747e5-c725-4a2e-b3db-b3ad4b7e9200</x:t>
  </x:si>
  <x:si>
    <x:t>01.01.4.</x:t>
  </x:si>
  <x:si>
    <x:t>Mobile Drahtbauzaunelemente</x:t>
  </x:si>
  <x:si>
    <x:t>Anlieferung, Montage eines die Baustelle allseitig umschließenden Bauzaunes (Höhe min. 2 m),
aus Bauzaunelementen (verzinktes Stahlrohr,
Typ HERAS oder gleichwertig), einschl. Betonfuß.
Die Elemente sind untereinander zu verschrauben. Einschließlich Zufahrtsmöglichkeiten und Schloss
für Personal und Baufahrzeuge nach Wahl des
Bieters.
Der sukzessiv mit dem Baufortschritt fortschreitende Aufbau sowie bauzeitliche bzw. gewerkeabhängige Verlegungen sind einzukalkulieren und werden nicht gesondert vergütet.</x:t>
  </x:si>
  <x:si>
    <x:t>m</x:t>
  </x:si>
  <x:si>
    <x:t>060df3e4-073b-4311-96be-16715b3755cb</x:t>
  </x:si>
  <x:si>
    <x:t>01.01.5.</x:t>
  </x:si>
  <x:si>
    <x:t>Betrieb des Bauzaunes</x:t>
  </x:si>
  <x:si>
    <x:t>Betrieb des Bauzaunes von Pos. 01.01.0004, einschl.
ggf. erforderlichem Umsetzen</x:t>
  </x:si>
  <x:si>
    <x:t>714882a1-fd41-4484-b061-7f1b3c355431</x:t>
  </x:si>
  <x:si>
    <x:t>01.01.6.</x:t>
  </x:si>
  <x:si>
    <x:t>Demontage und Abtransport des Bauzauns</x:t>
  </x:si>
  <x:si>
    <x:t>d9b325aa-7b13-4bdb-b526-721cb6733167</x:t>
  </x:si>
  <x:si>
    <x:t>Summe Gruppe</x:t>
  </x:si>
  <x:si>
    <x:t>7672c856-619c-46c3-9187-5677608e5522</x:t>
  </x:si>
  <x:si>
    <x:t>01.02.</x:t>
  </x:si>
  <x:si>
    <x:t>Schadstoff-Sanierung</x:t>
  </x:si>
  <x:si>
    <x:t>01.02.1.</x:t>
  </x:si>
  <x:si>
    <x:t>01.02.1.01.</x:t>
  </x:si>
  <x:si>
    <x:t>Aufbau von Schottwänden (Spanplattenausführung)</x:t>
  </x:si>
  <x:si>
    <x:t>Räumliche Trennung des Abbruchbereiches
durch Aufbau von festen Schottwänden in Dach-
latten/Spanplattenplattenkonstruktion im Flur
vor den Umkleiden.
Abrechnungsgrundlage: m² Schottwandflächen
In den Angebotspreis sind alle Kosten und Nebenkosten
für Material/Hilfsmaterial, Transport und Entsorgung -
einzukalkulieren.</x:t>
  </x:si>
  <x:si>
    <x:t>m²</x:t>
  </x:si>
  <x:si>
    <x:t>60a14e1a-5069-4f8e-9f5b-1e50bace2d01</x:t>
  </x:si>
  <x:si>
    <x:t>ea5868cf-7cbb-4006-98ca-4c461aa0838d</x:t>
  </x:si>
  <x:si>
    <x:t>01.02.1.02.</x:t>
  </x:si>
  <x:si>
    <x:t>Demontage AZ-Platten</x:t>
  </x:si>
  <x:si>
    <x:t>Demontage von Asbestzementplatten
(Maße: ca. 100/250 cm) als Attika-
verkleidung einschließlich der Unter-
konstruktion im Außenbereich des
höheren Dachaufbaus über dem Schwimm-
becken und oberhalb der Pfosten-Riegel-
Fassade.
Es werden Schutzmaßnahmen im Sinne
der TRGS 519, erforderlich.
Bei der Demontage der Asbestzementplatten
sind auf den einzelnen Gerüstlage geeignete
Planen oder Folien zum Auffangen und
Sammeln von herabfallenden Bruchteilen
auszulegen, ggf. anfallender Bruch ist auf-
zunehmen. Die Abrechnung erfolgt unter
gesonderter Position
Während der Arbeiten ist sicherzustellen,
dass Bauwerksöffnungen von Räumen
im unmittelbaren Arbeitsbereich geschlossen
sind.
Der Arbeitsbereich ist abzusperren und zu
kennzeichnen.
Befestigungen wie Schrauben, Haken und
Nägel sind mit Wasser zu befeuchten und
anschließend zu lösen.
Die gelösten Metallteile sind separat zu
entsorgen. Aufwand bezüglich des Lösens
der Schraub-/Nagelbefestigungen sind
pauschal einzukalkulieren.
Unmittelbar nach Entfernen der Asbest-
zementplatten sind alle Flächen der Unter-
konstruktion mittels H1-Sauger zu reinigen.
Abrechnungsgrundlage: m² Ansichtfläche,
Bauteilstärke: ca. 1 cm
Leistung einschl. Verpacken, kennzeichnen
und Transport vom Gerüst zum Entsorgungs-
container. Die Einsatz und Kosten für ent-
sprechendes Hebezeug ist in der Kalkulation
zu berücksichtigen und wird nicht besonders
vergütet.</x:t>
  </x:si>
  <x:si>
    <x:t>d8bc2aee-f819-4e3c-82bf-d5d3889cbe8e</x:t>
  </x:si>
  <x:si>
    <x:t>01.02.1.03.</x:t>
  </x:si>
  <x:si>
    <x:t>Personendekontaminationsschleuse</x:t>
  </x:si>
  <x:si>
    <x:t>4-Kammer-Personendekontaminations-
schleuse (Modulbauart) als zugelassenes
System einschl. allem notwendigen Zubehör
sowie aller Anschlüsse anliefern, aufbauen,
vorhalten und abbauen, inkl. der ggf. not-
wendigen mehrfachen Reinigung und De-
kontamination.</x:t>
  </x:si>
  <x:si>
    <x:t>Stk</x:t>
  </x:si>
  <x:si>
    <x:t>8609c8e2-79ac-4759-b2d1-7c56ffeee5e7</x:t>
  </x:si>
  <x:si>
    <x:t>01.02.1.04.</x:t>
  </x:si>
  <x:si>
    <x:t>Materialschleuse</x:t>
  </x:si>
  <x:si>
    <x:t>Zweikammer-Materialschleuse einschl.
allem notwendigen Zubehör sowie aller
Anschlüsse anliefern, aufbauen, vorhalten
und abbauen, inkl. der ggf. notwendigen
mehrfachen Reinigung und Dekontamination.</x:t>
  </x:si>
  <x:si>
    <x:t>997d7fa6-d54d-4907-883a-ba0bcba0e6cc</x:t>
  </x:si>
  <x:si>
    <x:t>01.02.1.05.</x:t>
  </x:si>
  <x:si>
    <x:t>Unterdruckhaltung 10.000 m³/h</x:t>
  </x:si>
  <x:si>
    <x:t>Anlieferung, Aufbau, Betrieb und
Abtransport einer ausreichend
dimensionierten Unterdruckanlage
zum Einsatz im Sanierungsbereich
einschl. allem notwendigen Zubehör
wie Messschreiber etc, Anschlüssen
sowie der Abluftführung.
Leistung des Unterdruckhaltegerätes:
mind. 10.000 m³/h.</x:t>
  </x:si>
  <x:si>
    <x:t>ba3b379a-7f8c-4b7c-b02f-6ea1169db2dc</x:t>
  </x:si>
  <x:si>
    <x:t>01.02.1.06.</x:t>
  </x:si>
  <x:si>
    <x:t>Demontage Pfosten-Riegel-Konstruktion</x:t>
  </x:si>
  <x:si>
    <x:t>Pfosten-Riegel-Konstruktion als Fensteranlage
mit Zweifachverglasung, festverglast
Gesamtgröße: ca. 19,00 * 3,00 m
bestehend aus insgesamt 7 Einzelelementen
mit den Abmessungen ca. 2,70 * 2,25 m
und Oberlicht ca. 2,70 m * 0,75 m
Einbauhöhe der Anlage: ca. 3,00 m über OKFF
Die Verkittung der Scheiben ist asbesthaltig.
Die Elemente sind zu separieren, entsorgungsgerecht aufzubereiten und zu entsorgen.
Der Einheitspreis gilt für die vollständige Leistung.</x:t>
  </x:si>
  <x:si>
    <x:t>d62fbc82-f37e-4bb4-a77e-06cef67127b8</x:t>
  </x:si>
  <x:si>
    <x:t>01.02.1.07.</x:t>
  </x:si>
  <x:si>
    <x:t>Demontage Alu-Fenster  ca. 4,00/1,00 m</x:t>
  </x:si>
  <x:si>
    <x:t>Aluminium-Fenster bestehend aus
Fensterflügel und Rahmen,
Größe: b x h ca. 4,00 x 1,00 m,
Bautiefe ca. 80 mm, vollständig mit Rahmen
und allen vorh. Beschlägen, Befestigungs-
mitteln und Verleistungen ausbauen und
entsorgen.
Einbauhöhe der Fenster: ca. 2,20 m über OKFF
Die Verkittung der Scheiben ist asbesthaltig.
Die Elemente sind zu separieren, entsorgungsgerecht aufzubereiten und zu entsorgen.
Der Einheitspreis gilt für die vollständige Leistung
je Fensteranlage.</x:t>
  </x:si>
  <x:si>
    <x:t>2803742b-f0e3-4b7f-bafa-5cce3d838263</x:t>
  </x:si>
  <x:si>
    <x:t>01.02.1.08.</x:t>
  </x:si>
  <x:si>
    <x:t>Demontage Alu-Türanlagen  ca. 1,05/2,125 m</x:t>
  </x:si>
  <x:si>
    <x:t>Aluminium-Türanlagen bestehend aus
Türflügel und Rahmen,
Größe: b x h ca. 1,05 x 2,125 m,
Bautiefe ca. 80 mm, vollständig mit Rahmen
und allen vorh. Beschlägen, Befestigungs-
mitteln und Verleistungen ausbauen und
entsorgen.
Einbauhöhe der Anlage: ca. 2,20 m über OKFF
Die Verkittung der Scheiben ist asbesthaltig.
Die Elemente sind zu separieren, entsorgungsgerecht aufzubereiten und zu entsorgen.
Der Einheitspreis gilt für die vollständige Leistung
je Türanlage.</x:t>
  </x:si>
  <x:si>
    <x:t>fd84801d-0599-40bb-aff9-1045be99ecc9</x:t>
  </x:si>
  <x:si>
    <x:t>01.02.1.09.</x:t>
  </x:si>
  <x:si>
    <x:t>Demontage Alu-Fenster-/Türanlage  ca. 2,50/3,00 m</x:t>
  </x:si>
  <x:si>
    <x:t>Aluminium-Fenster-/Türanlage bestehend aus
1 Türflügeln und 2-teiliges Fensterelement,
Größe: b x h ca. 2,50 x 3,00 m,
Bautiefe ca. 80 mm, vollständig mit Rahmen
und allen vorh. Beschlägen, Befestigungs-
mitteln und Verleistungen ausbauen und
entsorgen.
Einbauhöhe der Anlage: ca. 2,50 m über OKFF
Die Verkittung der Scheiben ist asbesthaltig.
Die Elemente sind zu separieren, entsorgungsgerecht aufzubereiten und zu entsorgen.
Der Einheitspreis gilt für die vollständige Leistung
je Türanlage.</x:t>
  </x:si>
  <x:si>
    <x:t>b8c84c85-eae8-4973-a053-ea5eec2f689d</x:t>
  </x:si>
  <x:si>
    <x:t>01.02.1.10.</x:t>
  </x:si>
  <x:si>
    <x:t>Demontage Alu-Türanlage  ca. 1,50/2,125 m</x:t>
  </x:si>
  <x:si>
    <x:t>Aluminium-Türanlage bestehend aus
2 Türflügeln und Rahmen,
Größe: b x h ca. 1,50 x 2,125 m,
Bautiefe ca. 80 mm, vollständig mit Rahmen
und allen vorh. Beschlägen, Befestigungs-
mitteln und Verleistungen ausbauen und
entsorgen.
Einbauhöhe der Anlage: ca. 2,20 m über OKFF
Die Verkittung der Scheiben ist asbesthaltig.
Die Elemente sind zu separieren, entsorgungsgerecht aufzubereiten und zu entsorgen.
Der Einheitspreis gilt für die vollständige Leistung
je Türanlage.</x:t>
  </x:si>
  <x:si>
    <x:t>ead1a9cf-e4c9-4458-9261-42d5254085ed</x:t>
  </x:si>
  <x:si>
    <x:t>01.02.1.11.</x:t>
  </x:si>
  <x:si>
    <x:t>Demontage Alu-Türanlage  ca. 2,50/2,50 m</x:t>
  </x:si>
  <x:si>
    <x:t>Aluminium-Türanlage bestehend aus
2 Türflügeln und Oberlicht,
Gesamtgröße: b x h ca. 2,50 x 2,50 m,
Bautiefe ca. 80 mm, vollständig mit Rahmen
und allen vorh. Beschlägen, Befestigungs-
mitteln und Verleistungen ausbauen und
entsorgen.
Einbauhöhe der Anlage: ca. 2,50 m über OKFF
Die Verkittung der Scheiben ist asbesthaltig.
Die Elemente sind zu separieren, entsorgungsgerecht aufzubereiten und zu entsorgen.
Der Einheitspreis gilt für die vollständige Leistung
je Türanlage.</x:t>
  </x:si>
  <x:si>
    <x:t>78f83e39-1991-4a1c-8e8a-6f0a6b157c93</x:t>
  </x:si>
  <x:si>
    <x:t>01.02.1.12.</x:t>
  </x:si>
  <x:si>
    <x:t>Demontage Alu-Türanlage  ca. 2,50/3,00 m</x:t>
  </x:si>
  <x:si>
    <x:t>Aluminium-Türanlage bestehend aus
2 Türflügeln, 2 Seitenteilen und Oberlicht,
Gesamtgröße: b x h ca. 2,50 x 3,00 m,
Bautiefe ca. 80 mm, vollständig mit Rahmen
und allen vorh. Beschlägen, Befestigungs-
mitteln und Verleistungen ausbauen und
entsorgen.
Einbauhöhe der Anlage: ca. 3,00 m über OKFF
Die Verkittung der Scheiben ist asbesthaltig.
Die Elemente sind zu separieren, entsorgungsgerecht aufzubereiten und zu entsorgen.
Der Einheitspreis gilt für die vollständige Leistung
je Türanlage.</x:t>
  </x:si>
  <x:si>
    <x:t>451625a6-5662-4e7d-b212-2538e025ca30</x:t>
  </x:si>
  <x:si>
    <x:t>01.02.1.13.</x:t>
  </x:si>
  <x:si>
    <x:t>Demontage und Entsorgung FH-Türen</x:t>
  </x:si>
  <x:si>
    <x:t>mit asbesthaltiger Pappe im Schloßbereich
einschl. Zarge, verdübelt oder vermörtelt.
Abkleben des Schloßkastens, Ausbauen und
Verpacken der Türblätter.
Leistung einschl. Verpacken, kennzeichnen,
Transport zum Entsorgungscontainer und
Entsorgung.
Abmessungen: ca. 1,00 x 2,00 m</x:t>
  </x:si>
  <x:si>
    <x:t>ffa9f653-c6e0-4b6c-b77b-766abeaff84a</x:t>
  </x:si>
  <x:si>
    <x:t>01.02.1.14.</x:t>
  </x:si>
  <x:si>
    <x:t>Demontage und Entsorgung FH-Klappe</x:t>
  </x:si>
  <x:si>
    <x:t>mit asbesthaltiger Pappe im Schloßbereich
einschl. Zarge, verdübelt oder vermörtelt.
Abkleben des Schloßkastens, Ausbauen und
Verpacken der Türblätter.
Leistung einschl. Verpacken, kennzeichnen,
Transport zum Entsorgungscontainer und
Entsorgung.
Abmessungen: ca. 1,00 x 1,00 m</x:t>
  </x:si>
  <x:si>
    <x:t>cc12d144-440e-494d-b983-cadd3108b97f</x:t>
  </x:si>
  <x:si>
    <x:t>01.02.1.15.</x:t>
  </x:si>
  <x:si>
    <x:t>2-flügig,
mit asbesthaltiger Pappe im Schloßbereich
einschl. Zarge, verdübelt oder vermörtelt.
Abkleben des Schloßkastens, Ausbauen und
Verpacken der Türblätter.
Leistung einschl. Verpacken, kennzeichnen,
Transport zum Entsorgungscontainer und
Entsorgung.
Abmessungen: ca. 2,00 x 2,25 m</x:t>
  </x:si>
  <x:si>
    <x:t>82c2196d-8034-402c-8464-d7410c561fe0</x:t>
  </x:si>
  <x:si>
    <x:t>01.02.1.16.</x:t>
  </x:si>
  <x:si>
    <x:t>Demontage und Entsorgung Rippenheizkörper</x:t>
  </x:si>
  <x:si>
    <x:t>mit asbesthaltigen Dichtungen.
Der Heizkörper ist zu separieren, entsorgungs-
gerecht aufzubereiten und zu entsorgen.
Der Einheitspreis gilt für die vollständige Leistung
Abmessungen: ca. 1,00 x 2,00 m</x:t>
  </x:si>
  <x:si>
    <x:t>b615c320-679a-441f-b9e6-d3e403289339</x:t>
  </x:si>
  <x:si>
    <x:t>01.02.1.17.</x:t>
  </x:si>
  <x:si>
    <x:t>Demontage und Entsorgung Armaturen</x:t>
  </x:si>
  <x:si>
    <x:t>Flanschverbindungen unterschiedlicher
Dimensionen mit asbesthatiger Flachdichtung.
Die Flanschverbindungen sind abzukleben und
aus dem Rohrleitungssystem herauszuschneiden
und der fachgerechten Entsorgung zuzuführen.
Der Einheitspreis gilt für die vollständige Leistung.</x:t>
  </x:si>
  <x:si>
    <x:t>3dce6e77-1faa-43db-9fe9-b680ce2ac295</x:t>
  </x:si>
  <x:si>
    <x:t>01.02.1.18.</x:t>
  </x:si>
  <x:si>
    <x:t>Demontieren KMF-Rohr- und Kanalisolierung</x:t>
  </x:si>
  <x:si>
    <x:t>Fachgerechte Demontage von KMF-haltigen
Rohrisolierungen, DN 100 bis DN 200, Dämm-
stärke bis 40 mm sowie Kanalisolierungen,
von ca. 500 * 500 mm bis ca. 500 * 1.000 mm,
innerhalb der Arbeitsbereiche und im Kriechkeller
unter Einhaltung der TRGS  521,
Verpacken in reißfeste PE-Säcke, Reinigen,
und Transport zum Container.</x:t>
  </x:si>
  <x:si>
    <x:t>b2491d91-878e-473a-9d94-cdf43affa8b9</x:t>
  </x:si>
  <x:si>
    <x:t>01.02.1.19.</x:t>
  </x:si>
  <x:si>
    <x:t>Demontage und Entsorgung AZ-Platten</x:t>
  </x:si>
  <x:si>
    <x:t>als Wärmeleitplatten im Schacht der
Konvektorheizung vor der Fassade
Größen: ca. 0,50 m * 0,50 m
              ca. 0,50 m * 1,50 m
in Einzellängen
zerstörungsfrei unter Beachtung der
TRGS 519 demontieren.
inkl. der entsorgungsgerechten Aufbereitung der
Abfälle und Transport sowie Einlagerung in die
bereitgestellten Container.
Abrechnungsgrundlage: m² AZ-Platte</x:t>
  </x:si>
  <x:si>
    <x:t>052112c8-0fc0-48f3-be9c-c8978a87f56b</x:t>
  </x:si>
  <x:si>
    <x:t>01.02.1.20.</x:t>
  </x:si>
  <x:si>
    <x:t>Demontage Alu-Paneeldecke</x:t>
  </x:si>
  <x:si>
    <x:t>Alu-Paneeldecke bestehend aus Profile
Breite der Profile: ca. 15 cm
Die Demontage erfolgt von Rollgerüsten aus.
Demontage einschl. Metall-Unterkonstruktion
Leistung einschl. der entsorgungsgerechten Aufbereitung, Transport zum Entsorgungs-
container.
Abrechnungsgrundlage: m² Deckenfläche</x:t>
  </x:si>
  <x:si>
    <x:t>2f64808f-aa17-4790-b1ba-ed6315bc02b9</x:t>
  </x:si>
  <x:si>
    <x:t>01.02.1.21.</x:t>
  </x:si>
  <x:si>
    <x:t>Zulage Aufnehmen KMF-Dämmauflage</x:t>
  </x:si>
  <x:si>
    <x:t>Die Demontage erfolgt im Rahmen der
vorbeschriebenen Demontage der Alu-
Paneeldecke von den Rollgerüsten aus
als Zulage.
Das Vorhandensein ist flächendeckend.
Auf der Decke befinden sich ganzflächig
Mineralfasermatten, bis ca. 4 cm stark!,
KI &lt; 30.
Aufnehmen der Dämmauflager gemäß
TRGS 521.
Leistung einschl. der entsorgungsgerechten
Aufbereitung und Transport zum Entsorgungs-
container.
Abfallschlüssel-Nr.: 17 06 03
Abrechnungsgrundlage: m² Deckenfläche</x:t>
  </x:si>
  <x:si>
    <x:t>4cc41c2e-92de-41c9-928c-ca71b5d7fc42</x:t>
  </x:si>
  <x:si>
    <x:t>01.02.1.22.</x:t>
  </x:si>
  <x:si>
    <x:t>Grob- und Feinreinigung</x:t>
  </x:si>
  <x:si>
    <x:t>Bereinigung sämtlicher Oberflächen und
verbliebenen Bauteile der Arbeitsbereiche
nach der Asbest- und KMF-Sanierung
in Innenbereichen.
Abrechnungsgrundlage: m² Grundfläche</x:t>
  </x:si>
  <x:si>
    <x:t>13d5a80b-a7ce-4672-b811-250cc962a699</x:t>
  </x:si>
  <x:si>
    <x:t>01.02.1.23.</x:t>
  </x:si>
  <x:si>
    <x:t>Restfaserbindung</x:t>
  </x:si>
  <x:si>
    <x:t>nach Freigabe durch die Bauleitung
nach der Asbestsanierung und Fein-
reinigung.
Abrechnungsgrundlage: m² Grundfläche</x:t>
  </x:si>
  <x:si>
    <x:t>d106e145-2607-4ab6-9fe7-1b4e6080715a</x:t>
  </x:si>
  <x:si>
    <x:t>01.02.1.24.</x:t>
  </x:si>
  <x:si>
    <x:t>Raumluftmessung Asbest</x:t>
  </x:si>
  <x:si>
    <x:t>Bestimmung der Asbestfaser-Konzentration in der Raumluft mit anerkannten Verfahren und durch ein unabhängiges, nachweislich geeignetes Labor (z.B. Akkreditierung), einschließlich Einzelprobenahme (auch innerhalb des Schwarzbereiches) mit Protokoll, Laborauswertung und Berichterstellung.
Ziel ist der Nachweis des Sanierungserfolges.
Komplettleistung.</x:t>
  </x:si>
  <x:si>
    <x:t>Stck</x:t>
  </x:si>
  <x:si>
    <x:t>6973c035-a441-4f38-be01-325b2666001a</x:t>
  </x:si>
  <x:si>
    <x:t>5e7e59db-448b-4a5f-b90d-a3d995cc0ddd</x:t>
  </x:si>
  <x:si>
    <x:t>01.02.2.</x:t>
  </x:si>
  <x:si>
    <x:t>Tagelohnarbeiten auf Anweisung des AG</x:t>
  </x:si>
  <x:si>
    <x:t>Stundenlohnarbeiten durch Arbeitskräfte</x:t>
  </x:si>
  <x:si>
    <x:t xml:space="preserve">                sind nur auf Anordnung der Bauleitung
                durchzuführen.
                Angeboten wird für die jeweilige
                Arbeitskraft ein Verrechnungssatz,
                der sämtliche Aufwendungen enthält,
                insbesondere den tatsächlichen Lohn
                mit den Zuschlägen für Gemeinkosten,
                Sozialkassenbeiträgen, vermögens-
                wirksamen Leistungen usw. sowie
                Lohn- und Gehaltsnebenkosten.
                Zuschläge für Nacht-, Sonntags- und
                Feiertagsarbeit sind nicht mit einzu-
                rechnen.
                Der Verrechnungssatz ist unter
                Beachtung der preisrechtlichen
                Vorschriften ermittelt.
                Er gilt unabhängig von der Zahl der
                abgerechneten Stunden.</x:t>
  </x:si>
  <x:si>
    <x:t>a5db26df-b27d-4731-a6f7-7d27b27f9ae7</x:t>
  </x:si>
  <x:si>
    <x:t>01.02.2.01.</x:t>
  </x:si>
  <x:si>
    <x:t>Vorarbeiterstunden</x:t>
  </x:si>
  <x:si>
    <x:t>Vorarbeiterstunde für das Gewerk Schadstoff-
sanierung, wie Vortext.</x:t>
  </x:si>
  <x:si>
    <x:t>h</x:t>
  </x:si>
  <x:si>
    <x:t>799b45c4-b06a-451c-bab6-d268c463b6c2</x:t>
  </x:si>
  <x:si>
    <x:t>88fdeecb-865d-4a05-bf26-47f416607c69</x:t>
  </x:si>
  <x:si>
    <x:t>01.02.2.02.</x:t>
  </x:si>
  <x:si>
    <x:t>Facharbeitenstunden</x:t>
  </x:si>
  <x:si>
    <x:t>Facharbeiterstunde für das Gewerk Schadstoff-
sanierung, wie Vortext.</x:t>
  </x:si>
  <x:si>
    <x:t>02987cc5-da5f-47e6-95b0-f5c776f0e868</x:t>
  </x:si>
  <x:si>
    <x:t>01.02.2.03.</x:t>
  </x:si>
  <x:si>
    <x:t>Zulage Vorarbeiter</x:t>
  </x:si>
  <x:si>
    <x:t>für Arbeiten unter persönlicher
Schutzausrüstung auf Tagelohn-
stunden auf Anweisung des AG</x:t>
  </x:si>
  <x:si>
    <x:t>3102fc01-7c85-4506-9167-5aa4b1d0acbe</x:t>
  </x:si>
  <x:si>
    <x:t>01.02.2.04.</x:t>
  </x:si>
  <x:si>
    <x:t>Zulage Facharbeiter</x:t>
  </x:si>
  <x:si>
    <x:t>7436954c-c5cc-475c-abde-c3c81f7fb77f</x:t>
  </x:si>
  <x:si>
    <x:t>01.03.</x:t>
  </x:si>
  <x:si>
    <x:t>Demontage / Separation von mehrl., ged. Eindachungen</x:t>
  </x:si>
  <x:si>
    <x:t>VORBEMERKUNG
Bei den nachfolgenden Angaben
zu dem Aufbau der Eindachungen und
Abdichtungen handelt es sich um über
stichprobenartig gewonnenen Informationen.
Sie sind als näherungsweise Angaben bzw.
Beispiele zu verstehen.
Der Bieter hat daher Abweichungen in Art, Beschaffenheit und Stärke des Aufbaus für die
Durchführung der Arbeiten einzukalkulieren,
die nicht gesondert vergütet werden.
Anhaftungen sind zu entfernen.
Abgerechnet wird entsprechend der Fläche
in der Planaufsicht.
Randstreifen und hochgezogene Verkleidungen
sind einzukalkulieren und werden nicht separat
gerechnet.
einschl. Unterkonstruktionen.
Einschl. vorlaufender Entfernung mineralischer Abdeckungen in begehbaren Bereichen wie z.B.
Pflastersteine, Betonplattenbeläge, Kiesschüttungen
Maßnahmen gegen Absturz sind bei Dacharbeiten einzukalkulieren</x:t>
  </x:si>
  <x:si>
    <x:t>26d7a42d-97c0-4869-b456-0ea49413f3e2</x:t>
  </x:si>
  <x:si>
    <x:t>01.03.1.</x:t>
  </x:si>
  <x:si>
    <x:t>Eindachungen und Dämmungen Schwimmhalle</x:t>
  </x:si>
  <x:si>
    <x:t>Hauptdach über Schwimmhalle:
Oberflächliche bituminöse Dachbahnen der
Dachhaut
PAK &lt; 40 mg/kg Sigma; PAK nach EPA:
Das Gebäude besitzt folgenden Dachaufbau:
- 2-lagige Bitumenabdichtung
- ca. 80 mm Polystyrol-Dämmung
- Dampfsperre
- Trapezblech gedämmt
Einschließlich der Dachrandblende.
Die Polystyrol-Dämmung weist einen
HBCD-Wert von 3.700 mg/kg auf und
ist somit unter der Abfall-Schlüssel-Nr.
17 06 04 zu entsorgen.
Leistung einschl. der entsorgungsgerechten
Aufbereitung, der notwendigen Geräte, Ver-
packungsmaterialien und Transport zum Entsorgungscontainer und Entsorgung.</x:t>
  </x:si>
  <x:si>
    <x:t>dd0d91e2-fb8c-495e-9d03-22671660b35c</x:t>
  </x:si>
  <x:si>
    <x:t>184352e7-76b3-4e62-8562-9e0349c4d45c</x:t>
  </x:si>
  <x:si>
    <x:t>01.03.2.</x:t>
  </x:si>
  <x:si>
    <x:t>Eindachungen und Dämmungen Umkleide</x:t>
  </x:si>
  <x:si>
    <x:t>Dach über Umkleiden und Flur
Oberflächliche bituminöse Dachbahnen der
Dachhaut
PAK &lt; 30 mg/kg Sigma; PAK nach EPA:
Das Gebäude besitzt folgenden Dachaufbau:
- 1-2-lagige Bitumenabdichtung
- ca. 130 mm Polystyrol-Dämmung
- Dampfsperre
- ca. 200 mm Stahlbeton
- Dachkuppeln
Einschließlich der Dachrandblende
aufnehmen.
Die Polystyrol-Dämmung weist einen
HBCD-Wert von 3.700 mg/kg auf und
ist somit unter der Abfall-Schlüssel-Nr.
17 06 04 zu entsorgen.
Leistung einschl. der entsorgungsgerechten
Aufbereitung, der notwendigen Geräte, Ver-
packungsmaterialien und Transport zum Entsorgungscontainer und Entsorgung.</x:t>
  </x:si>
  <x:si>
    <x:t>03f4a959-f362-484f-8bd8-f701c4c96e0f</x:t>
  </x:si>
  <x:si>
    <x:t>01.04.</x:t>
  </x:si>
  <x:si>
    <x:t>Entkernung, Anlagen- und Installationsdemontage</x:t>
  </x:si>
  <x:si>
    <x:t>VORBEMERKUNG
Alle Arbeiten sind unter Verwendung
der in den Vorbemerkungen aufgeführten
Arbeitsschutzmaßnahmen durchzuführen
und die sich daraus ergebenden Erschwernisse
und Verzögerungen (z.B. Maskenpausen) in die Einheitspreise einzukalkulieren.
Die TRGS 521 ist insbesondere zu beachten.
Einzukalkulieren sind:
Zu separierende, schad- und störstoffhaltige Anlagen, Installationen und Bausubstanz sind fachgerecht zu demontieren und getrennt vorzuhalten.
Die Entsorgung der Materialien erfolgt durch den
AN und ist in den Pauschalpreis einzukalkulieren.
In Eigenverantwortung des AN sind die Gerätschaften
und Materialien für die Kontrolle / Deklaration zur gesicherten Festlegung des vom AN vorgesehenen Entsorgungsweges durch den AN noch näher zu
inspizieren und für eine evtl. erforderliche weitere Entsorgungsanalytik zu untersuchen.
Wartezeiten für weitergehende Entsorgungsanalytik
gem. Entsorgungs- bzw. Verwertungsweg des AN.
Laden, baustelleninterne Transporte, geländenahes Verfahren bis zum Verlade- oder Vorhaltungsort, fachgerechte Einlagerung in geeignete Transport-
und Entsorgungsbehältnisse,
Laden für Abtransport
Eine evtl. erforderliche Transportbereitstellung,
bauzeitliche Vorhaltung in Containern oder sonstigen Transportbehältnissen sowie Aufmietung, die von den Transport- und Entsorgungsmodalitäten des AN ab-
hängt, hat in Eigenregie des AN zu erfolgen und ist in vollem Umfang vom AN in die Einheitspreise zu den Positionen einzukalkulieren (zwischenzeitliches Absetzen, Umfüllen und Befüllung von Containern, Abdeckung von Containern mit geeigneter Baufolie
bzw. Planen, erneutes Wiederaufnehmen, Verfahren
etc.)
Arbeitsablaufbedingt erforderliches, zwischenzeit-
liches Absetzen / Aufnehmen von Räum- und
Demontagegut wird ebenfalls nicht separat vergütet, inkl. aller erforderlichen Nebenarbeiten.
Einschließlich: Gestellung und Betrieb, Auf- und
Abbau aller erforderlichen Gerätschaften und
Betriebsmittel, aller Installationsarbeiten und dafür notwendigen Materialien und Hilfskonstruktionen, Gerüste, Absperrungen und Maßnahmen gegen
Absturz, Beleuchtungsmittel, mobile Einrichtungen
zur Baustromerzeugung, Schaffung von Zuwegungen
zur sicheren, fach- und fristgerechten Erbringung der Leistungen.
Ergebnis der nachfolgenden Leistungen ist eine vollständige, fachgerechte Demontage aller
Anlagen und Installationen sowie eine vollständige Entkernung der Baulichkeiten wie nachstehend beschrieben, soweit dies im Rahmen der abbruch-
vorbereitenden Leistungen möglich ist und soweit nicht anders beschrieben bzw. nicht im Rahmen von separaten
Demontage- und Sanierungsarbeiten gem. Titel 3 vergütet wird.
- Sämtliche in Gebrauch bestehende oder stillgelegte
  haustechnische Anlagen und Installationen, wie
  Heizungs- Klima- Lüftungs- und Sanitär- Infrastruktur
  sowie der Brandschutzbekämpfungstechnik und
  Kommunikationstechnik, soweit nicht separat
  ausgeschrieben
- Sämtliche Elektrische Leitungen und Installationen
  (auch Schaltschränke- Sicherungs- und Regel-
  kästen etc.)
- Sämtliche Beleuchtungseinrichtungen, insbesondere
  Leuchtstoffröhren
- Fachgerechte Entfernung und Separation sämtlicher
  nicht separat ausgeschriebener KMF, z.B. in
  isolierten Vor- und Rücklaufrohren, Dämmungen und
  Dichtungen in Anlagen und Installationen der gesamten
  Haustechnik, Verdämmungen von Rohrdurchlässen sowie
  sämtliche Decken- und Wanddämmungen, Mineral-
  faserplatten etc. (K-Index &lt; 30, Kategorie C 2 -
  krebserzeugend) unter Beachtung der TRGS 521
  einschl. Produktdurchfeuchtung, sofortiger Verpackung
  in Foliensäcke am Entstehungsort, notwendiger
  Abschottungen, Folienschotts mit Reißverschlüssen
  und gerichteter Luftführung mit Filterung der Abluft.
  Nachgehende abschnittweise Trockenreinigung mittels
  baumustergeprüftem Industriestaubsauger, Filterklasse
  H. Reinigung sämtlicher Arbeitsgerätschaften und
  -mittel.
  Die Arbeiten sind bei geschlossenen Fenstern und
  Türen durchzuführen, um Emissionen mit KMF zu
  unterbinden.
- Sämtliche Materialien der Leicht- bzw. Trocken-
  bausubstanz von (Trenn-) Wänden und (Hohl-)
  Decken, Verbundplatten sowie sonstigen Verkleidungen
  (z.B. Gips, Gipskarton, Drahtputz/Rabitz, Span-
  Schichtholz- und Holzfaserplatten oder beschichteten
  Holzprodukten etc. einschließlich dazugehörigen
  Tragwerk, Fixierungen und aller Dämmungen, etc.)
- Sämtliche sonstige Wand- und Fassaden- und
  Deckenverkleidungen, Akustikplatten, Ver-
  blendungen aus Kunststoff und Metall, Blech-
  kassettendecken o. vgl., Heraklithverkleidungen
- Sämtliche Fassadenvorbauten aus nichtmineralischer
  Bausubstanz, soweit nicht anders beschrieben
- Sämtliche Bodenbeläge soweit nicht extra aus-
  geschrieben, einschl. Randleisten
- Sämtliche raumseitig verbauten bituminösen oder
  auch teerhaltige Dichtungsbahnen, soweit nicht
  anders beschrieben
- Sämtliche Dämmungen
- Sämtliches ortsunveränderliches Mobiliar
  (Garderobenschränke und Regale etc.) o. vgl.
- Sämtliche Türen und Fenster einschl. Zargen,
  Raumtrennungen aus Glas soweit nicht extra
  ausgeschrieben
- Sämtliche Geländer
- Sämtliche Brandschutztüren / -tore mit Zargen, soweit   nicht extra ausgeschrieben
Restliche Leistungen sind im Rahmen des eigentlichen Rückbaus zu erbringen.
Das anfallende Altmetall ist vom AN zu verwerten. Der daraus resultierende Rückerlös des AN ist bei der Preisbildung für die Entkernung / Demontage einzu-
kalkulieren</x:t>
  </x:si>
  <x:si>
    <x:t>9d066780-792b-4dc5-9dcf-3f23f7b22853</x:t>
  </x:si>
  <x:si>
    <x:t>01.04.1.</x:t>
  </x:si>
  <x:si>
    <x:t>Entrümpeln von Abfällen</x:t>
  </x:si>
  <x:si>
    <x:t>Fachgerechte Demontage und Aufnahme aller
Einrichtungsgegenstände/Bauteile z.B. Jalousien,
Vorhänge/Vorhangschienen und sonstigen beweg-
lichen und unbeweglichen Gegenständen aller
Gebäude und Gebäudebereiche sowie der Außen-
bereiche.
Aufnahme von Sperrmüll, losen Gebinden sowie
Trennung der Abfälle nach den Fraktionen
Sperrmüll, Altholz, Metalle, Baumischabfälle,
Kunststoff etc. unter Anwendung der geltenden
Regeln des Arbeitsschutzes und Abfallrechtes
einschl. Verladung in Container.
Für Sonderabfälle sind Deckelcontainer oder
ASP-Behälter vorzusehen.
Metallschrott geht in das Eigentüm des AN über.
Erlöse sind in die Position einzurechnen.
Alle für die Beseitigung notwendigen Gerätschaften
und Einrichtungen sind hier einzurechnen. Die
Gestellung der Container und das Verladen auf
Entsorgungsfahrzeuge ist in den Pauschalpreis
einzurechnen.
Bezogene Fläche: ca. 850 m² Geschossfläche.</x:t>
  </x:si>
  <x:si>
    <x:t>6c8bbed6-0a8a-4d23-b396-d074da80f1fe</x:t>
  </x:si>
  <x:si>
    <x:t>0c0f0265-c739-4853-bab9-142d39c6ac11</x:t>
  </x:si>
  <x:si>
    <x:t>01.04.2.</x:t>
  </x:si>
  <x:si>
    <x:t>Entkernung Hallenbad</x:t>
  </x:si>
  <x:si>
    <x:t>Bautyp:
Massivbau aus Mauerwerk mit
Vormauerklinker, Luftschicht und
mineralischer Dämmung,
Stahlstützen im Bereich der Pfosten-
Riegel-Fassade,
eingeschossig,
unterkellert (Kriechkeller)
Schwimmbecken aus Beton,
hydraulisch höhenverstellbar
einseitig mit den Duschen und Umkleiden
verbunden
Baujahr: 1975/76
Räume:
- Schwimmhalle
- Schwimmmeister
- Chlorlager
Decke über KG mit keramischen Fliesen
im Dickbett
Sohlplatte: Stahlbeton
Stahlbetonfundamente
Dach: Flachdach,
Stahlfachwerkträger mit Trapezblech
Bituminöse Abdichtung
Fassade: vorgehängte Waschbetonplatten,
Aluminium-Pfosten-Riegel-Fassade und
Aluminium-Türen
Innenwände: Mauerwerk mit Putz,
Wandfliesen (raumhoch)
Innentüren: Stahl- und Holzzargen mit Holztürblättern
Bodenkonstruktion: Estrich, Fliesen
Länge (m): ca. 15,50
Breite (m): ca. 25,00
Höhe ü. GOK (m): ca. 4,00
Höhe u. GOK (m): ca. 3,00
GF (m²): ca. 400,00
BGF (m²): ca. 600,00
BRI (m³): ca. 2.000</x:t>
  </x:si>
  <x:si>
    <x:t>a141a752-645f-49c7-855c-fac65f30e994</x:t>
  </x:si>
  <x:si>
    <x:t>01.04.3.</x:t>
  </x:si>
  <x:si>
    <x:t>Entkernung Umkleide und Duschen</x:t>
  </x:si>
  <x:si>
    <x:t>Bautyp:
Massivbau mit Aussenwänden aus
Mauerwerk mit Vormauerklinker, Luft-
schicht und mineralischer Dämmung,
eingeschossig,
unterkellert (Kriechkeller)
einseitig an die Schwimmhalle angebaut
und im Bereich Eingangshalle im Schul-
gebäude eingebunden.
Baujahr: 1975/76
Räume:
- Einzel- und Sammelumkleiden
  mit Raumtrennern
- Duschen Damen und Herren jeweils
  mit WC
- Putzmittel/Lagerraum
- Technik
- Eingangshalle
Decke über KG mit Spaltklinker
im Dickbett
Sohlplatte: Stahlbeton
Stahlbetonfundamente
Dach: Flachdach,
Stahlfachwerkträger mit Trapezblech
Bituminöse Abdichtung
Im Bereich Eingangshalle:
Stahlbeton (18 - 20 cm) mit
bituminöser Abdichtung
Fassade: Vormauerklinker mit Luftschicht
und mineralischer Dämmung,
Aluminium-Fenster
Innenwände: Mauerwerk mit Putz,
Wandfliesen (raumhoch)
Innentüren: Stahl- und Holzzargen mit Holztürblättern
Bodenkonstruktion: Estrich, Fliesen
Decken: Alu-Paneel-Decken mit KMF-
Dämmauflagen
Trennwände aus HPL-beschichteten MDF-Platten
im Bereich der Einzel- und Sammelumkleiden.
WCs, Urinale und Waschtische
Länge (m): ca. 12,50
Breite (m): ca. 25,00
Höhe ü. GOK (m): ca. 3,25
Höhe u. GOK (m): ca. 1,50
GF (m²): ca. 400,00
BGF (m²): ca. 800,00
BRI (m³): ca. 2.000</x:t>
  </x:si>
  <x:si>
    <x:t>338a521d-64dd-43cd-a45a-048a7ccb3087</x:t>
  </x:si>
  <x:si>
    <x:t>01.05.</x:t>
  </x:si>
  <x:si>
    <x:t>Rückbau entkernter Bausubstanz</x:t>
  </x:si>
  <x:si>
    <x:t>Statische Nachweise</x:t>
  </x:si>
  <x:si>
    <x:t>Statische Nachweise
Die nachfolgenden Leistungen für die
statischen Nachweise beinhalten alle
erforderliche Arbeiten einschl. das Einholen
und Prüfen von Bestandsunterlagen, Akten-
recherchen beim AG, Bauordnungsamt,
ggf. notwendiger Aufmaße und Prüfungen der Örtlichkeiten, Genehmigung durch die Vertreter
des AG sowie des Prüfstatikers und aller Aus-
lagen und Nebenkosten.
Die statischen Nachweise sind dem AG in
3-facher Ausfertigung vorzulegen.</x:t>
  </x:si>
  <x:si>
    <x:t>92e6beb2-eb70-4f15-b775-586277e05a33</x:t>
  </x:si>
  <x:si>
    <x:t>Rückbaustatik</x:t>
  </x:si>
  <x:si>
    <x:t>Rückbaustatik
Für alle vom AN abzubrechenden Baulich-
keiten sind jeweils eine Rückbaustatik vor-
zulegen.
Diese hat alle vom AN vorgesehnen Rückbau-
abschnitte bzw. Rückbauzustände und Teil-
abbrüche sowie die nachfolgend aufgeführten Entflechtungs- und Sicherungsmaßnahmen zu
berücksichtigen.
Gebäudedaten gem. Pos. 01.04.0002 und
Pos. 01.04.0003</x:t>
  </x:si>
  <x:si>
    <x:t>b0dc4858-7b52-43f3-86ae-e1794809967a</x:t>
  </x:si>
  <x:si>
    <x:t>01.05.1.</x:t>
  </x:si>
  <x:si>
    <x:t>Rückbaustatik Bauteil Hallenbad</x:t>
  </x:si>
  <x:si>
    <x:t>Rückbaustatik für den Rückbau inkl. Kriechkeller,
Schwimmbecken, Sohlplatte und Fundamente des
unter Pos. 01.04.0002 beschriebenen Gebäudeteils.</x:t>
  </x:si>
  <x:si>
    <x:t>4d4f8fc2-4e4d-46aa-aea0-85fdf0fd385f</x:t>
  </x:si>
  <x:si>
    <x:t>f25824f1-f789-4602-af83-09877af953b0</x:t>
  </x:si>
  <x:si>
    <x:t>01.05.2.</x:t>
  </x:si>
  <x:si>
    <x:t>Rückbaustatik Bauteil Umkleiden und Duschen</x:t>
  </x:si>
  <x:si>
    <x:t>Rückbaustatik für den Rückbau inkl. Kriechkeller,
Sohlplatte und Fundamente des unter Pos. 01.04.0003 beschriebenen Gebäudeteils.</x:t>
  </x:si>
  <x:si>
    <x:t>987e7819-212a-44b1-b3fa-7991eb14fcd9</x:t>
  </x:si>
  <x:si>
    <x:t>Rückbau</x:t>
  </x:si>
  <x:si>
    <x:t>Rückbau
Die Entsorgung der Materialien erfolgt durch den
AN und ist in den Pauschalpreis einzukalkulieren.
Alle Arbeiten sind unter Verwendung der
notwendigen Arbeitsschutzmaßnahmen
durchzuführen und die sich daraus ergebenden Erschwernisse und Verzögerungen in die
Einheitspreise einzukalkulieren.
Die BGR 128, TRGS 519, 521 und 551
sind insbesondere zu beachten.
einschließlich:
Zu separierende Anlagen, Installationen und
Bausubstanz sind - soweit nicht im Rahmen der
Leistungen gem. Positionen 01.04.0001 - 01.04.0003 erfolgt - fachgerecht zu demontieren und getrennt vorzuhalten.
In Eigenverantwortung des AN sind die Gerät-
schaften und Materialien für die Kontrolle /
Deklaration zur gesicherten Festlegung des vom
AN vorgesehenen Entsorgungsweges durch
den AN noch näher zu inspizieren und für eine
evtl. erforderliche weitere Entsorgungsanalytik
zu untersuchen.
Die dafür erforderlichen Laboranalysen sind durch den AN zu veranlassen und werden nicht gesondert ver-
gütert.
Wartezeiten für weitergehende Entsorgungsanalytik
gem. Entsorgungs- bzw. Verwertungsweg des AN.
Laden, baustelleninterne Transporte, geländenahes Verfahren bis zum Verlade- oder Vorhaltungsort, fachgerechte Einlagerung in geeignete Transport-
und Entsorgungsbehältnisse,
Laden für Abtransport
Eine evtl. erforderliche Transportbereitstellung, bauzeitliche Vorhaltung in Containern oder
sonstigen Transportbehältnissen, sowie Aufmietung,
die von den Transport- und Entsorgungsmodalitäten
des AN abhängt, hat in Eigenregie des AN zu
erfolgen und ist in vollem Umfang vom AN in die Einheitspreise zu den Positionen einzukalkulieren (zwischenzeitliches Absetzen, Umfüllen und Befüllung von Containern, Abdeckung von Containern mit ge-
eigneter Baufolie bzw. Planen, erneutes Wieder-
aufnehmen, Verfahren etc.)
Arbeitsablaufbedingt erforderliches, zwischenzeitliches Absetzen / Aufnehmen von Abbruchmaterial wird eben-
falls nicht separat vergütet inkl aller erforderlichen Nebenarbeiten
Einschließlich: Gestellung und Betrieb, Auf- und Abbau aller erforderlichen Gerätschaften und Betriebsmittel, aller Installationsarbeiten und dafür notwendigen Materialien und Hilfskonstruktionen, Gerüste, Absperrungen und Maßnahmen gegen Absturz,
Beleuchtungsmittel, mobile Einrichtungen zur Baustromerzeugung, Schaffung von Zuwegungen
zur sicheren, fach- und fristgerechten Erbringung der Leistungen.
Die Wahl des Abbruchverfahrens, der Reihenfolge
sowie der einzusetzenden Geräte (u.a. Long-
Front-Bagger) ist ansonsten Sache des AN und hat
den beschriebenen Anforderungen und vertraglich zugrunde liegenden Zeitvorgaben Rechnung zu tragen.
Der AN hat für alle Baulichkeiten und Rückbauab-
schnitte Abbruchanweisungen unter der Berück-
sichtigung der jeweiligen Abbruchstatik zu erstellen, die nicht gesondert vergütet werden.
Mittels hydraulischem Betonpulverisierer bzw. Abbruchzange ist der Bauschutt am Boden unter
Befeuchtung auf die je nach Entsorgungsweg
notwendige Komponentengröße zu zerkleinern.
Die Abbruchstäube sind durch Niederschlagen
mittels Wasser wirksam zu binden. Hierzu sind
sowohl gerätegeführte Einrichtungen (am Longfrontbagger) als auch personengeführte
Einrichtungen (C-Rohr) in ausreichender Anzahl
und Dimensionierung zu verwenden. Soweit
erforderlich ist das hierbei anfallende Wasser
einschl. Regenwasser mittels geeigneter
Absperrungen zu fassen und abzuleiten.
Über die in den Vorbemerkungen aufgeführten Anforderungen hinaus sind folgende Leistungen
einzukalkulieren:
- Rückbau des Gebäudes ohne Decke über KG
  einschließlich Dach (Eindeckungen und Bitumen-
  bahnen/Dämmungen etc. werden extra vergütet),
  sowie angrenzende, baulich verbundene oder
  zugehörige, nicht extra aufgeführte Einfriedungen,
  Vordächer o. vgl. mittels staub- und erschütterungs-
  armen Methoden, Befeuchtung.
- restliche Demontage / Separation insbesondere von
- sämtlichen bisher nicht separierbaren Holzanteilen
- sämtlicher bisher nicht separierbarem Kabelschrott
- sämtliche bisher nicht separierbarer Metallschrott      (z.B. Träger, Bewehrung, Lüftungsschächte, Wasser-
  leitungen, Regenrinnen,  restl. Anlagen des HKLS-
  Systems, etc.) sowie sonstige Abfälle
- gebäudebezogen getrennte Haltung des Rückbau-
  schutts, soweit entsorgungs-/verwertungstechnisch
  erforderlich
- Trennung Beton, Mauerwerk, sonstiges Abbruchgut
- Separieren mineralölverunreinigter und bituminös
  belegter Bausubstanz nach Anweisung der örtlichen
  Bauüberwachung
- Aussondern von Bewehrungen
- Zerkleinerung des Bauschutts gemäß der jeweiligen
  Anforderungen gem. Entsorgungs bzw. Verwertungs-
  wege AN
- Fachgerechtes Verschließen von angeschnittenen
  Kanalleitungen innerhalb der Gebäuderelikte
- Entflechtungsarbeiten / Sicherung angrenzende
  Bebauung, soweit nicht extra ausgeschrieben
- der Ausbau von Ver- und Entsorgungsleitungen bis
  DN 300
- soweit nicht anders beschrieben und separat
  anzubieten alle Leistungen für die bauzeitliche
  Planung, Abstimmung und Ausführung von rück-
  baubegleitenden Sicherungsmaßnahmen (temporäre
  Sperrungen, zusätzliche lokale Absperrmaßnahmen,
  Sicherungsposten, Einweiser einschließlich Gerät-
  schaften zur Absperrung und Beschilderung, Be-
  leuchtungsmittel etc.) und Einholung der erforder-
  lichen behördlichen Genehmigungen
- Folgende Regelwerke sind insbesondere zu beachten
* BGI 665 (ehem. ZH 1/514 ) Abbrucharbeiten
* BGI 778
* DIN 4150 Erschütterungen
* TA Lärm
* VV BaulärmG
Das anfallende Altmetall ist vom AN zu verwerten.
Der daraus resultierende Rückerlös des AN
ist bei der Preisbildung für den Rückbau einzu-
kalkulieren.
Bei den nachfolgenden Informationen handelt es sich
um Circa-Angaben. Die angegebenen Einbindungstiefen beziehen sich auf die UK Bodenplatte, Einzelfundamente und Fundamentstreifen liegen tiefer und sind in den unverbindlichen Massenangaben nicht berücksichtigt.</x:t>
  </x:si>
  <x:si>
    <x:t>db659627-84b0-4570-9179-a044c4432a2b</x:t>
  </x:si>
  <x:si>
    <x:t>01.05.3.</x:t>
  </x:si>
  <x:si>
    <x:t>Rückbau Hallenbad - Bauteil 1</x:t>
  </x:si>
  <x:si>
    <x:t>Rückbau des unter Position 01.04.0002
beschriebenen Gebäudes einschl. Kriech-
keller, Schwimmbecken, Sohlplatte und
Fundamente bis zum Erdreich/Schotter-
tragschicht.
Abtransport und Entsorgung aller
anfallenden nicht mineralischen
Baustoffe (Baumischabfälle, Holz,
Glas, Metalle, Kunststoffe etc.)
Aufnehmen, ggfs. Brechen von mineralischem
Bauschutt vor Ort,
auf der Baustelle gekennzeichnet seitlich
zwischenlagern, nach chemisch-ana-
lytischer Abfallklassifizierung durch den AN
zu verwerten oder zu entsorgen.
Das gesamte Abbruchmaterial geht in
den Besitz des AN über und ist fachgerecht
zu verwerten oder zu entsorgen.
Spätestens zur Abnahme der Leistung
sind alle Nachweise vorzulegen.
Länge (m): ca. 15,50
Breite (m): ca. 25,00
Höhe ü. GOK (m): ca. 4,00
Höhe u. GOK (m): ca. 3,00
GF (m²): ca. 400,00
BGF (m²): ca. 600,00
BRI (m³): ca. 2.800</x:t>
  </x:si>
  <x:si>
    <x:t>64c9c88a-4ead-4825-b850-74ea7637376d</x:t>
  </x:si>
  <x:si>
    <x:t>01.05.4.</x:t>
  </x:si>
  <x:si>
    <x:t>Rückbau Umkleide und Duschen - Bauteil 2</x:t>
  </x:si>
  <x:si>
    <x:t>Rückbau des unter Position 01.04.0003
beschriebenen Gebäudes einschl. Kriech-
keller, Sohlplatte und Fundamente bis zum Erdreich/Schottertragschicht.
Abtransport und Entsorgung aller
anfallenden nicht mineralischen
Baustoffe (Baumischabfälle, Holz,
Glas, Metalle, Kunststoffe etc.)
Aufnehmen, ggfs. Brechen von mineralischem
Bauschutt vor Ort,
auf der Baustelle gekennzeichnet seitlich
zwischenlagern, nach chemisch-ana-
lytischer Abfallklassifizierung durch den AN
zu verwerten oder zu entsorgen.
Das gesamte Abbruchmaterial geht in
den Besitz des AN über und ist fachgerecht
zu verwerten oder zu entsorgen.
Spätestens zur Abnahme der Leistung
sind alle Nachweise vorzulegen.
Länge (m): ca. 12,50
Breite (m): ca. 25,00
Höhe ü. GOK (m): ca. 3,25
Höhe u. GOK (m): ca. 1,50
GF (m²): ca. 350,00
BGF (m²): ca. 700,00
BRI (m³): ca. 1.700</x:t>
  </x:si>
  <x:si>
    <x:t>a3cc04f9-64fb-4e6d-aff0-b617cd3e4512</x:t>
  </x:si>
  <x:si>
    <x:t>01.05.5.</x:t>
  </x:si>
  <x:si>
    <x:t>Betonsägeschnitte</x:t>
  </x:si>
  <x:si>
    <x:t>Herstellen von Betonsägeschnitten
bis 200 mm Schnitttiefe.
Einschl. des Absaugens des oberflächigen
Spülwassers sowie Sichern, Herausnehmen
und Abtransport der Bauteile.</x:t>
  </x:si>
  <x:si>
    <x:t>ebb010bd-1066-47a4-b060-dacceff47a38</x:t>
  </x:si>
  <x:si>
    <x:t>01.05.6.</x:t>
  </x:si>
  <x:si>
    <x:t>Verfüllen Baugrube</x:t>
  </x:si>
  <x:si>
    <x:t>Angeliefertes und güteüberwachtes Recycling-
material aus unbelasteten Beton- und Mauer-
werksmassen (RC I), in abgestufter Körnung
0-56 mm lagenweise verdichtet in vorhandene
Baugruben einbauen und eine Verdichtung von
EV 2 von &gt; 60 MN/m² nachweisen.
Abmessungen:
Länge (m): bis ca. 37,50
Breite (m): bis ca. 20,00
Höhe u. GOK (m): bis ca. 2,00 m
Höhe ü. GOK (m): ca. 0,00</x:t>
  </x:si>
  <x:si>
    <x:t>m³</x:t>
  </x:si>
  <x:si>
    <x:t>9e00d513-7fa9-4226-a412-156cc1229c56</x:t>
  </x:si>
  <x:si>
    <x:t>01.06.</x:t>
  </x:si>
  <x:si>
    <x:t>Entsorgung und Deponierung gefährliche Abfälle</x:t>
  </x:si>
  <x:si>
    <x:t>01.06.1.</x:t>
  </x:si>
  <x:si>
    <x:t>Erstellen Verantwortlichen Erklärung</x:t>
  </x:si>
  <x:si>
    <x:t>Erstellen der Verantwortlichen Erklärung
(VE) für alle vorhandenen gefährlichen Abfälle.
Elektronische Signatur und Versand zur
Entsorgungsanlage(n).
Leistung einschl. aller behördlichen
Auflagen und Gebühren.</x:t>
  </x:si>
  <x:si>
    <x:t>fef303ad-1c7f-42ca-a3ca-a93404b157c4</x:t>
  </x:si>
  <x:si>
    <x:t>f6400d36-84c4-424e-8c7d-6b623e68b2c2</x:t>
  </x:si>
  <x:si>
    <x:t>01.06.2.</x:t>
  </x:si>
  <x:si>
    <x:t>Einholen eines Einzelentsorgungsnachweises</x:t>
  </x:si>
  <x:si>
    <x:t>für Asbestabfälle
Abfallschlüssel-Nr. 17 06 05</x:t>
  </x:si>
  <x:si>
    <x:t>529c3d7f-4647-4619-9ca7-17f21dfaef84</x:t>
  </x:si>
  <x:si>
    <x:t>01.06.3.</x:t>
  </x:si>
  <x:si>
    <x:t>für KMF-Dämmstoffabfälle
Abfallschlüssel-Nr. 17 06 03</x:t>
  </x:si>
  <x:si>
    <x:t>890c5222-8f3e-49a3-acc7-35f12268fcf2</x:t>
  </x:si>
  <x:si>
    <x:t>01.06.4.</x:t>
  </x:si>
  <x:si>
    <x:t>Analytik gem. Ersatzbaustoff-Verordnung</x:t>
  </x:si>
  <x:si>
    <x:t>Entnahme und Analytik von mineralischem
Abbruchmaterial durch ein zugelassenes
und akkreditiertes Labor zur Bestimmung
der Wiederverwertbarkeit.</x:t>
  </x:si>
  <x:si>
    <x:t>bcfa332a-b849-4468-ada1-20e199be6773</x:t>
  </x:si>
  <x:si>
    <x:t>01.06.5.</x:t>
  </x:si>
  <x:si>
    <x:t>Führen eines Containerbuches</x:t>
  </x:si>
  <x:si>
    <x:t>Das Bewegen und Befüllen der Container ist
kontinuierlich zu dokumentieren. Zu diesem
Zweck hat der Aufsichtsführende ein "Container-
buch" (formlos) zu führen und dies dem AG nach
Abschluss der Maßnahme zu übergeben.
Das Containerbuch muss mindestens Folgendes
beinhalten:
Containernummer
Datum der Containerankunft
Datum der Containerabfahrt
Inhalt des Containers mit LV-Position
Deponieort
Zugehörige Lieferscheinnummer
Deckblatt im Sinne einer Zusammenstellung der
vorgenannten Punkte.</x:t>
  </x:si>
  <x:si>
    <x:t>8859ac03-e3f3-41f9-90ac-a94ecab6bffd</x:t>
  </x:si>
  <x:si>
    <x:t>01.06.6.</x:t>
  </x:si>
  <x:si>
    <x:t>Gestellung Entsorgungscontainer</x:t>
  </x:si>
  <x:si>
    <x:t>Entsorgungscontainer offene oder ge-
schlossene Form, anliefern, aufstellen,
vorhalten für die Dauer der Sanierungszeit
und nach Beendigung der Arbeiten wieder-
abfahren.
Containerinhalt: 10 m3</x:t>
  </x:si>
  <x:si>
    <x:t>87fc016c-5808-43c5-a583-f80631b19022</x:t>
  </x:si>
  <x:si>
    <x:t>01.06.7.</x:t>
  </x:si>
  <x:si>
    <x:t>Transport und Deponieren von Asbest-Abfällen</x:t>
  </x:si>
  <x:si>
    <x:t>Abfallschlüssel AVV 170605, einschl.
Entsorgungs-Nachweis.
In den Einheitspreis sind die besonderen
Auflagen der Deponie sowie die Deponie-
gebühren etc. mit einzurechnen.
Der Nachweis der ordnungsgemäßen
Entsorgung ist durch Begleitscheine
und Wiegekarten zu erbringen.</x:t>
  </x:si>
  <x:si>
    <x:t>t</x:t>
  </x:si>
  <x:si>
    <x:t>68c0332e-2a28-4ac1-b933-2485fe4fdd2b</x:t>
  </x:si>
  <x:si>
    <x:t>01.06.8.</x:t>
  </x:si>
  <x:si>
    <x:t>Transport und Deponieren von KMF-Abfällen</x:t>
  </x:si>
  <x:si>
    <x:t>Abfallschlüssel AVV 170603, einschl.
Entsorgungs-Nachweis.
In den Einheitspreis sind die besonderen
Auflagen der Deponie sowie die Deponie-
gebühren etc. mit einzurechnen.
Der Nachweis der ordnungsgemäßen
Entsorgung ist durch Begleitscheine
und Wiegekarten zu erbringen.</x:t>
  </x:si>
  <x:si>
    <x:t>7ea4741f-ef3b-4ac9-8610-3a440981d12a</x:t>
  </x:si>
  <x:si>
    <x:t>01.06.9.</x:t>
  </x:si>
  <x:si>
    <x:t>Transport und Deponieren von HBCD-Abfällen</x:t>
  </x:si>
  <x:si>
    <x:t>Abfallschlüssel AVV 170604, einschl.
Entsorgungs-Nachweis.
In den Einheitspreis sind die besonderen
Auflagen der Deponie sowie die Deponie-
gebühren etc. mit einzurechnen.
Der Nachweis der ordnungsgemäßen
Entsorgung ist durch Begleitscheine
und Wiegekarten zu erbringen.</x:t>
  </x:si>
  <x:si>
    <x:t>bdd67621-f899-460c-bb43-44fa8b8f5022</x:t>
  </x:si>
  <x:si>
    <x:t>01.07.</x:t>
  </x:si>
  <x:si>
    <x:t>VORBEMERKUNG
Stundenlohnarbeiten durch Arbeitskräfte
sind nur auf Anordnung der Bauleitung
durchzuführen.
Angeboten wird für die jeweilig                         Arbeitskraft ein Verrechnungssatz,
der sämtliche Aufwendungen enthält,
insbesondere den tatsächlichen Lohn
mit den Zuschlägen für Gemein-
kosten, Sozialkassenbeiträgen,
vermögenswirksamen Leistungen usw.
sowie Lohn- und Gehaltsnebenkosten.
Zuschläge für Nacht-, Sonntags- und
Feiertagsarbeit sind nicht mit einzu-
rechnen.
Der Verrechnungssatz ist unter Be-
achtung der preisrechtlichen Vor-
schriften ermittelt.
Er gilt unabhängig von der Zahl der
abgerechneten Stunden.</x:t>
  </x:si>
  <x:si>
    <x:t>4a12a55b-b4a4-4a4f-bbab-4a290dc091f2</x:t>
  </x:si>
  <x:si>
    <x:t>01.07.1.</x:t>
  </x:si>
  <x:si>
    <x:t>Vorarbeiterstunde, wie Vortext.</x:t>
  </x:si>
  <x:si>
    <x:t>9b509d6e-8541-477b-8863-39aaeb857342</x:t>
  </x:si>
  <x:si>
    <x:t>49acc1bd-7747-4237-ba3d-98834209bb3c</x:t>
  </x:si>
  <x:si>
    <x:t>01.07.2.</x:t>
  </x:si>
  <x:si>
    <x:t>Facharbeiterstunde, wie Vortext.</x:t>
  </x:si>
  <x:si>
    <x:t>b0bae816-0abf-4830-a53e-2284b4b52db9</x:t>
  </x:si>
  <x:si>
    <x:t>01.07.3.</x:t>
  </x:si>
  <x:si>
    <x:t>Helfer</x:t>
  </x:si>
  <x:si>
    <x:t>60938856-c5a2-4748-bf56-7dab3e961262</x:t>
  </x:si>
  <x:si>
    <x:t>01.07.4.</x:t>
  </x:si>
  <x:si>
    <x:t>Großer Bagger</x:t>
  </x:si>
  <x:si>
    <x:t>einschließlich Bedienung</x:t>
  </x:si>
  <x:si>
    <x:t>d</x:t>
  </x:si>
  <x:si>
    <x:t>aa64cfe8-3270-4a5c-8720-32ca60fd1257</x:t>
  </x:si>
  <x:si>
    <x:t>01.07.5.</x:t>
  </x:si>
  <x:si>
    <x:t>Kleiner Bagger</x:t>
  </x:si>
  <x:si>
    <x:t>bc14b2de-11d7-4d43-9328-1bf59f2df43a</x:t>
  </x:si>
  <x:si>
    <x:t>01.07.6.</x:t>
  </x:si>
  <x:si>
    <x:t>Kompressor</x:t>
  </x:si>
  <x:si>
    <x:t>in schallgedämmter Ausführung mit
Presslufthammer,
einschließlich Bedienung</x:t>
  </x:si>
  <x:si>
    <x:t>fc79567f-d59d-4b90-9d9c-8823d664aa52</x:t>
  </x:si>
  <x:si>
    <x:t>01.07.7.</x:t>
  </x:si>
  <x:si>
    <x:t>LKW, 12 t</x:t>
  </x:si>
  <x:si>
    <x:t>f45cb935-9b2e-42bc-80e4-2ce5f5628043</x:t>
  </x:si>
  <x:si>
    <x:t>dac0e5e1-1be5-4fb2-b3be-7ddb1537852a</x:t>
  </x:si>
  <x:si>
    <x:t>Summe Leistungsbeschreibung</x:t>
  </x:si>
  <x:si>
    <x:t>Brutto</x:t>
  </x:si>
  <x:si>
    <x:t>2140</x:t>
  </x:si>
  <x:si>
    <x:t>Einheitspreisanteile</x:t>
  </x:si>
  <x:si>
    <x:t>Einheitspreisanteil #1</x:t>
  </x:si>
  <x:si>
    <x:t>Material</x:t>
  </x:si>
  <x:si>
    <x:t>Einheitspreisanteil #2</x:t>
  </x:si>
  <x:si>
    <x:t>Lohn</x:t>
  </x:si>
  <x:si>
    <x:t>Käufer</x:t>
  </x:si>
  <x:si>
    <x:t>Name</x:t>
  </x:si>
  <x:si>
    <x:t>Stadt Wesel</x:t>
  </x:si>
  <x:si>
    <x:t>Straße</x:t>
  </x:si>
  <x:si>
    <x:t>Klever-Tor-Platz 1</x:t>
  </x:si>
  <x:si>
    <x:t>Postleitzahl</x:t>
  </x:si>
  <x:si>
    <x:t>46483</x:t>
  </x:si>
  <x:si>
    <x:t>Stadt</x:t>
  </x:si>
  <x:si>
    <x:t>Wesel</x:t>
  </x:si>
  <x:si>
    <x:t>Land</x:t>
  </x:si>
  <x:si>
    <x:t>Deutschland</x:t>
  </x:si>
  <x:si>
    <x:t>Kontaktperson</x:t>
  </x:si>
  <x:si>
    <x:t>Email</x:t>
  </x:si>
  <x:si>
    <x:t>dieter.hitschfel@wesel.de</x:t>
  </x:si>
  <x:si>
    <x:t>Telefon</x:t>
  </x:si>
  <x:si>
    <x:t>0281/2032312</x:t>
  </x:si>
  <x:si>
    <x:t>Bieter</x:t>
  </x:si>
  <x:si>
    <x:t>Kommentar</x:t>
  </x:si>
  <x:si>
    <x:t>Einheitspreisanteil</x:t>
  </x:si>
  <x:si>
    <x:t>Ergebnis</x:t>
  </x:si>
  <x:si>
    <x:t>Configuration Version</x:t>
  </x:si>
  <x:si>
    <x:t>Service Specification Index</x:t>
  </x:si>
  <x:si>
    <x:t>Worksheetname Overview</x:t>
  </x:si>
  <x:si>
    <x:t>Worksheetname ProjectInfo</x:t>
  </x:si>
  <x:si>
    <x:t>Projektinfo</x:t>
  </x:si>
  <x:si>
    <x:t>Worksheetname Calculation</x:t>
  </x:si>
  <x:si>
    <x:t>Kalkulation</x:t>
  </x:si>
  <x:si>
    <x:t>Dangl.AVA.Converter www.dangl-it.com V2.28.9 ©2026</x:t>
  </x:si>
  <x:si>
    <x:t>This worksheet contains configuration data needed so the file can be read again as GAEB file. Please do not modify any values.</x:t>
  </x:si>
  <x:si>
    <x:t>Dieses Arbeitsblatt enthält Konfigurationsdaten, die dem späteren Einlesen als GAEB Datei dienen. Bitte ändern Sie keine Werte.</x:t>
  </x:si>
  <x:si>
    <x:t>Created at 14.01.2026 18:10 (UTC)</x:t>
  </x:si>
  <x:si>
    <x:t>1000:FF175D197E00BB1BCA1B226EE64AF9D44026EC6C7371D5574ED6922A80D7E006:B6292C328ECA093E13DC2C9BED5026AE:w1lrAylyhoYwb73iFB5wF51iffkDzts7qK9VzCEemcqBtALezM3E3KZ1rA4eYE/Y8IlesY3amxlPw7kw4vSi78G5H/jpRHyr2NHF92RQAOGIR12nuobNrS884mal2KBvdxaih+UsZTi8mia2IdEy9TWkdHYw3aVgGoFtarvJyhRhJAx8CT+/OsU8iTxHTVfdq7olM5IsHpec2wgBNguBHfF6HaInUr1p7g0aMbD4wvK1cZpxjUftvGwHfabsGirafwTATySPfuTotC/8mSSK/mnDwaBXaZLFIuwC/D99lO3HX00OMr0RWoJRxdt43zsdxHQV9WVHgu8P9D8GKGjBTEReAIc9TgEn8WErN+Ihlm8H8luwRv1ydfPQ8kz5eV8/N1mohjAga3woDhFVOVmZkDNh6mGqZjsPerbHM1bdYuOYAcXg7bzY22upCGvUemppRHqtVrFGv8fHD8kpl0L1Rjwhqysjb2TBqyfcxEx9gqON46j6zQBSsz/DFoarL/DtdJH783dBBOFaS17llgZLND1u6Seur0SsJi3+9t7z/cHWROX0QOsinAA5FAwhCW0c2HCEaYglNzG3nUK7MQ+385jfQEiWHV58437dsMqLTrid744R5zGXWwHpnUCLfFe76a1NCAowI/M7AzC2d8VNk1WLQ3jAZE/QHUg2RxFdYYu0CQXGc8F24ZoVOLtWd02JnVkOSmmyFDv6QzlvrdllsZ/IztahdtoVJjTv38GYxiwNxc2tdfpij1pp9uwizHt8wlfqPtuhEYXA+t7b4sK7tsA5mpGTnjPE7UYjpChtEN+iD7MLhr9xs+oQFv+ho0vIWHNqPXg+p+YeHBtbwthViLpK8qpJYtMjg9Rf8M7dAuJq9NVj/7X1BrWczqh7toacb56Plj7LCi/hry+AGMbfzyzJHeIAEQ48E1HXNhjeVHEbZoCV2TcfghN4VStYueV9WzzTIq/Bhs798GWBbd0nrLD2lAWzcI23eRzY03CO1G675fpClsA2e9lxsDUOgy2Qdv/AQOK6LmLk/BflHgbvTlhAAj4q0WdYrdKZBZesoOqKl9pLuqJcThZyz7Rnqvr8AbV/S8XPsvTyMssyXpR1KpYqqIJESQRqUgXq12Nfge3FVDE7CtqQOHinmTWBdbdm/MT7QGCmRFPO1+V186s8xQmh4CXrVSSPJGIYrBhCm+uksSjQpEOhXHdJpsrKKVRWw92mCCdqI9xPKqfrWVVQnej+FaNqSVV9CiBKnEgJh3NG47qO+OKPY5yoa2NjBJH/qtngcuw473EzT6WhmlC4k1wy97oJvr3J2Kb2hnaLeQz/tH73512FJcKMoUkLVlES4F8Ois5WhTx4vDizivHkCcJWPn9qXJgqJGoq8F+v/81XLtL8VPmCbJKQVdZqCPhanzouCl/o4a4Z7isHotVROW1ztZCWhdbBldnyexmx3IowdlX3ORjNH1cQueS6Rqa+fRQixqLUQdHW2rRV/KEOh5osQIQMaM2z9r1/RYGRlnMXIfFDwcLdT8OcJquXUJmQEDvy4RO1WPu/3AFEQsBv5h6oaQVY0J60sxpquJFdyL3XdWmk2kH3dnFN46hB5lYRdQBQdKpz4wAMeIHdgmBMUKHiY34lhfw8WIHDMZXcHXnbcaUyDUq+OfRtfw4Ii4PGrg310/9xWo8Fbv5eWswmvYB6aIEPetejIr8v45w4JJfUt6TLiB29xJuENgLRHCY299KCCiAHL7yaz9RJc7QicnVUG9hJ5I7OAcv2poJ6EcWVGiZTQpQrB16gmL0uWbS8xpGoVSL9S0Bw3Q5MVDqlacx9AsZv42DOOvNPIB5cV8oQZBZh3l5YdpPs/LzDRdM9LHbywHrIgENl0rPPY++DALsJrU+OH1mW/cnG8ekWamfKgc/hK1jzHj8ZDYegnN8jChYGm5uqA50KOdzU74vfPQOW7SdRP02MCj3q8JrjRICwcy6dj3SKYIJupRPoCIlksVUDKJqGzHLlxho6wjNvlXxFYN959Tc+VAj84U6GOlvEf5n4dwgy3dqordMq0UftBk3IyP/3M0hB/1MIb6sU/+xmzOJvgIFsBTVCXFv108w1ZtIWlUnPInAm7/w8sbRGJ/DJLOfUm96+xdyktX84DCeNpL/Vb3JlLI2ab19sU9SmJMkD/oocNPqNRoSHLX5Lg9i6f8euQCwfU5PWn1o3gsQy1kotp/GdRnLKCsMhvB3WW/o2c/XnYumZ9F7nuyHXGTtoyCJ4aeU6adlsXj/F25GE+8kkjpAT40CigVx4K7bfIkO34uM9G3csE0ojsXIszXVwp+Yl7lvnRbf5yW40P5ICky032j1KKzZxSl4BeSFeHgbFjeMr1mWAGuAQMzL5z9hj2Ef7QBm6uWRRNFh97zUW/x36uWny14RcsqUZSth0XxtkPMtnB3Z/eoYLRlHBSj8QkleSWv9eKLFP0a15QkHR6KU0DshLo5f/xjgCQopZAQRMG8Y2Td8mU52VpimaXgT7IOcmpPBGJBprLNyXvVn5r4akbOh1A5uUCCCaQIUw4kvlAMBNS97v6ISfN/WUYtR/4lc4pCuuOiw+FKpJQQQjn6MSHMCY5QGKwUHPB+cxJVY94gTkcPhS7uaDMiKe4R/IbFS5DdVA/HWVIB1s7SqgOW+wWXQduN+BJkVsZtWWhQIbmJFeqkcnUPV2i/is/006KSUZoBlxRje+VrwU44e/h4SCl7Ql9PupneRP1kmDMzeAPREwecIlhZd4WeGiAZGzvgNyjobca0thMdHA2qIzPa2EcqnhNfHEmy7G8oU6zRRFnsHn8sFEIFBWtMZ8VVYhpBwv8Jog/FeyYy1EMyhZ3Twru2ut6mJZnIa/N03MD/6IkYAZtZwnHSWP+epBPe8S7h2MPJrabblFCoXjqsJ1CBUA7Y45c9sOfVExi/Etm29RI26T1aiLIfMTa+GH2op9hFeM+rgyx0rhrrOHHcGgsNB7rx6rsWY25x+P+ePK/1PJEA8XaGUTtJAL+LterXrtTEIr5uh/hiKGM4w6Dc8rm2CfpvLsn2tO4fH5cxR91nKu51T6oDn2oidjd1G8B3LLZyT0kTAos6bG4ejq8Fj/EzC+IqZ4UVAdKKWGk1Ry4Rp4gtBkpWUwOs5cjVCxSwYCPVQwPvCpKOwC7EuK79xbAxnK+9rmtvplaZFsb/AEEp08cxZs6i3YvBnnKZDlffZs82CwWtIaeggHMYFD4x6Qncew3eU2zXxQNQHrRGWsPVCXGnupJ38Wra168Tn55kvSGGtPFvhHxZU1b6wJMUC5xbgb/s0TuB7iZt/4FTslKjKooI+wlnlwE+D3dLQwRELbgbbFu7ULfk1nBSdyFToVHD1x225D+M4mSfL3MThvFENYaWgJXY4OInFR8XtCcmTQ0BtDi3r0o49DyOUHzhqKHqK0S2GCKhHfvWWCuyhZZqt9AjA0Pv1u8vSHjwg7Na4/gzaSqJm5Kd9FuocBxo7EWKlCWKnVEhK2jbDmJWJ1Eodgc2c9S0z0yiCo1V5iqmCaUbmrWe6436vwjdteJ0y2zXrLgB61ArnlMNCoGYKeeWGmv5fV+eg1/axlYQ1VpNiSQps9F/4kK+iLVc0OmgCaecypx/WheQ++f+CTt9MFJn0CFbckDlKIPmR4JVz8CwVcJ+iXqr8U59vzaH5fIquHA2kVoLrLM1byf2Ak5zhgMU+uZABkPQNCXYO0ocjCQZAYjkZrQD8aBzfYKSQOSu92fK6DYc7DJWgNi6j+h0tF6iQM/2s/oZ06qAGwW/Gl0K8remfhn3BtEOgQoWQpOaxhjqf0z/Hmt9T1i7h/6v50ojm1oHAvY5pX0gRoT6NCq43ksee7bpIlk0wengD8ZtPzLfLdP0I07QpEQUvyHjsMrKUoNADzpjixI0bqigFr62Jx+PFOoJiL07E4E03jOM4/Thl+t8ROUil4CNN2ZjrBtrXiuCO4eJsfRvUMrs6KVWnQ5SLpx8vUQMniYqV372++TGN7jWbehR5GvGt9bwDrHAHxoO9lhYROeKjBF2gWP6taMWyljCcebh2ccc4s7Aa9KKHUjKN8D4Rm1HQCypizBh8XdSN9xgfphjzs0VbDN3R00A/2XPR3OVbqH8XaNEAY+gEJ9h98GDtM4jRH3UWj35ZBythzQGKmEJR8gWrCOtr6z3d0UMPe3AP6cIjj7Cf3ywSKmKj4XVrBwpfGwe81qU9DRQqyXdyu7iy/xsZnupSgYZgBKtEbIcojV8f3ea4muzjravH3/Uu0zgMMEohT4IGajTTVU3zI257XD3+VHICmXcLrZSm3QaPisElUxVEG1XObDQnrT2BlJNuNjdnN3cv8RT6FZGKeiYeVYdccnnDLQfsXR/WYPSRhDqlJ3ZQP9GiXTziYSStsA2ShgYzCeLsOZVtDAxNVwChvFrH70uP9PsgHQt4bjWzEurz4Md6f7IZU2IvnSS5sl57cvfYLdcbL87OR5uC+9ux0zUZZrVGuy8XihnPlO6nbfsfPFvmVPIca71rVCU5cCtYQV8/h0EGQRjcJm2Pykd8lrrm9sCTdPK8aBNbMDwvhnEaFlbTq1d9zNR5c+D5kWe+d8Dp9jgYcUDi9u9uJHHKE7Fd4ZcCfQSnmC1op2uRNAyiKGUGyQNEh8nfg4gXf4VNjN0hGuGQt4uTg7PXpJoMN1EkZK1j18KdvcdnMtJdbdvYIb8UsTY8fuETU3cuORQMWDJlYqbI/NTy9gvQlA72Kt/IkSd2bkAGZ3r/BO3uXeMM6nCmuAAgZk9Auhe4HgPZSt4gSGsbaXkqAizbDtWp9nzLwO8fd/PCnNz29YgKCqTNv2ECpggTsT0fuL0x+/+fmHE2mLacWLAKUskn2o40rFVcxeV65TsGEQsBxPNE7ympaBXeof+uSJmEV3jz97JkTO7WnCnWi7Znf+A9QB+HGMzOONYQtldzbyTHnBfuMx7rvhUordRyQxMhFStRHVLeOIMHQfzVuXb7zujHy+mTl0Y/ftnNafUO+/TrRNd4s2adO+2cIJsjm8S/toFFAtgf6tjV5Aoa4bB9oDRCtF1XwxZF2jtWXyhFqjB38/Pq3DROx+WCFKPvFUCHz51ScfI5XkFzToWilJE3MG4o9OzDfVFn/eH75iBAshgHOYrH3FmN1zOFvJ/MtBncvsItXuJVWWaNQ9Pk56jdnH6VYebaq5P67I8nY+9v8Vjb4oUoMLjWFw7eQKFwrVPe07YP1PAR74AcqrjE3cCXqpzz2xZO/1Txdis4JsmRKy+axOFT0x8E80K8hN73iKM63jadpLJOjDo9DanmxlkfJLNCXB4noyBA429jTagQkTpVviyJ7RjS6Tkk3MpEv1CKbCsWecRnNIODH9Lk3lV0QL5mWrEMKUzVEgAGSZzjFZum57v7zqEcDHIPX8jdaw9eZSY7MtikXQvXuIqK6XeDvfq8CfpQDUHiBkTHW5Y2dpAJHUfw6k9G9SY1Y04s79lazPdmzFKIyDWmMFiZ3GTHgE+MWb5xw2HfjoTCU0L+vyIrHNV76BNhDmWrmhWaejbXPAkj3T7VvAteeCIbM7ScNyFYCSdWDlTc648ABwTDC+Wp79e3leh6V5c4XNgIgek8xF/KJyKWPOhd4BjETkQkJtuh3JbiSPHhHtK2uHwEHKuEGrm7zvJh3nXsKY3mVjGfxY2LbcAmhNeqBB4LIIpxvCwjDpL+GydTyg821p8HnY1WuZp2nGemzSbU+J+DBp235tOOI4+n5g7SuUTxzR8cIUN61KzpDap61slyXlYWtMkUA+5hbau6cjKolcVOXHhT74AZ4VgkFyoayKnDpWKHGXbgEfAy6bZ0horyVr1E8bpTzoS6g0xVe7ThZ1/lcLHJlOYYUZLSYuWsHKCB06pxQgB8NwAMqMd2HHwk85vqY/Cz7HEhqVcuW31/B6yI7m+9fb6qIkFQvmZsVi9rqbykhXyIhlg+gxtUwsP332XQDN3+FnT198h/AcB0oDIVoUDHHNy4rV7CuXsan0+wMLqU4V+XEHPPJam7EdnUe2edGicow/d+Ka8kr+xP9qLhWXv/lE5LeSbrnIcKFSbJjLnIfb+AbNvio6mOMk43UFM/u+orcDSzKuwDi3zi10vhr55Y4kJdRwwJXmarvUn9T1i7R8TmrKhVkRna/NN1j4n31rBv0JLeIYQOsqCi7lxeaShWq7mafLxjcrHzMOXdASWS9flZn7FpX8/Pqb/UPokI08+8Nxzq2A+DTJVVunZgSqjID3pA9JHVyJE/hV3sp4Em2HRt40qxj5NcCfzPHvjVckfZObSVuCmBXT2bp8zsiAIo7UrgJNXIh8hwy3Dp922KzZWFWSa4xuvIGtPzaCeV+vbdLQ8Ru/7kN7QFtqWCMxkAmgQTT1zxzshV/Xusu9jygMU6XDnAoi/6y8ShSNVQneK8nvkrcE5IPPTG6H86Z/v7wnXqfVslAGAuQtQMT2wmTeJgIRdg8Q8CLqADm4VZI9wI54mvx2/8FgrEGwIhZjRafGryQeXqBmsrv6R7isI3ZrfxQFWQkxN3TNmYm4SlMvnpGyYgDm/xMO01U7cryG5oDh86nLizHOdkO7KYOGnb0z3g97o5BcOixiHYkz5aoTfD2qA2+215yFR7CgnofEjr6M5PRA4cYBMY25nGmlexeRO+tjOykcRn7+ux9gw4VWkp32nr/R3LC94b2y8kapAeQO0xz+nAHWKELVI+T/lvNKJaRDDzmwqY7ddlnOniiG6cU1ZX5gVw0lsAmOjSqpMVyFnUqrBLEvWzdaC4vGkfUeqbHi/fiG9ortaxfvvntKPSX6L7Dz2U0avIyxnpzBC3RSwXMq+XPtHHw5ZdGTotyfphedUQHF1y8/sXuaSECxCZTS/D76X1iWKC2QZ1AlKS2Ss6Qaa22T4YlKl1EAtMKcblj5r3r2JSa6tLM91eXbgFmbkzbnT/XEWq3bkTV64zItcZXKHUI/g9q4BE3/4r1A0JlGQimvC0hmN6LHd5ad8lt51qTR00yaHR2607djzGFolK20sT7c7ilcyqygjtyPh/43ZvzoBjBN39JTxx9aqR9Qm6LqmibaAQw6NdgJHZP+EWI3QI5de0hnYVx3wohNTb8tJCGgRK29aS8Ms6aQBlX2IjuyK0bjv+PKAJkz/VqaFjZHZ477To1/lZJ0fs8SinZWC6PZ0MIpFmdFK6GcLyC826najO0kVYOf/qM5ojarSM192EjTX/jFFGtPP0QXtDxuC8gpa6GkL9Zjk79neyh/ICYtLp+BGZ+ygzNCskAuDgXHe0CvHm4/457qkI5+RgkuHF4c2QJQwF+E8ddAQyb4rUFWwPWTx9ETdhuH3VvuzD2fJiUmrsnPIaliWW+0F7V1ehMBD8pINRX0Ho/W13MdIAdgKYmNpzdtmzz1rVhfBNoq3H/Tfi7BiQkMquzakoZo8D/YspMEuz65PFcCz9LBnRVp6thaZuI9PQnWGH85KkcCJZH1R30BPnsTsX9siz9r7Y8iwVMp43lmw/cuNTTAEpcksagKBQnroVtEphljDE5V0pCix/rsuWqnjoqbGofew66zD9VklGwZI18KxWsO7K3wI1533aJtILuwf/SjkryJrrQlKce3v+vZgl2gCy+Z2Qq9ns8FMpNH18b3tlWTNNRecqn7WFM48B/pyn20l+pCc1mKC6b+i5tFvSWcCeJGz49fYlu7ScrlMCrP+cGwpCkqJnHtraK1f+qv/9+C8rWeVmoggK8z3gp/Qf6LggQEVhZxKlEJdWc1GQSZ0dIqcOLN9i6N0NpxFDL3/xpH2phnb18UYkFssNbWZB8M7UFu64zBxo9s3RqAwdli3YNQXtuyQ/ci3vVHTCzdlGEVuCNkDR4hPVeg0Fw39gtQUSo/t9bDSS+0XUkPJdq1Cm8SH/fn53I6i+Uf68ejTJXWSturdQBP/UGIuR2TKyj2Ih6K4L+WiJFwkJPJvQa0WkzLxk5XZK3MsmnoEqM90hSDDsXZ7SVfyaJdzlZLdVrGrQrmnosX/JwQsuLWH6eASqR4V15BHJfdBMEuoUi7J0vsh0ahCc3AyoHPlHeXCH0U1pkSHBEzEiymbgUVI0EbYHR4uy7qRFL0R7r+bLKwTdGsjaO7A5CgBw8ZsIvjY0rilh2u5dsxUueHlUr9/1dNiJqbWQnWf+M2UuEB3IW+TpOk0yR//NJHbc/vWsM4xSVCWqfOF11WYAn6q7lAY9ZnK9TPxQO2o/cyDnrw0VISxMJQ3xD2dzgpGFdetFrr8eD+iCgkaZ66btafw4fpNeyurNJ9c1qJE3B/c/3Xd4NIXIPAOrHi41aw4o5tOyBhN+DSzs65gBLBKsaXiFhf+CWl28E/0qfS6BP5IdmVpBrDJwmcSWpWXR5rIixrfTkoQrOuzyUmIA8EH/r/zUKHrpULAN8LP0oV/yQKM/UjfPt6EqNNE4uS8py3wehH4iPhDXLOyU+H87Tgokri2mMQgUI5RrW32QEVyeYh/fNqG5RsA3dxizvMzm67UZODpIburUQ1x2QC70gTvcYHeGQ9ARiIO4MrqOjUZgatWqepgxSSgkGJAnZdlKEJ0+JdXHvfaAJgeFpUDf9R3lPM9lEzhrMY8eV3EnDmE41WobMjfw7gpCqllyRdDjVTsRW/m//ZOAh0ipiJb59dN1edEtMfOMtfqkmDcP9LpOND54Vn+Vlm0htaLX37gYs4Txda5lk1F035xa4yLXwvFiVefvlar9njmHJ6ZQ/sjPedL+EqfaZ/IZPrTH4dCJXIGDWo+LasGV4SaYjmfMl4RCTlN5tl+QtHNcZwC5DTStDNJpD3LVXHtCACCd/0pZSlOS3AgYC3nJ6F32SQvNEltmFt4cfAvI20PqwzAMXoKA2HelYATR7JVCSrn0fciZ/aDqtHk4lpmgAm1k0S1UFpDfOyqPKPZdoXeQFrorU4TTFrtzzq5/KGdDnE1wYV4F6itBrK/fkjCbM8DXFToNToz6EP0t/eMMj336SYcK/aCHJJvY1N+6nzvIDRu7aKVgk0deBRYL2Z3e6xxAsnb0f5wBgMMfOYARfaC/cyhPxx3gGSPxZiEMbVecQFHbZbKfPU9111bDs/ZXE70GcM5tIbINi99RjnzbtwA6ZssJVk63XdusJsoxeMUqrlTAed58uS/gaMv0Rbvyrn+qqQfvA9pBtPskGNdhfNwPvjSm2QdZUx8bjCfm2Zs5yHvII8Houa66tzKtyFKOJCSo4Kj8P0qUcXyT/CNV3HPZfyJx4gdYRRfnswgXEl3axaqQH3VPUx0fxWnKn7CCOyLWOC6a5CMpHNDDUizCwxrlbrUwau6hP/AmtYV5IAZEW5rDSPZzey2o6VTXo5VQwUH/opLmTIrVNrA7a+NPDWR9CthdYRl8cW/YQ62Rjojg5szy3JGy5lLnB/sLOX2EoFIGiJ5v+CBcN31js+RgMJCIgpCHnWLRnAIcy1YFttZSsVni+PtHTqASZaVpfkCzr7sk3RnSP8rgRFsVjIZJDb6LqzNsrtl3THw502MarS0xzFjGxywokOo1JdYppNGM0FRXgjjXihBoDnIpAE1JPxkDNjOfvlLRSBGSY7YGaDKRyC+pXWUzjJsKqdLZFjN1RB4NJsTxTHw1/bVvI2WGpmu0mJ4XghG9ET8nJNIJeArc+zruDkiWKOTmGWXX3mCGST8x7fIhcVxHCBq9Giw8hL6eIHPNs/6QoRwoJDmAbyUrflbGFtfpmwBGuvEcHTbZ0lzkpbWORe4f/cMzHsvPkmq2Nned9terl5sqjCx+5OAfw0Ry76Xgdtw3NZpBHrWpTQinLExuUTR2F8Hn14Qq++UiiDnmJYdKsiz4PaCn6hk+VsLsZL6Z4RqdK3TaBHwA7Keymfr8kU2o3nnnguDwso0t1IYB3yvta11b1PQCMGmYxav9NuYH/FoRJtjpf3RxkIZi3Eg3s1iyjdRH/Gm+8zulWQdYIcPkHd1mD5sBpZ38tsJGUrv12JVGl0FU8SWMrhEmv4phSP3SAppUmCSvb5Z88802xXK8v13/ehGeTj0BTwi61Dr8FyqxVOOk5xj+dbcaNMik7HcdgWcxi/WB+ekm5oMhyR0bPfHdYnsV0396xy95L7ajOAaEFE40UkkL0LILdlrS2D6q4VlUqdKPgk/LphBKlKBHvG2ZY+ZPshXA+TPm9Kwz0r5LtEgbXccb22ZC3iGOTSvCtSfjzY5f8rIFaVSUnx1CpLNCRZRpmbzCLhrXvPaLT6G81er0tb0kfVNLpjt1yZ2TXy3mwjkT9NhZAojv3iV0XS/FqwY17Vw/gtuujV3WdVy9n6ErAa91nBYbooDSTVcZddsylL55nqxSEnGby5jSjvPo0Pbk/sjFTUC2kX5/+cVjWIwJa4hz+W39FVXO3CeiCIoNh61p1atha3ozOrMlWfbpUfe+GBoha3JDB1ikmixuX6d47JQgT9zIDv+FW05PIWA4l6P4alRjNhM+ZnI+vkAjV6pqSHlEvD1zp9hXckX/C3oQcixIIFmzXmz4/hn40uceAVL2fxCUBWKeXGAb6c0gli1lz1Cj9G3tnqvSB2/lSee7aGDm44XiAskqfp5YuhnDXhgy3cQ5jCdOX+Th+bn2OjWbDiYsytK1xPvdba5cWyutigCSWBUJugTKXmrYqxgYytRAhBSFWzWclu1X5nu9FTN7poWWdxdWV8vY72PgIRcUSRulGnbtLrSWylPBvhbNMdIUbqhmx5PHhIONEo31IrGxRqEINsCfJma+1Xeclbq7JHp34hHNcrwDgAl/r51iqM6RCumsZhG0MwhOAx98mayKWFN28R4h3cBN7vwCXRfQ7S7oDLAQfH6IIOUgQ/iwb0tn8pTMhMI41hTC74AR5tVu/iJ+qPPyJUTHAe07fS875sUmSghFdfumMxihMSPpmmtuzDw3CzlxYLdM9nbTYqZgqo/GaMKA/QwyderS4pzZOm+xfn7wAjlbWtzTk//KIYCIyzXr7JyZYy6VIXfWUvIfEfP+l/kW990mtAe0SXWGmD7XSz/b38H2OiHRh4cME+SZ+8BbRzwgcFXUptWt+YQRgx/aCHHhUgfqVvjsPKesCOFelb6T+rkbfpebE53quOv832paD/ABiOizyw5YjyZwSBMv66mIKG+FPftsIH/OJkeHozCWx0x6bNn/HqHoy+Pn6WxIRuLsaXmTaCu0KrCbLnibQ36pJ84yeGWYWw0r6AhDtVm0IxPFCXKR365+3+HdJKI1+4Eilf0LJ+BR34xJ20kedpumEK8lIKaVkDd0gVhzhtxA0iRfP2rbOnC/OyPghpKOkvSRoPWVo3zKn3Z5CiXUo/rDcGPDJ9NkmUUrReT1FtEDs86GzaKiHPhd0PhKjcnga64fnRf1x3CgfL03AX/xbp2rOrxGe9v31oHfUZ7/hHqbXOcbVq116c76LVs2+5WZiWfTQMlP1LWMGli4cfkTuzQOxZsCWPTvgTboPlYJTrqfTZBA4JKV3Qk8ZfkYtK5qfJrWix9Qm0RzyDjN05BqWD1fhVKmrbHCvItbY1THw1o4xnnEUP8fjTYt81uH801yKZ8VK2+Fl+ZFxF0OsUoCbPheZtbjTsjO7sBI3jFGqCisxII47FCVGAAA4XKTheS4rpJ5aosb9AIf/JGrC4GtIvaj3rMtr+i6VVDnhUpVJn+ILELtkOqSflKEcghUHGHD7pEQLGBzh1B1OEak3ipe10MroFiwNrPDQS4cAMi7drpFJmo372bzMvIzZl9up+Ik9ke4UbBMP3bTa0YqxITv5mHD99g4Yh9lDsAdVRCpACLjkPmRJfE56bI+mzAhtwlZ11fOf5VLuTiNMliSBsPv69cAZ9d4oj6zWlO6iCI63F9khF7CU6I9Kj6GsXAS787wISNt6rEG8aX5An0K9PqowyG7EkEjRCrotHKQSNVv6Bjbva1RrC9gXl/jCEJKg6zq1jXjbfv69KkEpZ8x48jbzmlu0vzrSDrffmmrD29J8IobDMKt6MU1Tg6wj2aADCHTRgTQ9bspMhcnhO+D6sC61gtMW1fpw+TbJanku48nakHSCeck1nVmBLY3m6gmJIjqEoWk6uwZbKsT6Px6f0XDibnHK+Ax377ObtAv1ZhvPl+RQYOmkgv6mtYE77hA3FjLBMQ2+pkW6yYWGTQSghamd2NLPz1tqD9GooeKkJEc18mwHInOLH8OJhNwx2rktOkaDo0mWeUCQkmdMx1GDNbsb0H2XliJ5QYtQl2Tj+PtBhJROCJ6L6E0zLIFktsH6vG8yaKuy4dXXMSy8EW+2IWuU5X/+FK+dQfpW4EK194+iCZj8Vj0tiwEdYJBFOQttksjSsKR/MkTlULEJBWjZT0RR1X1JZQxi/XgL23drnWcGZo/xc2pMUtabQkoS6iQ+AZYLCj+ZE89VQ3i3uI5XhdjZRI3YJRLYkN4eg4i8juvzWjIxZ+VxWlQ+PLduEF/Q8QU2mGmWoVPdzUw6IcO3boY/Ue4s8yQEGQibA/Wqs2tgaqWy5RJXPipFFjiFvQAb3fP07bJHL86fAuVeWlIlPbDhv8UpjizXQ7+0/Ar5O7+zs9aDB5GlN1KCKFHLvwidti5y0SoU0omBkfYnCm3H5p2/DWdqaih4XeMlgASNQH/0kMef1lqCSIu0r+CiR/hbOxKn7Ql9vfJmgo6PzvypHv48SIIe7fimCNOkjp+nn0ctoQTNu4cELgz1HqLqArL9rb750FMRB2Xj7Vrt1LjBihWrhvdH6X4jNfndOCUY7+HxrjpREg3L1F5/0K610e1zfhhFweMc/NZrFxn491bWznPHaV9Dabr9wH6IV97JbZ5yhCdq2GEJIguwH2+nzyAfFREHBCjuAkZphjvN6mii3j7YOzxIvkgLfRjC65hIT/N9IWkM6NGvVTTyqDUbakdOhZ5Vfj2Gsgaf+wNbs2yvIoet9zmZzzwiDjOhQ3+aZZmkuiAAOwJBMukrXDr/ZC0TPUme1njL8T1cbOVy3mDZqPi20b4neY6I0sqMGm4qQ1vyjMt4d56r+hHqeieH7jjMPFt8LLXqNfOFNgZfaohgqZzGYjAtJijHIVKKVx/msKMTQGS3qLi06lyQ23Cco1M4zvKbnECGda4nFe8ZNC/pKAUnRp1MjZdSPIVe/YbEbHyMLnsLpWBNSGjuV8p2VxcKVqFwHvnZ+C6Hy44a5ciDPqPt+nluyFOW5D3AADxlQO/pRoKrXBNSkpDBjZ+rBzAvgQB6rXQ2nzPEVCK/0/BbZffZ0MUZTCcEbSvIBgTGY9B4qjo/viJLxFpVzlN9ShLDiIaYoR9ZpAjwUygKlfPgqoue85MFlduENWy4vK0F1qxl/1T3N0A6q/WIwMRzhAxcCC1QZJbtj1VhoDpTcmNO+3LgMw6dt2iST8ai0i6Sp2qQc4UjKGVA614WC63FGwfTwkBq3muhGFEIGqHv7YqOGDW7GRqs93AYUjo8uJAs5sGImFOUD1Hg5S6bBy/hKWzgu5W+kUq4AJVoDMwJO3myvel065qHrucA7GhD9GJc3Z2W12MR2wlDVfjS56/Bw7cID/bTmgm4SHaLhJ8UA80+o4env690poZoTr00aD6FdD7az8lWTpqPlSzlJjjQx+KU2TTVleyIj+MFWtoLzDno2Mt2veqBFI1jRSZuG7VbqxZErcSvbE7qgdZTKkLmtv0jqDqw330h3ivARyRH2RiR/otNn8pzk8dY+Tn1OgCAOvM5P78rCJgyytwzooEqk+gbJASBntB1+0ieNyzASywouN9Xbb99tcdpKGUgaZz8qHIeplCHAEtsoEtW4yq859g+wTQKNG8bkbVzsA5QZruN+vBoLUbCQRNMezaY7VP0w+njhNt42XXb9z796S9WoH2+BIzuiBCYjL//oavJEOVBd4QAEBcMw+t7YFNWS6vDgOz32Xb5nNvzCeQfLTkaV6PxLHDLh2Kn5fch2xdTJ/3/voTYWhmw81C1b56j8uH+2qN7Fyd4SYP/PUeyjB4eWZlDukA22ujh0JTEzFTm93v0AJOREwl3nb8pyCxoiHhOK028yLWbaKQpYPY3utAJfzifqRHUemSSYaBj8HXj9kgt2NyMMeTbexsgS1UGvSrDu19wH2wOPcno/ir8u7TAb7KpAujDsAzJr5DhTV6BSzwj3fa1PXSX+LTU0XTTo77HuF/tGaoPB0HjhoXfYVdiHKRBV0vk6/E3KbAXyR71kQ0zXx8lDgELLKLiXa6XirxHr+FbI7XA2IA8AmybAHyPoVDnun8CP4kBx6jiK6vUXwGiEFqa+MR+x1gXkXhXS+NK7e6KA75X340emYLXI1QfBmNiPHevYrgTfdnCHFhm635z+dyvxv+M8chleC6dPL0IOuGc9c5d5EqO7oWxTLitBPuyd/L7pZRclgBn2HEx+levADbnftepY8iNP6n3hiuEDOa+nsvFQMIHlm9rqxBzOs+stvE8vDxOX5RpwkrXUXrEQka5Ys9sCkS02uJMkwzd19/6HjQ7qUy0mhQ5ZTY5Nf+tYj45RU6Bj4jb6jJU4J1i3NrspoGlI7eqXCjhAgkvRBjnFzEBtNN0kYrwPELN9ONv1p2/0x36FPS+X3nBqhII6yGOa4K+KAzC6ZCO9YVGQvgg+zoarGghl9QouavAwjI9Q4OTRhr4lbQjpt0zZo1jLFBCLTcuuelN8AhCnm+12NBRvYrVd/RkeltqYX5g390/PqapviPQ3hvfAKpN0w8wRIb16Xfyy6YWD2JQIvZA6B3OhZkMxLUnHnSovGAuQWmYijTh+h6ujwHmWpyhzIkk+ujHvPvSWimYMvlORLxc6viAo+db8Ytm8qUB5YvO+yjSxHBkxBuzr3YAOTay8nC2hZ4QRYuQRK6KHaXRDyh/tRrHq3P8I7NwpXC+fSnHdaHzoIqbE8oZ/aSmMKsaUk3AUSYT1sgWD9VI8U3076y9AmywzVg+6Z1ywALANTn7ykp0ZpY1rQeJWf6pCUeh2F+ypvcZj2d24RzbcZRlyNXk8rmXVRPUV35uyDshFlTjBXGxzHp206s9CCQNOeZsiVlTckmWjfa1wrxP7KNOBzAfLKffPg0hXbOmSVAz+XERqCMlu5IGcYghEUnUYJNK8KgEayRRDfLxC69ofQGHVHwhGN8bjHsw9oA0K6maTcfo+307fy8jIsFSzt3oDns4mR5dUR65vYKdp3XLcl+Yc1wi1kki96W/3uPNYrtuQC2oPenYFRifKpomzspgbXFjSd4FMQE2q7CccF0Fs7ZtNcvzRJ6DBrGl8ODvhqGFUvQUWANqp932k8WrKvAS4xVMNjb+PIbHDFDhPggD+47uEucQ9EEWK/i4ppgUdWs46xvNC/yoz+jBxuGi/bhECBiZpF4pfJeWKyR/CGxLxGi0hJxSKjLCzqpIkslTx2IMFp1yQJr+dV2EYPoieG5u94+64YZG8MF4SjDfHFupUGKyltfma4WIrhiDgAoLGEQoGwbnpaWtXsjVCeDZbMUSkPufXfUCrTgbRSCEj4KHGARedXQWbuGEwsz6R67gG6UQFhm6XKMXPOpbXVlfC/h0nQlCqBza2OWI5oxBc1RpyfLyBjxUu3FofoqRa9mz7W3JAkIacyEI0FPvrPtpAc4Yt0O5wVYDpMR1e6yyrVkTEBJc02u9ibChYMchalxuzN0NWQAVZbOdnFv6M09p79JG4air+WMEAdJ8kp5hdJPip+enZD0Ix7uSrb8ntJvW9SMQPX8YRxXBRWHbKcrFcJtnBCJRV4mKw7OptN0lUi5fwoZYfZyAa0BEvx3DtygTh8L9St28Kv8i7YqKi1qY94CYSYfcaqD+H7ii32LV0rwshrgxjHoFaFa+ZgX7CaaLipj899S0a8hfWjEbvleEnWGFz3+mMH6TkyP8Ju+5xaFzK4dGSLFCzbGD+8r5I3XvCn/ynCOjkgVUuDyKSwvWN6pyOCLfJC90SC/PBVTyKz2gak31pJZOBJFoL9QqC6fPVQyT467ymRtkK+SCWC/F/2sSpw7NTTsrc9Shj+j21Jsy7WWWogAjgFb6hn8n0T6hnAxoTT4FRo1O0Bu20I7lECaSNf12tu2Xm/hdvXoBtYDCi/YljJAEXw6EV24pdbEJfHvbGAM8AQSKL8zReq9ideOylN1oFF6RCRVOBN1bQGsnz6CbAe1i4TKTGZMdRdZs91nHx/6WN2IQFXqq/Mb66X1RzOYi2duU90LCcRp+1fEPTkEN0fMkUI92DaUwKkLxVZT1uXy1d11c0crQ3Dh4GD3m+M6pUcYaVeE+bb/RaOP1I8hJuTbVtJQj9YXdWy8e9WpaPJUx7FpsCxXd3nLQfVmxNMFkx5EH6oEXAMXI+U0GeCMmg8NWzlC7jcOwy+fxnfJjLAZHxdHNY90g7qQ45kOqIknhsUeE8W2CZ9/2LwerfUbVqD4xqbOxjg/iEsjGzNi55glqdDizHRqF3w7f8uuYdQffNGSJdqOyyosH1XIP5kI3cjIz2KoRYkKuSTerxpiu2TATBtv46U97oP59IsiwOixsSpWL13HRDfjAq8RC4B8BTt7Ef9YXwSzGNHXD/VOHtY3hmEX+GbNgj3vjfamG4zWUheQuou2RR9Vo1dQLC0+qEKaXHY3OW9R7LfLMrIyeqQ32LNtMWpty+CDFhrb/Vz66R6+N5qFxLjuEHau1yU1kiRIJJ0/NZIRlLs+6bYskdeh+cLn7UrZeWGrVNTi0uBoMsHsKwLq2CfqTEXPdv6znJYOFj5Vgt6kI2N5tQVxpKZ0LFy7uRI8oh6ysdu/FtZLLPG/g/a0mbH9lS7ISuXDA4kfjPuXFz3Cc8m4lLIVKJyD8nxQt5TOf3HHWCIn3VdbUeLElaiZoY5ALfsS/e+W8QcuaGSaugJ3ougVzD8dbDQwyHQswl951FZDjhSbBG5lj8jSyjhnNZxUAdMiyGSwlywSoR1jvE1D/acfvX5J2uK9P5Y4e85C0Wehf6DEGzPkbjSK1A0OWqFblKs0UqU2OtBsgmCYbOhj8gTrJAzedMQLeFknDICLFpXYISvkFXEZmNhbrN1ImOzX38z57LY3KSQH/TlUF1drJ6ti3DWCnZVnMo6cWr+2MUj3wQS80w6shCjYeS576ASn31LcH3j4hWM9UCpPbmhGiIPiKEVKte5fF2H41jLMVYnGhajtx/PAW0y+f2WrzaHgQXb19fYy+7wAM+rRgCHUuE4HDnlkvSZUFX2/mak8uQUQZ8mGMyS9T01vsuO8W7MtjEusPvKCU275kpXm5RWngRywlC46i1/1chLMAZBdQNtjlxcu/4NWS1FnSj+EH7DTWOC6d1eU7qEwshdiX5IetFLDccpsC/D0UoLNWFtsMKjKbArGOS1XO9rgdtgRhvY5sMmfRBpigXVQO/2qU0zEAX7e4bTaS8hjQu9kmMaWKvAbuKQmlcSU3T/GtVWlj5t4dPzSOERtvwx3SyJPSTPQEfFsrxjMPOE1hfPc48fLzUwAdLHqxwSINNdCdS5IzcYyxto7Ghv/oPiusRXt0uH1MO1FCdVudOQZOsCARjKLmVOd37Kd7XXtnJr4jT8pI12VNE8aAeo1vvAYnf/stNYUc+MidgesFZxT3wllpsLT7YnovNZI7CRH2VBPLIg2a3VbPSLuKTGOZ2a2k+SAUwqaCm16Qq7VOcsa6WvdBUsZNN6A5HgdAz//RjBmNsEqs9yU0uGgU9qBx3QzCpjZS+o9/GFUNFowS81sVthjc5ts+GOKSBUcG8DNFs06DZdVJrfMFqOGbsgOzzqDcCvxUCZZG5/cicEgpmHhgOzcAyBUuo1S129kiiqMjmRXOL1ybE9BtdL3755YAhkvlbFwTm0znIxQBoVU4fjA35ROLm5RdUTTqbufrO/+gqFdD92ud0RDQq+Sk18hvVV1Ufo60tykde/6jC2vSH3JTsTseBY5HCU18hP8ZK7zchnoT9HtW8zWFuRi4+gRIP53yMe21QxwE6jgxedMMT+UmbhzCe/gCY/PecjwsKbYosvzIrkCP/8HkBtAcamG2JY2DL6g9otkwMvLYr/Y4CBEqjgPwqxoglExPWGFnzTgNqt9oe2hy8wHYHeohvcxyv6xcM+h280cWeA7fM9a0Zsz+DBAS1boJqKhN834ZJiNSFXadZSHBRRRk/M3NV9I1R1ZUVd0T+TwBJXAGEX2+E/5y0Tz+DsqxL2/PeLLZe4GzTC1LlYjEnzsmXu2NEQsstt8wpAJGlFWEtDCuoiL2wMvHmrC7nOMQ62lQ6E2j+D/cGXM17a0kOvlmQYTHQ4Kefj4wp/22fHXv2MRklZSL79othMKpLgnlmax5dtxrLTAlpO6nY3Gx+ksUl5S96rPOnTbCwzu6Eh1eu+k7/ALwf7UAuURl+gxi9MseLEvDeGj/iDqWeDGanMyl0hUYopETTSp1ynhudUhkVwJpILA20SesAW0Nw3rNvb3LaDvu0T9IsekG1NCogfIKFBQxyf572P+uZLjVr21jXb1sBpvZ8+COmq6wgedPDgNxWMJvrpyYfbV+jkCTchQs1JrQwrrfX0pPmFjbGED0CWNPhFiaxxs2cBrSLY3vfoAvHcezcdXQffKtFixc2ow9ZNqzVsNiG2JOf8akqQ8ZA5vVaoxHaRrBO9ovvnwjCr6LnpnVbtEt0lssKT6Xcsg2+3ZEPRtfwZqwuOuLnuhX4mNlaZGtd9JAdcmbm/Sn8b+7Hf5bSBJ7I8+d1BQJ11p0Kck8x8GGoRIRQqz3TsVRVUg9osmx+S4cZSpZ28iixFB0J1MYzJgwelwvT1CJj7xSzbKsWH7m9aMtxZPinhh+i3PJp9iXNDCg2Xs3DWaXCEc5zUCEzVu3VtvO/ooR+W1Os6kIn14vH+Ryv1Oo2QMZ1xBYqDb5QxSrg68TzhS/MToraOW4CG04PzDFgFB8kF9UbhXrMFFRHoUMIvA0i0TG1DMjEM5h0xVpOIbR1KEQHLC4hhIhXLPMnMfbCcjDtBwc6hpstX5Kh1gCWKkEYhFOAY+nOCmgbEa1/6vXfQ0evTPG44+AurZiIKiR4Ny0Nchkjq47vVvpB46F3/bUXQUh99TTdcW+XLRYfmlDA8eX6SFVWfGmodj4Q4vhQ2xdOHaa82WbKReI8boqOPRvBW0PD0cL/vk4Bl382V2/Si7gZvpoeZOFrYgBPxKkC1nuMLFmi52sdRRkdHO5AmuxJG5AgohZps0rhknsKTM1cUaJ6TCsrDajPlrhTcOLiaIgcRF5t5UgMwngAgAl8RrpeaUPaIpCa0MG5bcS7sAibmSYfexTa/otjguWDVBZD0lDQAMaBRSiyi5GOR1vf94tXVW24kub7d+n7fpRY41YGzMt28J3OLvkGGQRdNK0PZ9aGcHI6YYphj6ozHRishHPaVHDxM/0w1EMAxNmbuBzorBvK4tXoZb3GMuQ9C8AVJlA1l5DeDreu/PGFoQ7WMB5MKUPcwpUkV3YzgP7yLh0Q2bxYUSl5HxXikTQ9NCazFfP3x1UtWoZvMmqOsUaDodVCEefIYtD9H4d4s+/b6Vu2J1M5WPRfq9wdwXkbqholPpfcuJ7YEQcDENj3V78qWuUioXgsfipApxmw9x27EecAjZtNW3ic8URtGozbkUnhcGap0ztL9BEzPUpa0AyMM6UWevWTK0z/VjgkPedue1GeAUHXPqVrtvi4fwzj1VTH5hIYrb0lIVKSXL3lkG38Ic5HT3d4wtguvPKvOB1ZrsCTziIOFAkm/+fampJoDH9cKxZVxHu0kjGyVC/ihsv+H8vrfv3WWiUbvfLEYy2/FDsGmTgUZ5NE2sgYTOuRCLQjvPCC4RtrBTx1rY7RD3JUCFhKnUWRqGZdzHMn5aWaDqsY002tByl5sFh4Lsjrz+HwGu0LohKg76RPMUiMyPUXF4j04VTmRYJEGz7LzJ9zcnnilmBewicMHq3cF2rb0OlgCH7QGjms7FXtw05hdZ7Z9n70NryBZftOTOW9L42Ex72RUYfyiCTAvcQuqABNRJkdJ5asbJKfv5S42nIEUKjKGeNN4ZmZ72/787FCCxnqApgV1dk9mmL3SsF7MxuzKKVMf+l3NzewJmf+zhdQimr3jF0AZuoANn+6Ol31omx3Zlv13u1Vl4Nl5hzo60RgkIlTyELEjnGGE1nokmSuVJwh3Y4jUMiYAeQLN3BpL3SbfgZ7Nl5hufQCrS0MfziUwn52qyqM4GFbXqeKtvdAB9uYTZQRI1wmcuKVF1doZtTsV05asGwnrrxZ8NvlNzpcbnvjt3a7WFEF+YK3KPFI3pzcC9qSZZ40MPovkLq4GpwCGPdyXukB/f4IZ5ztZ8WkI4pkfRJkSB1dScHlZRCMdi7u/uR/mA8buzKugrPM/13W2OmmmlkHmRs6jRwNqvLtVuOy11opZgnCUYJ2eSzgkmri6yXF2sWHM1uGb9RLZX4rOcrHc/we4ItbSJH7Ygjuu8Yw2VnXM+W0tWVSsnfFn0pZx5/aSee9aTWvQCL3kDDQyeehOZWxAip2vX/RX5G7v3Un2HPOlfWs/pih84JWEpCIA2Y2yX2S6YqWtNBJfASfmUXD4KAHAReeZWx6fkx+1uV9rHDK65o56K0j5BAo++NoXvG7BwN9sxytR/YPXk4I8KbFov8GWobthfwdJ/IwTTZsj/TM0HtCrfLPWzM4Dgx+wm0ytJl7kFno0IRrMnHx6pMNwmYVca6oldX5+PzpqOTakcr8eCo12UGZ7dOwGvQbLeavURL8g03BSpG0SOpV8NUBIeYRbKFkDHtf/mz+edQMW83znNuJGu9R34D1mvN7X6K+zHlIVp1kUjzujz8YfcZIHUNvcptoayU89anKk7xzn9Sjz46w1ss71F8P4LxaxGKn/mg54yQerv7iYxoXZ+enc7F6aCkI04iY2O+y6uy7a8H/QF/zZHP6f/GEMbXQto4teTPZabpdFGaYP9eb84Rs3pfzHz/irxdIlgGAGAIFUIfYjH27c1+tUX366HAuXaSS5RADyOHVF60S8x11jfz+iGyCYnPRj0oPSOL7zBSxBRIxMn1PgFNbLAX154cyYc3dUrFYMQZZ4yOhfJh9nT6NIHttpuGm87+/g6SXB1B/HGGe7PAZ8j6cVnXKHALNjmwRW3Jmtll0z37MqGepQKbvOTheyUmL0zCNBD20liffQuYbOpeXQoI0NKwDOQofz9tyi5nIb4+HYmXu4I3M+pKOgBToCboOBf4ystPnrrPWImafzlZ4xXUdWRZrzfCesdi1wThxA1StowfDfESd4BnwejigJMjzxbrOWIN/QP0UIqAIAKJjyGWzsQ4moIJWwofueNrCh5JqtMfFKGdnIZPxNmpoGC+qP4EKyBymnI6r4rsKiFoR4wivbuWSkrvUSSpQbjoTp8bjbWc/iNRd7/bmuCYRSMGFe+L1hk0TNlERlhzIo+fMm/tKBcNBapkKoJcdoxNs8HRTJyl0Qv9PVlSeQP4LOR1A9rmEf8Jm/gAzly4svG5MNiGMrFOB7hlI+lyv8R1EfzrMHOTe/Xypk4rjvviyuNC6vBQs0NVfra+9mzt4lFTTlon4ESQPw3Xcp/mY3dbGKCX+L0/2nRtrszianBV1cgj8N8gz+vnXxdRKpJMQa6cD/5UKugtJyUJMljSlmTsDYDKtYqGtYsd8WVZlwlynV7UnmcV2VYo4Yuu3qSXVZhX017kuHNv5a37EYN5dradAUbpMZRkZUpRUqCAXMGqe2NakABJcFwoGPUjAym+fadpjg0WToqxkO40ZbwQCOc0UCTWQitpTCpPkzE1jr6V1hNqYgZbBmjXT+swmusstECj1mwjjBNdvfAeAoBaozlyBFDF0yc0F1ocusARvWTc2v5iAuFMFO0i6o1C3kvZknpBXYSQT6wftSCflpcAt/A+wCiHFzlSmd97sseVVBaD2bTN/vUYaak0DjN6q9Nty+mjs3t0UCMjALRAl/XAs/oznNZ9PEkWkg0WGBcjPBihOujNK/NpDwEUVgBG3vakCakA5Fqz1K7GHbN4/ah80FVhhDJlEW4+AsktXYeBHkJCptPt9mJYme4ao8zzmkrNxxw8U9jnzltBvgu/UGk6kPfVC17AMGOeyyecHvBwjahC8a0UGII+/kI++s3RTmQkQxTFRmUfDAA1AJSwVJybXOLqAebNBc/+epMeqpyPiWG8KsWRqt4lDuQjLcy+obaUNm+BHxV6zFCCpSHyhMyPbn0Q3xanw2Nvj8Vlrbi7bLV8+4a8v+nmyGwZbrk40Dq1Kb8GHdb8XHWeFw5iYOk6xIPOHv9F88/X7OOku0gGrtv/fxOOqfy8vdyYwqYnr5V9mS3E5U9xqw8QwNRPFpTrPH5Teoqbt+b5lP1fnMuDK8IxyG3uv+P3lfd/JWna8BNG0IbkiqHH/tuz1K7TwplG3NCKQmbxF3No9ajNeX8M4htaL4kYB13Jkpb2dbEyrAFMpW3xm0njT0JDov9mBIQzeMnOdoBmh0h613wG3cHBQ6QkBHlyuQdZNYpELZRXzvTJPbxouSWWv2UMooNmVZ8Nw1OmHdpnVPDwHYKa+RD9C4h7N6YpRjV9XdqCyAIDIAlHgXsMAkfsWXJixhQz855Hr/oLlfz/RrbWtiaFe7PJp81rc5szb/GkAsmMwfCuKbnbESbMNVSb8+EQukU0wvNSezGt/3uBgW7ZKGBGNGyTYmljBmUTLcfXh2G2LQWuzq+upQUPeCU5xxsmoTyI4mmw4fIA9im6NY3I5cjiBu90/sRdjQNCrUiWBcyogI8Bzx5zPu2twxqU1am4B4y5gAi5LVL7glrwfHdLA1ELPDVF9p5uSZ0ItnvsOBaotKBNfVVuy7lSL29D4apTaRr4q04ZQbz5FH9dRuc8ttZ3nRXYwEpHKrO8tY0rAKuTnIeLasgsfZUQRgiGaAgH1ix0aO52eUf3GlEF5xRftOLlNH7dZZncysdyAwBDNYrHyEdpBmhfwuSq/D95lT8DldjwHwB5ByiQVNbTGW+U1t7Us+VGwzxqWKKkhlgAGZFbBfaBKydYlleX7zHYDSViiVplTd97tKgZJOXTSHP/KxUXoKzOtTojk/2w7J0FrDb01xMhiB0cQmAMihRCM5YkdvFkt/G+Sgw6Uzb5e87tbsKT9xBVnWNtTOjIMPG9psq2LGHcjjjuMJKect90aaPSKs4LY7FPe3Iv2ZclMnl9QcPtcDoG3l3zmiJG/f0T1Y41AvNpk9OXBjsr29ikDYZEmkQ27UYQG/HSsJVRrIneFLOEL5U93a5sYjAvrGOuxHJxZC5DN2oLMQIRh2LD6Qj/yi6R4gQEBzEBcf7pyl5+sh09gxyPqKiX3qHYesFPWtxry5Wv2cPq9rsWuqf1BWp42cgK/LAHeciaNBiKiXI/jNm74EjZPiCmjfYgc4aEsdga3MQb6431+hCSYzD3UI8MwDUh3yHbGFSropEYoP3OomOgVznLXB2DhA0SmH/G43f/rvk5Vogy+mMiD/tT6p5OnPF5KUn1o9FrfV1nS/WgIRxDhKx/5qxCeHQPzuAv2YnJXn6Jbjhs1Bzg0CKekOv9j9RQ79t8OvA8JGDfQfNzmgQ4ZJF9g6HWgdzOhgws+WRBcxdwFYN1VohqFgBDQsAbSrfFdvTAd00seO1L7g88z76IjYorGJe7XuYBQK8oP3xbf6RtNvExy5L/aPDFn0YHJ1a8USkUNmWA7+5ghDimFbiC9Uw+dKDHYOkvN+Cf0wZ3Co7HDDhtsqgxnjt/5R//F8addLababo4tvyXm4XMDEFahGQOLfOyscvO6l3rG69jvLbbm0BUkfEheOIQdwh7ZGSbIYYckJRHWPzdrDsFCBEtlxwuAflfv9FxmAjSodvhJ+mLKONpffUr3kNaJ+4fPrPiGn5tCXEU6IxqJ6FJwE6yGNk4fc9RlZU74rWtSaXBAUiS4KP7IHgKVEC2WCWfC4vVwFroBo8IkruQZBGZ9QZUq2Q2CaLRzI7yqlZuN04dJAZ76P+BUHvBcpMq5o8xoiOkyliHZ6vPE1wOrTgEGpApwV9CQTCvwPIzIX9qYBgBKRp4f5ffH5uLG6uTqRb4hfQ0XZTfC3/j1jbOSsXYAjrXKA3FzVarwF9QsWgnxm0r9o0ls2UZbyF0rGkSae2F/O65ALBEZg3fDqDVuffQhSyyTtT1mt8a1kRKo3RamxJvvfmA+N9DV8Rc+Nylpw1+Z4+hgqvD4A6DXD4g+s6rxwhOiS2AQHMSZ7Y6BZdKbwLnXBp7hgxwTiEG8tyiiIB5RijPoSz26Crf+nt7QImytRK76sU5hGue+elL1gGNiyAFAHCXnYB2ylDV5hMP8JSIHtrQlbOChgdNxu21+ILx7IBEDP5ceDF8b0seCLk+f+K4TrZpf/yaFV4F+TsUb00BNK3nczNNwlVc4tDwAnv3F1u2nYDbR1NNip7yMTkhygdjTE1CJ6UU9CR/HPdUlJFCQFz5Fb1QqlzD0W7zK5BQKDddLqwcjYwiEeyLBynFODjPAGeENcPIDe0BW0XkwNwxo9JuExaJYxHJbSxjH7VdWUlXBqFSQj9RZX9tA68vI3Pyih7tRonMCaYEHU20Vjv8PPrnWUU8gg7JdRr6aLM5uBRRVArvDxlDVe9deha9I68XzdYSodr4kn5pvDBkN8K7eXIR7OUMoriyl4hy79vdVg937myQ/nMtmJLVe2Cweg100yT85Wfn3Q9oD1iIhcBPVh0cxptDVggyEcDYDek7dzHDTxVrCmMTHZfar0D15zgOJDOQfBi0vorzkhJRWydbdaNSgx1A2LvHAhKSYA87fHLgJQKfzWHYgGb8wO3ngmzeHIHSsk/pUN7WNOdvTGAf3k5TreyWfADhJrGPoH62jWVV5obEQIsP6WZvcrMmgmDlVLYT3TTiczcO3BHD34jmsHqrF9ZMTi10Y75uYBBJhucP/Oeg2yp9pcfSDgzZGwFyLvG4nlQ6SDmM9rXTYoRcdLkgkhli2xwAZiFH/tsX5Qugaw/WQe1h+jQNr1Q+1FPtL8+9Grr3UWybOcgz1S/G8EudU5yt6luEhR8P2AjPnVeYa0V1WJEPnn8xrLTG2KIowxT4x6jOaR9Hr4dZ+LyS8HUuJAJhnCx6y1UTmhEA32GwxqO55HZTEI0s//4+nInDf9lw/NW3tTlDHM07zLHEtplseA0CKJwJKtyPg8lDapRYWFXf4h96pc5gbt3Nw8HswpVyFr13X7VVxo7qJbtCu9MPJ+I5H6YEns02N4B9MWERBAYXueHU/JpigjG8fc0dlchhQsFViXbKfdNhAOZe00/lQaMUf0hU+F5QaH5O9bxXDxOqhBkhzby6KGg55QlNL+EbhRr4ltEmqeSwzjuHAUS8AucVRHBi+PKDLwzx/fZUKm4FHxdwPoL8bpz1o/Ard3LUyvyggl/1I+Q+r1dp1w97vzzWRoy+3zv0kUgSNqCDc7NLNrpWGCcgqVp2jaOfK2HpTMoWOJ5vgxcl9SVGK45QrYdWmlU3KGw1wOlBqHcEd8Koi0Mh/9rvrvFnmjQ4q9UtyPLce9221NFSvd2vQYlSWqmi0jFq5M8b2Zz/VmtWB9i1Ig9zhowM73rmbCFKoeqeIEYsuaeR88bhiwzrqi4ctKeVRXk/UTNUhWVBO13zyN9NIEdj9uquux6AFI8G5p7hFfRyKjpZ8cMvCfcGyU0L2ZapQLWK+vufWWgCmFwaoLYiJUiydctDZmCqdFkt5fA819l2vMDvmwD1b2MuGmEIcjRST77txDgEPmm8K+oq28smMEQcjUxNra8BPtiAuWX56ysM9Zt2R766+HJf9L1C0rw3J97MOvMjcXmnsK2C0SToIpFn+1Ezd5KFhg3EkAIwdR9I5aLolNDHIbygC7Lnswp6a+ip5mvWNsotoexBFbZdTo0F86kXoWgWzZHz9OQLcCnPgN2dobcZLs5Tt0Dt8IL+ueyT6ML9QbqbLSYwLF9sRo/U5QuDxh5jP0jCchT73mcqLipZpDbgUzmPgLoHexj29SKSWk5CTeMD6FeOHTprb8QV2EQ88usUUNly30n9zMliBgWjjNSsFI1YnoBAr2giMqyh00heLOWFaerukwznaQlooYNPYTkMbcHG6xWB+pJHeoAH9X02HZFxoiu+a/NSYPZkaHTF5fSOF5UzD7xtmTGwVi0CDxiD/dXvqlziR/m7jYz0VEcwzPIgl3Rlm3aKjg0fwUiiQ7SgpdM6KgT6VfWWLOtE+WZt9AmvbIAektntOwbEV7DZYF1oo5XVB2M9cWQ5BNshcygiPz8+mYDDQyw0ILYAUV5egmFZNNpNk03CmQVqXL1eZWS3ijO0upstsJVT89A27CqKMPTOM/oG4w5oU821da0lkbjizcShsvRl1CbdXUv+yJt9lez1wmCe+vCNuWXL3IJiyYWzSbqIGvEAP0yywSACVw0ZB6yQt/goLGQnH3MCUksyLebaBXqaxKBZiur84wEhrYtptZCvCrSjNDMYWOBxV5ye/58WtgVR+ZHmaENPu9rHg1c9l6KpC2F+B6OG5Ttn72xMIHLiXGuw9EHIhtlciHUZI2/MmEsBu5WyedVZZ9NxuNICK4K2jMov84aSExt5/SPyFjvPIMaR0+s3D76RxekDbtJN5mdOGK2wkn5ES9M/moa3SPFsyV54i6SASlRPrTkTyjZl38zB25WGzKZwRXVVVGl8Ms+6zPOd7z2WbyPsfVHEoCiP2kZCKTSIELFa/QBnlpgDntRO3aacygu0PjCqfAW4RRTtGPiU8JtWbMEpAO4f61gtYQKkXh5ytUGaBiZqfNQ7VdX8gjifD9B8Lo4v1cBe2P4HcpxlvoslVCbP/qC4xEEJLZYgayXSw4aM7GnQuLrffPuWZFJ2mkpb+a408tAd5Bzi9DOTYy2jsbiyZFJG4ragZ+F/gKFj1gD1aWuSSJSOmauhAESBCU7xLMxBbffdK2tQgqzQkBinuw7fxIYR9XjsgG26MENigfwbrxH/4W93XfBLWr9wHMBDs6qK1r39I2oFvaPE9Ez1rPoIJ+sAMx/Cxa366W4ns9vfHDKi0zXRO0wcUukUdnAvsq17lSdc2PbL6KPZ4OSnBw6GdPOcixD1Bx43jYtVim3vk/ZYS7s7UoPJdPgdxlj2lpZQOPI0gT/e/0Q63t/9r2azAeUaBbd9xucS1Qy5U5QihbidzSvXaz7HxWFIo9jmzcVnho/lEFNnd4kYVlWLK3+pvfzuLOZs27kK6OhyYyE3b8UM7lsmCppbu560W9ngNS0alMo/P4N9ph2/LJar/vBGVGAOTcX43iENUL2YQEwfK5vQdu0Aen21dOyUofT/nRQ6O9qfRNa2Uy5IvKoutdsc6Cka7imxICo8wXdO6Edvfk7NkezQ4wah2GFV6TgAMkjw94oNYSqjxNE7fn+GzHyilyylILUflp6GBx7n5ErnljmLiRDHouY9teAw0Ie6RcgX3+0wu2QvV8FT/4V0oAxXqSVFqqXy9s4+WYQ15Q/jjWUaCB8T24ddq0Ux5vNNvqsRK/e2/Riyglixc3Dk73f64RVSGl8DX+UW6papxaTieJez2TKh3sfhf72i4imcNZeYhxIrxlNSoWX3tsEpcZI6TL1yMtaI+/IoTGUOKh+CF5o05d8TL/q5OjRDEzwe3CnrZmT7md/JmFEpVwszEa2PYIJR7GKTJCYLfrg/+ZwrFKILY4DsZtHJkEv7++oGeQS7rTcVORCqbDE2ftEUVeubtos+23ojnU1q6hWPcHYx3C+l8EvheMgKdE3Nub3ZGwKGqEripFpoPVU/3we2AKD+XuKFpDeecrz3g9BopfBsrY/hfT4qtUEGxAuFyYZ2PwE6G07xQBw+OqRl+JvyBCMbcKsZvyRQOwLBOmVFXNJuIkrIPCRlmwEVDwzzoTtyBsWcVNKRf07BRJ1RVM//0+PoyFancbWOjBeu9EAFOF+LTRL7Z5OsBxvHwVWZrbgzKaGjrhgdoncLoyAHZsi5KSRxJ5DIZoT2PISeOk0bWTO4a5/11EXqvMp7lHEoI7R0kuYAqRxktSHfrii7X2PuaVVjP2SpNIdXoxxPFRvcd5oXwmm5HLdFOzTCi7Vl9MhavbX27e3araCq6kQGdmYYzxYjGcX2eXAaNPPQVZBWGVb61Zej+VHx2gFVKkvnp9IUFHz3rWnAHEM9BfF6arX/ymyglKtv2cPliQbalavTgiY1fN7Zfh/Hu3M7jKV0RGCXY1akhO1Tr0QboFxnBT/pHdzthOQMZGZMeKHCqniUF7EC4+SJeIix6rqD8RUOsvR7KaTuVqIN9ygloOmgHX+24EEYV+xbTrnh8rNTw93NRdjCJC0aO9XkS5Z32Ix6mX1wbq1AnjttZUY/Skr2P4yK7pYkLQNFbh5HdZ+e8rS9dsTm8RkdNjASHgXzeg8u8oDL4SXw6X94g/V3jGEpCETJ1hyI/I9ZFFNe+v1jxnkMMeMNifqNUV4h7W+hxT+JqsN3hlIf4Pf3jMQlmvhI3viZIM9zod4qx4MDfxNBdwCcplenChWRff2zFqxQOzPhGmekJvGlU1GEFn5PAm05w6jgjyGIxm3vCac/W4iMhbRs3o8CBrNfwhP4p0tA4suRMTSDIXa5kljgSZkjgg9ODNBJGIGCPtxIUzg7Uh6bXyEYoaFfuOtoNmOxfmpeqfrx5+rxcT7erGU6EAFr0jqm/twnX02B9bcJe1jL2R1nmpHEXbm6FrzmWmS2dmfvPrGGIDO8Eqz7hFoPG7M/SHPK2DQesin509gLujLYgjZuBuywaAwtRawKXuBpHrZaXhsqRXYOt1nKc7MA9iPshwPEeO1vugWzqWNletJyWOULt+z+eZvLtPfF/TYyCvL2XiXNH8YIOFcHyxSkU99m0wQmiQD4U/se+mNMnI/gCJpOmXWB4HQ08/uXbQs3YTo4voT4u5RyrtRc6niBtAzQ0karDFTQMN+eLWTw70TrHQvcWLvqLgSZx6Udt69iAa349Rdx/gLwJfovR3RlPjVbUyqByRWm3nvLhIgUu1o6tmm2wX+Vf4SmeLY3jLww26HYo6+DwImnjNrVS7bNSFAWPlHbr3ZUHrpO1Mj/i9H0CBHupZbDyFNqFkkANVrzwBQrbj8QNw7DgItXREfdOSsg2CKqR7DaZXWdIgI4Dt3pvS//GOiVo4QSAI4IGVn6PESv9Gl28SxQ8GER9zfPHzlq+ohp8sIWhqZmtphmbVz/mmgzSD5aLy4eWqn28nrKL2CUwFIdMptQBer+UsFCgCXW56zujI6+SJgnGHbgNs//SkQCxEaa5GSxJybB42rzkdphZFxIp+CXpOrCGdGsXDmZLWqiG+kXaQr9z2/41qPczG/jIDYiSV6nWLMK6GYZ3dvSlJfySkQ/xfvGv64ICR6drug9w8L3YtKQVTtPEtsUBNPr5RCinfYXN7DGjNUqefYTPXmPw1kfOFGAAcbjmDuQGMMQLeyMV3ghgkYv77lB+l6gxehFzFH2fU3jjciSnkmQIZJoe5z69/0+J6QzdTJKBQ+5fzIKC6sgq998DOtxluKJdLw/JfxmFlgZSGXUN5nSaeIfMwnOWu5I038HSFl9kJfGVK0/lkQKmFhBmoKwB5zU2A6pr455C8m7f5Hnq5rtJyB+DtLl69HMju2aONL2nl6j9t8UVxLAN9R8yvg4Ixs7XIPYKmhWaGCgGCDfeQfOzGzpHp7RDm7b+TncE/NcO4TV9QaZPUQS7gBwIeG5DnR01QKEUNbfqnULA67EvBbIkZSKxb9S/NcYWDeiTwRENKW/mGWw1epgugHtKmdKfHrbPqzFVBcVzSZaHkO1AmgjaHLeTxYUNO5J5U2yJS6truxTGe+FTJMFl3JwWpXSPxdHoAV9chl6sw/L68iTA3bwOYzFgr8hSxaYUIZ1QD4GLCLTtZtxd+G6BiA7IKjd61XFYj80HN9mFvMtJEccTSToVjYBl8OBpS+q3ANAj5H9Ufgtz2toAU9a7I9gRVuJvt4sjk7jo8L+zT6SWwNwdrZR7C4lNkt9W2JFlHeng3Mh4xYyfo4NdSshCqdvvYtahnfudGY4wxmFHR2R6Wj0VV61PpGLOssvNz0odo3wzCZL+5edABtVw3YVqRhgrz+IbQolSMfBjTzwgaOh6teGftH7poLywnIMNIPbiEuzb4RgmuVPT7CWhv0IZkHS/DlCT0l7M4SqV3FwK9B7XrupETj+qUfG6EdI9T0VYMF9z//y9+GFojM8+DffvrhRr1dSILyAPTdmADRWNgJisXuY9JaiRIYvrtRRu7yVSpeY7hkgYLVu7mStNWsF06+wjsmjOEDlZM0LkrTvabbCYe3OrpChkmT+sC1KFAPAajhMPjnaGfyhxIfyQRb5z9d8ZqtANrPHdaiAAEA1mW0hN9SNDbPuM573qlIuDdkOS6AQFshe6pjC36IuOatau50XLECbsNK3ns1PtFmm9ojEe0x0AWAW6bPyRGb786YjueqPLkH7caRJpuF800cVuN93SQC7RX60aWmh7NEaTUdLp79IJjGWYbZ+AvgWXBauMafpEci0o+Od3lui7gfD9r91FqxxuvNb+aa8DIKkyOba5m1hUCRn1vlEuP8VNvfQIKQZqTSaMWU69LTsaipZ8jVhkbUB2JgeKTEc7ua9AT40kUugcqfLTrePkOGqB6Oe4trxE+/WLL2cJ45eDGaR05u9/1rLUd1sNp5YpWO7p6UU6KjdCl+CBbJIlh4tHnl3R0Wgk8gagIXdAxt3+8XsGG/yLUMwdOYAYhuoNtMyVy/qzJOwHWMAoEPx9BVujo214ordPLKWSExuSvoOVletsUOQlzgA08DfR9PUOsQR+IyXSqiqAuG5LEdflTyGyAcaN9zA/7LAayF00p5AX4DAc+HlRYDukWxOR76TgXvegZwmRCcRYJD6/5uJurEAp8TOHwjFQcSKySdBjh7NQAygQZ/zcVRL5V09nmlfsaI26/RAc1TMjeqQqGPi/e35dprDPQZb1dgGA4rCGhrTU45jKS1NXkSeFO487xHG8IbRgYer0gocGzdgTg3BHKhv0gA4TeIqYJsMCWSIDqKL+EFYyec3GSpYr4EW5kbANfB8z/RnZ3gsYQ3E11Dp4wRLKJ2CMH9hdS585CgCWZo/uwwmwgsaGvTviXaa6H1uysJy3hIZL3dwuTYh9WokwR61zc6xgPF30z57CQ5HGWc7gU2FKtCyg+jZdj+4f9v8Mbex0y/J0n0Y16Dg8U1PCznR7Gd2l6WTdye/HHRtYk8TKAeO/6YwGWOJJKZK8sYEhUlXhuxQC+Tt+ziqc1jS0zCYvH7W7UcLZO5MrEQaCgAEyTOCOGWpoJ90Z8z65WT/yFc5oHHLlIsa80LlKi+nBlF9bkMr7CzKe028nSxtKNHxVGS0JVcIiNqociL7U+bglsppAYuzqcj0O+IhSO6/WrwSvP9xPBKiE6Qyhh+5A/L+pl8I6kLhK6wGQH8WmubgETLRvbrVUAsr9w6fZ83nDMV/b74KSZFB33WdUaROzvOz4gSDukXx6sioje7keWU3fnF5NJmNrxqJydghEYKprAj6Izj+ZzktbZSR0UZsJ9dFToTYqvVi0KTaFHKZC8jPqZzYVYDS4MWo46GNvOeUvPLamQHwmzVIdX0t+zzbnbydJP4XxcgcBMpT+ZVhb8BEIo1PdyUbFjFWMyvPCkbHQ1dLKvekBYZHJ2qTAkmpbmpL5g/HyHzHs5zzsclhmBzujw9Skm+E56vp2b7gGSliP3j8Z+T/VCsBxM/pZSyZYAE7Mi1N50BOuJS5jW9XpF16OUudBbkx0D8Q37WW6+ywKdSzVuQJR2sTZJBAEayCmQQa7giLFmUvA2FD9ZXrImk6lApuwQ6gqCyiG59Ex3i0X0IxD2sU5cQW4w4ltT5X8GXxy8obYIw9mc2mHMuqHekErG5VCAA6HY7D1xsDLHnQfHx9QkNC0M6zABInMdM53l4mdFFJY/W9nEXrUIv6AfvKmq9b6qbfGWBfqfPuXpwrQeOdP7Spt</x:t>
  </x:si>
  <x:si>
    <x:t>kJEjJB3o8OnA3OursZ9Hs4mMPXJS9xv/IeDdicCKFm40qu8RusqzPaQ/lLzHWoF0Ec6+D9OGMRCzMWh54Ivl7aRbO3nSlcxme4AZYlxsy/r8MXqudQI/N9UfKZgu6DMcLvxgLzCLUMvxF82Gx62qywjZoWvCcmjXl4mJfIK3+J23iHBr0funmTaSOCrsSI87C3/iGQrszpROYII6x1jBsVZ2dqku8fFMryM7wkbFYbvVE/tEXlC3EQeuWevYYlaegHpSKxsteX0v6Uav09pp6rjXc4rhCK9airLigoEUOfynKZiTDdOlmL65eSkO1knYRrnbzLkAKvBQs4PDnWGo1ov/X0PMIR7ZQ/WqZG8Su4zae9N6NOj84X5A1wppzfvtpaN7osc6nEdG3hINr5Lj7b3djcbauHaQS5nVpsiW9wdyzGuPiYqHVNfDzL8IlYhy8SxaoSFd0dMp/M7J1E0uyd7v+MTBoNTtgLPr6k4XTSL7YpfgjPB79S8sBSNLL0VuMJECCnxtahC0tcw24nTAnPG3KoMgfBKaluzdGi5w8cqmmyf1EEtfGJJC+5iwUHR1Z/Bh5IaFrxiOxbJ2lo/vt0WOuQRln6+DTx3EtO9ls+qXkMWI6vdCuzsZ90PWZnfDQX0ceocDmwVth6qw6C4nc4TObmkBwLn8WTkvVGcglX/mOCTNPX5TVkH6Bg/eF4s4MvmX65FCkyjlPBA7iR+dRu26/R7iZv7v51Bunn150u634KC1IToisx09zAlZAWw8o3mFzCxo1PyK0/NDyv7ViUngw/EOeKcSGhl71MOd1G7YISDNC6KD5I4e/S9mVIZylUoiBjqVDmJqbLvw3ViXj+HJx0E+0v2jCktOhe3ny5x94xVoDhC67NHJ1k3ODKrD1uMVNslsBuSEZryCpxAnhJj4wjBAOB8kADZj9Mv/AgpvXtR5NtH8n7JKrndngh9OdaQ1Ub2h6gvNT5tO085Fr4nNuOFd9+h+zl7fstO7kN37HH4PE5fyIJbSOvTNHXR3LzLcmOcJNxSb5a5Sghb/fv3l+wSZjC5nU/sGDD/euCNqerZ5ECe29/KkgqF2oFIv1XO+s0JspFS3UVwMw19KvkEyiF1ptRoMumq3Vs8w4+2P5yPzCLVLv6M4c317nDug3g1zhwbyOKH7c1o4wBypQpAK7SOQ4FIrfkZHI5LkfPF0nQdFZ1ZryghxAXhPejNqMGiNZ5lEXUFO7EiRm9qxgBztr19y2rtbB5dV/eXf+jIk5XbEcpQU1bMSk5r6+rfB6Ku3AB1lY/iIrrwz1mcVQpCOcJI3qZA0c//V5B2YGvjM8FTtvfYeZ3Yt+nby+JXfOPojR9zXtFrduRC8d+R24dxaqzhqwdA15Y1VvLTvaX9jHDZEzQzZVf0tnEtNOfhurQnS95qwSWQBS32GMfowDoz0pjSlmmDNzwo/bbFRoeyQqYcn7TvOG+UGRg/4nFdDxcfIFWCdQCwNja+/jYSCSprTYRjqFnZEomfM7MBPz8uDml4qTro5WAa8vDJlBQkmaYV9q0LABcoWrAqL/mFNpGR8d7/ypC6OF/5q/hn++xuPO4RCJQcDmX40ojwqkfw1f4tVHExFeRlcFqdJ1Q0Uf+ry2QhPpu3ITU8cpGlk8VKOIZe9AALjPouN8/hn1uTNrE3WtP9KyGRR+6xcbFwJ8nMkM7qj0dvbGh+rHXbcK4QPhWdeZDzPJPgNJXUHGSnjTUcUaYM+YGBx3b5zjETaJr+oJKZoJo08Dd7wOgaulNKc97OdVaw00Sd+aufmfUnywHwT70ODNlLyjilOHqjzMDkiG1bf7bBni/7iOEq1OZln6t+tPuI/c8RySPlFE5t6+lxy0Pe+LW/KpNisPnQj4msgmDoy3BK8JWDV0haSOa+7qcOAlYmxs11YXQU8yx9g+FauIMlB3wmf4r8kIvXMtP3+u7prwo0Xg4fxdQn3Qt/udbFxlgplHdh8X5mNhL/QcHO4KxV0718nfN769l1/BUaBGr0kBJ3Ghob9nHTnST8iouFySbDj9g+/2AUdCr3idabHrgauW3Hr/J6UNinYMiZInO0jS+5lFxDWHr3f/WoMQR6ABOQgJ5vrJN8kga1bGjIrVXO1po+06SGbvP+e1+X+G3tWVz9NyDaWnMnUDNvjXuxicPvMdRwZvH4C23oMPHxg3JHQjEyHOq3D6Su42P7q7BN6Rr05rpcaNvW8z7zlzFd5UK1zymXALBBc/gGJiYXW2nO76OrLA+0OtCmdqDeqJ9F3l0i9eyzOr40VLlGK9X/CPMOI+XR8O7cnaHadP90rhFh3YOEoTNllDHiYJL5pcEduK0yxSoYnEOco2ASGXB87TO1HoNI0oMX+NkYQZs36dYyox9pYLpIVVG9Iwvp5wOauDJq6G6q/rzsTCTGjNNq2jG5pzTbeaItT/HVNNtSNgEdPZx9GCq1HooFZ4IYi+4buHzSEX8xWKB7hpOkWk2xUPABdLdDpfzY2JEQH+/kISM4NSxKiTv8FgYIpdE8+3L1OSU7c1tOyTocNtdHDnlAbjf2N5T4U1lwRFu7hE4fdEPZRRjc16u1ZQPC7yDeqWtg26n5+RNUhWDYYPZ6cEgfhwjrBYFh1a+CzuRUZwTiF89dlN4ieLbWUPsL51ePrMOygCOkbN2yn+xhk4S6y4GAJHkQao8C3L2gR166nDSVbCz7jsO4CGbMMDZB8Q6yFu32p5Pge5kzFYFxjOfDpQxiT5kGTSSv+Vec1wb77KyPRqjYG7QYbo4u0s3gTGr2R/vn5jMeRh/AmFkBNvKsZxl5hxejPrIAkknojjBCcHpHR1gxOZfKPTi8lNW2SfHPDTfC8aD+J1QGMnJheHGXZlZuCl5Sa35EK250bJjOML8fymTZSgwxlfdwwIAT9v0PcLmF3+3b8wAF73DGRCh5km0N3COGoaSJdOqjX8iC7kPN6NneXZziYP0ypAcN1RgqNWmYL402gK+23S2I1oTpxvzPeQ2eM6LpikXPG4CroAbJDX34oXgdiju+EKTot5buuf08Rax8Dw67DhxJsHz5QQkqhKpL+qL+IIOY5Up31uA90K+BJn10zRP1pq0u+WbZyGW+kOZdcZUP+jyKhuBLYCgTWqkbuJ/Xy1emb0tkS51Rl0+87GWfnfl9T3jqc5smja62+bsxF9nxxze6iG4/9x4xhnJhlioom04bsJ8Iyaf20//9tzU6B1IkrEjMpRE9xje0wT0smZBFAFUFRpBwHJ/RYmfwlHiETwhfSx53Eq3FuZ9lDxK8NPEXPQ5cLnL9tN/lq0ss2f4cuT/7LlZAIvy+dZlOD1Ndm/smgsShGYmKrOiECpPSB8qX8YrDVlQW8xFo4WOO6wrvcxIH+Mu8rZaw8NVAgYiKc4Xviy8Z1Bvjjzj/oBL4dCDoRW25KQm89ce1Q7D4moFpqgObMcrok5Ap0/FpZJxB1T7RUP6OkFSbS1aPOLtParvqSn0vrDfy2PlVXRSZ/qUHdf2KsR/l6cN9NZ/6uUQu3ai32dg8/cfu2WuqGYvpPkOHc3tUf/OXZ3S4jel4I+MmVXjzgERR0cvHKd9hvwj9r9dpYS7wIXIovXT06e+c4rOE3erVg9Rfqz0G7XL7MBgPdh4AKHq1bkVImXUXlrE4+jh/RDLd6iMuaSfbarBOcTpcpIqJQaac/j+U9oYYx9OMu1yjs6c/qLkWrHlfYxsbrNTJCKKdK7RCS3WEHR/g96xFJgUfxFEGcZn/r1gAueZJI2y6K0oYBfDBRgDCcyfKTJahLJRxFEgsS3VXERXmEbqWDPpQcw3B/LOYpUfhUmYoZx9yr2JEBP6wk2X19SJYhAV6tB4kEwdrlSVk385gw9t3bxsdFgA+lWTe8A53CkGq6PlTbYmYSpbI9s1KiiiD38RtE4TS4TMVkKoGqqp/WRUZU7UJnDDEJaIjigBp5nLNPSEHKM0wUupoIFMbmnYyNVxBABdBc92PtckwLFlzvampKUrj1ZDbx7gjoZUCNTLw3lDV2GkNgJSqFsn2soHD992uxQE2W3E0OwS+mWsnWtuBsl2cKNud/H968GRFrryjqNqD1K1J2I7NnhcS/I/WV8ZLpXX9xq1OiVd3cQ+RfjnqYTVwcwvWJJcTA11mU/TUN+ym9yLm8eyrkUnXCoFzrx5hOSVKaPjjiFv7lrXIx0AOdJASj05CHEAl3DwLYRMdIKLmz/KdjPOY67m16FFixVTcd+CrfGr+FvfWKBSSJp4EyFdaqs17gzS1nQn3iJ3qrZII4GvsZJfR1sNzb8X9O1fGI1htkoql7ZNpXxruBGwH/cI/jSRknqC5Hy8ANx6bI9HniVXxX9Tv/QXx2lcpj3uznpulEfUQ0EVJOVz2XJXCn/Ovggv4MVb1uiGl3GdouUlhGYKo3k9nfThPYDGahPFe1b09T+b0dnqDjVUsbnRVDqN3VrNUAbRuNNtChD3BiDoTmycuHAES8gd3uPjrwNhoA1kwKyURbkVhbf0NuPYGEjoRQKQrVqROqjdjeF0J5zgQTJfS4RM8paZWv61UBkGWZHXR3XYn7oiBDmt3x9H8PJgeVug7w+oGRGHCQ+9HvAtp2ihCC041kjc7XmIe8GsIFIBx5gSEPIBNgmXQO/7e9BZZIewCeU1xMo6rpXRD5BcdylBcAaJBCtQngqz6ZLq5OvW+Css33o+MlnxrMXG2GGnLag9xrrQZTVin4QtUO3B8ZzyOYcrS6GMhseXDDw4kROjufqVagvT0+fv4WlBSmHpB994z0IvKkbHgmEr6XFnBu4N3ihw0LOqc1K7jQingzuBLhsUCtkJ/rQJm9M1X/yz6XkggBz+kRDTVijvJlFsBER4IPK0u+10EnJjtdauPVx85SQKpvrbiGh20KToddERrSfX0vhxcLyxV78mNdGjILcXcX6c5U7i2Ege6qATUO3lSsId6c4dmX1bgxZMqbeqlzU1zcTJT/bOUo7O225+YwNawUhvRyDat74tMvCbwOC4Klo2WxGqcwdoeAjxzhCSWinofThp0CJNDob8Lwwk17cEynjed7CDhZdk9k/k/NYE8hEZ+7a0PtGlsvhsgH/c5l8RXSJIc8bGWzPn4MWWh60zHVCvbQoCmjgjLBvmBuPEwRJRd9Wl1Y6Wi1nmN/+GPSrwmHyGUm291AEjlUAao5Ol34qA1Akx7eid2MNQ+Pt1vWUgmfDXvtfAO/hISQFxyNgMAn/Rfs30tgMq6ixxtEfuS8CQhtBN3FG8qN3bIj/pv5mWUtAPsLGmg2ayijmCd0aKm4zrpxJQQy4ChD4Xm50+Ec64WZsr56uN8ZJQK7C8ShUJj7siLXL+s64bVJLdb9bnnTAt/EH2KwkMim0be7AdDVLD2tDQv2vX07AoXYUMSfaT8cn75mhW+OU62b4m+anSpylFZ69m0iFDvq5tyj73yGC8jxo2m6aQSRMtd3ARgWlsR3jm5NGwdHL9qyvL4+mO4n173GNNqM0DHnnLzxPWKKqxpRrLSkcK4lbCNMs5/X8rgrnbRmaKutBq7QYhwL9weLxMLqHUowufvgCuJBFe54eLcmKhD283KGgAxQ0dyhHBVm5HDu2wj3Zr8UKbD59HjHgeKpihov7GKdZEbuzfSqujjxfxgyu5sYqwCJNyhUhT9HuYOMuf1Qds96cOzKz09xKKDhau/+04uCzx0sBNiwqhDvs0q40IpEgi9mO0VYMU7+IwU7cU1MKCcZCKX2lVhx9phq/50PMmDdQcE49McRAOx+XsjMXzH51/sA6ah5cqSr00OaoVkVXRGA/TWX7MDCekdDYpJ6jNuR4SYh79UXMlIz2h4MKFXxrAB/hF7ps4qoDgUF7a4hmNjpuGjfo9msWKwdY10xIeXbakQwWBMfAVEMom0qRX2ssoAxyAMV5pVJaLvsM4KMCIcCuOXsiRHXF7l+ssOz/oypY9BLn3Sk9MmyAYcheYG4h80PshSrnfNdsrZ3j4GpVTA0rLWRs3qWZGwuj7BrJhT1tZdr9hL+AmwyWtjL60rT3mXO1QkvA3luKDUiILaRmj8iCPjAw2aidt0VNWRhHPWblqJscn8lWckMmTVirOyHp2y6nZ7rzZeQ5RWURprWT/aJMGoRBHUXn/HZqjN5OGzahICLKVgxrPucfL0eMWu9dheA5TqIMcHZKAcAaIfYUmWI8ULA6VOKECG04eGqhWEu6VOQEPOaugQ734FW9wgVgp/N11SXCd2z4v4uGLoeVpgV/w2yWmNWFhRWt3NhaGxmWvpBw7hNt4jKUC5eoSvkBn7FMUQHK1fxY072SX+kP1KIAv+vHnrz+23/nPiH/k10+yZT3Z6VGECMuDIMHMPEdH/yIWCI7Ginqp15XGLVrmwr2RatYxdNzBneJVwLDNapAHTTLBHdlfaC7ELDEYF1CQJV3xaaerctrCbAimUsuWEL0fLMh6nbdsRntVPeBZwqxzCuXUmJCVXxWWX0szzl4DicQ+VfZl9NWEwWtKrXAO1HkBmnQGZWYHx1teJDd3GB9HbYaMgLDvqyhyzGEPb+Laq9eypQF/dj/cqgfOKfJ1g7CfcukVopZ9erHwtT4Ord3WQGdm/44vFOjqHWtIlI7WmK19B/NHvbaLaxeyzEEqVWHPkIR/5SlY6+GuMBTAjzU5PM6LSAVdYeKw6DaPGAiDdSLgSNFc7u8/qGyhP9dTrpilzbKwu4EVWgplrhans6s8w3j/2zKxfj7OOb0+LF6welYQZNSoB4ilI9WVxILLqn1bk8B/WD/oL/us6g1x1BsAB/mas04lWgH7sycSoVmHSpr05yPD7DtrR7YyRvAoYGrUIiwkpMHifMTNk0FuKFeKOF+LoKjnVPu7+8qgdnD5T5Xwh6oK5HxBfvOKDMrNlLPRO3gGZJwpfhMFIqPvl0R4xF3XuSWYbrI9lqhYD5VaUBpiqhx2ZpJAU9mgUgnILNYds+//0KYxqQCdYmW9KxgjhFGq+rVQa5Ux9h920dOgP5OVTWI3pqdmViuHIJhPb6O6oYY3Ai5oL2mc0hV5Tzn47brw+JnDcS5VudBtkp5GUlfL2G5JLNYLYXa68G/oWVhTmBzcIarG/IGV2BSqMePDLNRFFdjAAYkW+JCJ024KM6OQ0qMsKRwMRQnin5LTiNQlOaUE3lF4jxaabJGgJhzWN4fKYDOF0FiqaJk7Cmzv20Cfy5SjN8qUM2BAHaa25gtagpuhUXiktcLPFnOpZryoUCZRceX1TD7ttieCg0bQopZQedbOquPSg68O7FZ/ptO0uSEtWZuTJWa/222fHFBcAH6fRmmXZbL0pO3g+TTjEgaUGxQrkkcKHSiZePvK2auHTLyhJBqY9YvCMUloM6rJcJsaabkqS0ifAft3wYnvAA5hRoizIouoMWFx8m8MDNg+/smwJoUKxv00dsHGlfxB2H12C3dFIpAUdGh5mNOekkOvCgG5bxO5rvZM2eTJRITSA8X6omHiqHc1wkAXLKRR2UylkXtNsFYxjBJxBY+BlaU/1SYpoIlsmLMFvDU0SN8OhKhtKGLZYkWsW1+LkGDpOXHRlKBICfBw+YlJ8HsLnikuhflQmFVm/dOIOHtJCwCxWSRiaMrLKSG0vrWf3zhFWE4Xfef1Dv9OKJlbUbjpIjyFAHXLBMnIrrCDufPArAcUX99Ugt5s8NQFKgVtNNa90l0X+66v4zl3ODY/p1k6w1aI+K763lG5UZ5XQiJMYFZdQZWMqXy1zo7yGY7BVSc2nrHaVs3lqV+AAoJ/VbBBMg3i+USh38NXDQjz5j2JyfXPr5u//k2rGpIXBtQrDl+JHqkuY+5nvcPuDVWe7tfh52sxURtcGL7EDeJyPalcLJHIzgfos1OoYQTnsV9hhjl0Yy0QKl5F+DbjDlnJXu5mn7y/HOgyh+nUqgl4JOdI8EOGoU/mOFbHvky4xrnKS8ljl8usKt9HkramKCkWUElUCOZroJCirYodlHPIeCheMmGOR9HbF6Y2bnRrxIIsQfsbQ/Iv68hKMefiQwwNGDo7Qzh0rEqDSPEwuO2fH3M/j52c8XiM4ArdOyt6gyWsY3o1/wbtnBsSyhQ1ZRIvp7oCW3Qwd9qYNiaLR1aLJkFym7v/D/mbdctp01qV9xTb5HoDk2/biLcHDGIEThxjIwB6G4r7GUXv9x1dUI8oz8g9NH/7Qt+Gwmx5dfhb8/YaULdQAxiIi6cHa81+D3NQ/c1XugAdxoa0ZgKD6Y93bFf+0udbqB7toBhhuCSZ+9dGy7cxm5k/qkaVrswU3nGATceSWBF1DPFeEdMsSXwxFk0b2sjh+z+uezSfnxSBQoOARVCSmN9a4vDnWjJ1rg4DUHEstpnHK3ssH50ZH9j9nmITRNV6gRnRBMaaifEdgrdSOC6uVn4SXAzXr0QX/xG0mey4OIkfCngx7BmttvTwFr7pKnSyckW1ZZ4rccLYYOCrbif3CwbCizG9L52ODYJIbW9puYhZ8h0HMgBPIMcyDdr67LZ68uvcWtIkqob/rNP6mImP5TXl+w93j6KS/Mvrt/70H44vO8Jv2ai2oj8xaC7o3bAW28x97GfLp/y5+tjPcJTJVJsTcMlr2uJbB+wD/lvdJC5S/UCtNfhHFIaz9APYxEqd7VP5NaXqOI+q3fePnoJPtxL7xBHBnP1XjVLFj9XNXNOp1N8kfDY0C28dL/jhPLU1C6c89WoGlU2m8TwaX6tTbY352Oy0J3shnhC4x1OALKxQFD+NHyt8GpUG5QRN2wCgPTPRH5iHahn2sZF6fGrS9sAdHkNV32qJQsk+bakOGan4KPJ9+w+6avCXT0gfqGUvgmUIMBCOJuPG6GV92seiPVjr1Pb8uAaK8yNnnFOIucCqqzjVTF/8XVdPolb41c/Zg+Nw2/0DEXuSRiBrVd2sPXt7fSWJy7YkMYSVqaXbMecdxJ8HlBO3hLBu0idL2pQpBmCUuLlxKYtYa2GuM3iQ9RZQVAj58AKcr+jIUCk7nHBsbMJZ8fY6yWuUjpmJogFCcyfIfLELKN5+s+ZvQuFWZKCXMLuBzetlFh5XaJZHzXyUExFGb8KE01AGiOxZdmKcVqn+Auz176utzuac6hh2EOd3PSSmd60qzqEhkCXOgThuwlBEobF/+BF2ecFsguoUefvkpTxJULqz/5DT/KIIJIQFN/3SbMQJpAlB7Iqocjdxx6AfzkTVx5zFpBnAXqmenkOtBwdg6FiqFfd88+Ojqf/haCmGfPqyfDP2s95savjvD6HXtUNytPpqdB2zKreqm8Q6Iyp+s5aXRPuzrEPLOXlIp+G1bopuYhadRfLBH7hsTW5ZIZHdfBvA3NSdl4ohIIpWLDJUUHJxDC9WkHVIf5c3QYnnLaghXxtXiRC1OLc6deTlKHBKR6eJmqVrVOMrAIolWzBXqxJDAzA9BseFbOO42HqumLp/a4YzI1GUxzTN5Bnm4KPLz8HuBnRSbZmlNE8pQ3hhiAaCSv5srIalM56McMW8DN5TCfqbUovTj+6M/QjVLnE0BF0vrY7qVY8BqNTOcUZHRq1KN6x9M0CJuvBKhxxrB1k38z8XAPQkm1sh0wMzWwp5psmhijTMwCDDIs3aF+jNVNuIiP4st1iRKu0G+nt+vKqF9CcVDPClQs25VehjVyz2idk4dvwYMpOl5RIi7DRIi7cdnxuN4f9LPOdOJy6Yb3Qqjl93Pc4JGsL34lny1poucKKvC2j11LOqPTmJ6Qv9Wv/oQohBxfsFqKoMzBnNoBMUMxLKru9C1PQwPfgW6Ruv+bP4+f85BwzUdOtWmRaf8svKYKO9fDAlbU/Ry2+qU/D6u2HZj5o/OnxcyZlsdOmstpy2Sfc8klZQNs/lTfVyPMJ5QfqFT7SJHq+1raSRIw5TLqgV2v7VRTrLckYBKGyipCF7m2Wwv/LLHzrItkKTpqoiYWJ11ij+ZbnJFyegfrDk4s0OzINPLn079jY3NfvWE+nPZnOfv7bwpkwFQHRwfcVUI6h9/REg+2rgfHGeZ0Ph2kn8b1Jff+2SjNoH0ZA3FPtO5cRUrPj6IkbwT5bUxicGd0uSqUinoMH05HimE7r0+0Vmlirm5zOAXtNZa8hj0xL1j/9w9wP7yfYbzoL5dzwAMB4vZAlSwNcRGPgu9K38Teykqy4wMvcvmUmkerveau1usf/srBIB/uFpTaoHO2pDS+lrurPx0RErTuEeMa9zLgEOyUZPF/SyclTLYLqst8pI/pg61aKQfZOJlj5NGw3EztvWwQsQic36umGsxnvQNoLl4fw+UyRNchS0n8TDPKvAvGIudiFdJRbJm5LQM+mZkk82f/8oGtc8VHXkrJnV/5WeG8HPNbiNOhfr44e9N22I7dmOS8nEPOIN6yP8g5fdwymNrSCiSZ6uCi6vIMqMBlAEuWigrBQ0X3J8lRc0csJtBjwKLmgwh+/H5140gkyWaupht6gjkeujubiTD0L4ebx+S211Se8xBTdztL8QnMoJ0uBipLO6dbMJnxezQ8EMDBMht3v60uDtVHc1lntyaIymNLoqy+9SeT5aPPreOtnYhq/z2mWsX+4YvOehmzjt0io4W5l2DIP0nD9/5I+3NHueJCNnc58woTc5kM2+lUtI7M0GEEmI2BIKpRd1FG1xD/fL048H2d0RHESAIkLmFyrfD/ICpScp/Oau7Ihpek/8+/3XR0YY3t1CoiSQQ3WLpLuNudXB4kHmXKKRM+M8hm1w1FCXqXNfqfG1jpmzQAXHwfiRsLQSx4CRe2U6Qio1JFTMeP+GTM3QkvUz9a4BacnBQGsB+JLa5lq56oGFGbbWlWjWIPdUdDxjwf1zY6SzlVnr2mt6E/69OQtHTsu/Z/UpsGyTRnqYNYlBKioN17iO0lNYXYuGArz25sU5PztkJ3t4gO6hAmsC/Kr6o/SxwJ+3kuWQPAU4BYXyxUp0LaSRyXeCR9tyGlrdIM0DMqKphkPxW+6lKu4W9Ig0CinVxXmv/I4zI/1mD7XFhVf08jcNRl95gB6GtzMIgvScNhEWC+ZhfKalC5nZpu/m2tfNbT+GGrHeYnEdVLewqXIDKy+R0vcRRKviCkQH6x7ZYGsUiOy0/502PoVZ60XfPr8gjbAmUAVv5Jap+DlkmkJqbJ2vUQoAhyBgD2+2zxHqv2QUul7RWhyN7yRQMk6bxSJenZHSMbHGf+6nazHSJW58xxn5gsmTAdREaO0lGhoLELQz8z48ZpVo4V+XgxMarlsH4ZyV2tXu8/PLBbNIkTo3z4odZNlY9GYk18KmnxyUVJY6E2PetXTtjL8BoWWHEwxKGP/Lu7kuyDFt/xsFf3SATpbtsznukk05slqqUBSSDugyCTe2vCCA+CxkMjBF13VVlnurZeBVtj0/9s5TFJGlbxIChMBrlYKtnaDAxKFr+p0ZrFPdQ6bCNuJbXESclcK6GeORZoLXQfvHnhKc/L+tB2CSMiud1CAk0QDPv+XlTy1xJYrMaWrVbuOSGA/Iuts2DGby//MpnTHpFgMHGg++WrU8UHvwvjL6e6AaHxcOPM86wtLuiux7N3VH3+2C9DbLKGqjo/1HYHkBgWrs4jkymTOAcyPj8Gt6KY/EWpnY61/YtQd6QD6meLlbnJJiw9Q8RZXZMVn+I5mWGdVKrxB8LjU++ftkC8xT1lxLo+7erYF0YBB18/UJM1b5ufnBxFnL/oEDST5igK47cCccsUFTpcJDemT4UsPAn6HPT+HgyCW4m3EiQ6c5yCaFpQCwrBA4jEB5SExuyd5A4JECWM8BUir+i04L4l8ymVNhu3LILU8tRsTMUssaOE+9h0cDgZrXBdMhdKRYl+VRSGCbRPTbrXYsx4jE07gbo24a+XNpGMJtFMWt9XTOsEUUmqa1NJ5EkC5xDJ0yJvL5AYeI2JhF7i/0oRAHTDcUtJSg3MLz+EzBCIi9roLfuBOOoORiKEk0Q8gQpaDvWyy+pIB/Avz0tVf6/Rgf6CEq3Vkp0zoIPrpcAQk7u7niSwAayAi8pAR/R0K9r//7+96yxgoPoZ0wimH6jLQ0OkAU2wNVeoI4pP6BZ38KthBciV1LcWuQzgvUod9OoLDeNNXdG7iv3DybEzqh6UkidczVe1MXcockAXpX6o0jm9alUgOXMttr3CwmsWg+g7K1INTgHxQ0ALaLOef2N3fdOD1DVLYAwFwtENJ+ukMscvM2ESKSzwi1dNKty6nI6QvY7wNUnPDDMPqXZWa9MH3Vqrn6y3yCx8/tBjTjGQB6QxLYW+aMczpz42oTaWV8chNPz2nLvyrujoPVWTeuGoU+nHhRlz+ARCZvWEpo41SYgYfIWe7JYqEr2ftidSiYvfgvbt/Xe20BPMF8TSOZU0FF5rhpOn0qOIPtz0pPk4fJWCKrGJGwPnJuMSN3zcSI1uTl6BbwbJ7TTg8mR7QOelHlkyTBqG3YlmYws6P3945PA0x13OkwjIqPH6mSn/pLD9/ugeKtnqm25Ropbo7ve3f6udpdKShSFocBDV8BvuHfZDK7Rh8rKaWFr38jukv2Kyn9Ba+pqHGWcQA6DjFlEeH/skeMqx6bS7YKbuhGPeilcwwrv9f2YxNqED3T52GfsZzlEyNNjCutQA1UKCd0L6+5M4dsJUiQnw+a8Skt8CBCnZPgS8jT5hGwYaYVR1AaTbFjI5lxxBpYN0Qj/QMi3AI8Wffy6NsNTT1awRI4gL2u9h0ViciKqam+GY/woE3z/PH7oWFaWmSY+WSJrj60n/PKN/w7o1DCQ3tXNLSWXMf+nKefP8L5vn5j3eHvE4Nxg5FsT9JMl1TZUVbuW5rGyBbjxidTEcNkCKtm8BvVrevCMtM8s5F2kXWsSGYPZUly6zDnqVdUEx/e5SeFIM5TWENOwlp/8EA6IlYkUzu0zJl+64Fm6Jj0H2hZL7mA/XqfWG3Lwt5o+rtyWRON6Tizefsns6P2qr411Kk9AhM0HuRAdZ7P6EdPwU67p5GYzuyd4SMMVRfn2DiJiBJRQJCQ29+4EkTdtDQKdH1GOMwPg0quppOGPwLQrKn7igFhi/9FAWpKuLPoga5CGaaMVr8ZNAk4zFIkqaRTTvdPt58336JMf+xP3lmPG4yQW2Yj8v9zi+DLigMV7fFvtIhZ1zXgPJB9G9dV792TB9cLYVQR+ihE62ioksvyGs5cubYaJXPz7x+iFovTBRPThCriI2ZeDIc2QbC4xtrbDsZD1rPjzUZ4UMPyxiD5Gt2OFyxPDTCMQX8JybNIC44FHos82+s+fZjOGrUwJ7iavSErFxd6DoE23WCG43pMJOFNWiqRt/1lz5e7a46yTtfSBcQw2m3VjdnurhFlDFnRKQC144FlyLOCwPfM5lKi6tJwZyVaW9Nyq5kmSpLxUtUxno4V1JZTGUZ0G0iDt8RFTa4Y/MP0REGjt4Wu10ZRSo5obiHV3Zzl430U2a2TrL052TPYagQf5XWKDPu1jk34SUNQ8cdgYoQJeDO6OeM8xBbPNkBY42Na7sQX6cde/UvrX43K6Ah5fa6V1OGu1OCrkG8BEFDwAXy1u6rsvFHndN2H8ocTdrsXwhEFowLtq4uJZO+uaaLwyeuZwiHx0Nyn7kEi0oTHJbZHL91s8msgJuNszFNnN5k+RhWsUyHj2TYh8/K9RDNbJzKXXiQmXlzPk1nE/LovGFY81WCGjBPaOm4UYuaJvHoD0PDj/6szGqkjXef+v5gP32cxKnPHuAeD4i/k5wrOLzd6tqdrnDggI04IdojnerI/0m3seBQKn59jeX/exXgOQRNJGuIEkpiESC0+A8Pnx+ZWkXkFbLK+7/sAGy4CwMo/6q/PC/Tg++ZUHOUwhXB2BFW2viOGQXAEW9SPcMJVP+Ks+nDdtBYegrYM/viO7vlS41t2oNBQ+Zd3y5dvtc+Cx7u9eBQ4s5vvtkRXM62PysTo0xmEfnSrm1JYzrxynq61O5zi1QN0wPQ/ocULkIrDC5VWEq0aj86KSHI74WnKctDzXaWfoegfOiYQXQxjk9c7/PtKFAc+gjVoDKbaiem6FzWQkxxNuh1MbjVWSPHlx8kIos7lHawuJ0itAMRLyVe/0M9Noo8/DY6h1dYSaxdIlVc5ZetlSkXwCDANS65EIItWZ0+wmt3g4Z2zz39iBexBTMjVLij7TbJHOcz+x/VL9KomYuTEp0IwF9KyIWI7IL8aNO52Ki2Cw39giywrlecLosxdqPWaaz4HF18l47lOcn/3lDm40kVaomMgp8Czg8IGZk5Y4qyGBVQF5t1mOWAFNOoaDzMnL8Z9lnbiOcjJAo3tLWP7v1SDirm1DS/RSoL+0bLbB20l1m9AoeQ4YfIG7ld5TIx/BIbNTDpGmc+EoSgdH3E5D+pz7puEkqUFvKn43hIlvQEvSCmIiv+f2O+ljgi36JzkrIyB0MpnugiiMw2tKHtBb999i2g9nh0Rj+3FFsO3UD1+KupE2Thgv6IchbzclA4Rn3Sfmo4SMhnhC1W50NFYeB+dFcnRjadedq5B/ah+/PokN07uBEP6G6+ycaJI6Fh4s6E1ae34c3M/yVjlg1ExOcU370PFU6SUzxJRrlnzUAm+W31p3oO7hkoOTFO9Cnc0UezQlBDLJKVA/crEyMmNuqtLofI9y5QhJeUrPeaeKc5Zzkk005ld+9TRTzQ8FlU1hDhN8TXEYBJvwKm+ZkqjxZ5rp4dx3ZWhIwjxBMoRo2vGW1heEDAvHmv/MlY/U2cImeyz3Di/Ju6DiWBAt6OZ6ut2KdhNoNzx9EJs50wUux3USi7PUQNIQpTHLhOgzwjN3L5/hj6KcQUhxtqQpEyuLrrxcbtIv1sqsBIDc6U15opwNjNFUyeppUYyGxpeGxD3N/jJWFLuHO0bnhvqbU+FC4BLGay054g70eAO6UBZNV2Luz67zLmdRiKoxY3ywu6/zMI6oQJfVQXonK7YXI+hOCV21f24VWXuz6t9+RLj99uOHET8mGl2KixIol0WqbNSAxbHndiegNrY3lzCsa1fGkhKXLTXNXdEllJ1jh0jiVAWgirAI4QvIOMjI7orO/6oiXRJQJY0JdojAoT1GbDS9c3/IYMm/wa2SD4PNk4fUbfLc5weIg0FTF+tnitWz4ZDIHQd3kIhlIJDOGiksdnNxLzfg4Zn983axTvcSVXmPQPh2kDtcCGIRo/m7eBfRLplXybiUHzFN6yX+CpvuIAZzG6B+zJh0oYK3EEoAe8u2+GygcImVz16Kgwrh5GXW/vnaPze0lYryzbtqRC09lssF1HRDsNSZS+zKB/dH+TkFR2BXpjwbvApzh387Sjleqs8/VYYdpjclGZ218xaosDIrvO2ThnfuLLnAfVVBYJ7ITmbLfyX8tRqixRdZDAf0jZHHYGz4uT4l/wnhK+3LEPFFngsgsyBxBwmL8BEN7hh2F075PPcqeCEkYyImLfxKnKuF9aaD3YEhUxV0D4PdwOtsOnbP/rjYnj61FaOLDw9j25fYxSWfJmxozgfYXKzbXf7p9CfKXpN18q8tPoLl2M1sDIOKeRktd9dlhKFXY2Q5zUYHTvTcwz8sErc7YjatueT6Zdgce7w6nmUvsOFkLkScLBDSalILxiN++6tHTJxqXW/Y1pAyn8MVqpM1WrCAOj+I+ADzojPx/xLleXgJDDIzsyJeUwwljiITgONG10ODZ2LNnL2qS7TrH4kuEsnHbYYNu6dHr5EpEjtNECupWlQ+IdA+m22Kx2RxKlGenqemyrByWCGY7Eh+7SpDKrGAleCyiU4aWs1YifSSNwfmwbnYKeaYKZSNhjMk6LVFt4rTIm75Q9B63yIYtKSsi8QFUbBT35DSaD52KZxhDbPEooG9noja3sNMRhyKCyGHZwRskaCDgLYkZ6Jk5OXWqAkdpXu29NVPNgGXm/J9BJEFzgsmdtmMoqj6+ttTkERVjqOJ/8IvxtyMXxgyTbgR58yZMhHo16y/3GNcVvWXvWm3TilSbWeacIjjq+I1T1OBOTd2KlbEUhVK0sWEE9sQ0p3MZbs/JZE0JB5NZYnSR+AFe2D2DlBJ1TkwJtvHtdUUJl+BBeeRSz1J8m8IieClrZLPT5PwSIpQgRbjB/9JP/tiz9Se+vfnBLk+jBW/7APkL1FWQdB1dp/e0wh36VDm9mbDGLSm6Cf0ccY1JArPmqddzqSZKO1104KWEe6bXranxiQlnjMlDdVRTet44g/MADm5IyNY7my8awcVxwCzIWOuFsqT5XvqIvz2V5U/77UE9kkiGtWLjEhe92UqS+/5rSW2PEwpzoPNgF0ykRNrWPH/XWFWIJUcg9v7ch1HP6lz1y9JrRJyfpCEmSn0J+1HsxeCX0/pJyE898A0TXdpHfTR7Kc7/oFoMuG4vsuQZActzJyddjLhXfnc+Vn+djTF+hGUSY4ZmwzwINLqDWLVBrDIzHi90WWxrDz5vbLaQqEUU9bthp3s3O6Oa2H2XwVhFR9DW0R0WmodNvsSkpE30eGUgc2Z9duzcROVlSGPHgOBlYaFnt0Qi19Fnf9uLa3tXl2s697rGLOBZQ2pS81Yk8j+T+NNXITmA2HKsmg7+i8zJVP/0/unubLJourV0UJE15qb7Y2sDCLmOmzPZ9t5joU0H70mkS6iez0+86WPikSyy2DmhaTWAqdcSphcb7YMr/pFGGiT3UYrzOWlkladruR4INiIwna4Ityl2/MuUufcAenMK4Z7WsfC+S0aLJsNEbbhdF7am/Bm5brhWo2FuVq/xRO36a1HWkK6ep1RgrS9R0VuvNKgFmJlvftOTBLxSNvjR5/05bC+jW5yRXkYcZLonXwq8SRG53KGedcxEXZxzU77hqNnOQCvwblQWz3suYCKN/YcX3xdEkFHrWxzvZCFyG4dYh1Mg4CC9iGQXTu/u0QfUh7bsUA8m7omUqJa7iCF0Nwrl17AFbl0ys14RAt7xIBqfbfxNHRQgWbOcljq4Tkw/7qh0IwW/IQUwgPigC/bL+beeAL0uWuaeeuuLCfLg0DVFoMcWRsdP5Vr5/i1k/m1TvbFgv46yCFjomCVDiiP84kwv8MFwmSaHKkHiMw+gltvhwXdQbiXxn3aGrEV5ha2hu9zKFpajhdASKYwuSpZ97MqhZt0SE5AuZRW09MDfDX8foWOKfVXi4ED0l3+Xcuau1DPiQWTQgsJtQK3aEQ3JCC/FD3cgBAYmyII+WuIc0BS0sIRsS3WOxZtuFqnRMfRjRqQDl1Qvo+wRE3CGFGBA1FQyyVIkuqQ02Al93/BfuWsMQ6AKbPgSDQiil1DhEwTAzGPq81gUZ4yZn0gs6DFW9GvEPpqy+FuwgE5BjI/LOnHZ1iU27wfbvvv+aCCRAJaBHt3lnewqxtr2W2TejR9/5Yn5Rfo1dSWOJzDy1fXfl9Iu/Ra1yqQ+qeEkL//xV74KhAmWw7u0qq0nY8UxpnQNMkL9WrWqscp/9TtIQeIu6ZKAgKlhWSwouNDnNxBotEvAv1QILS+vUaXSQbH045R/VimVYr2oJ1Hf74j7CiH5HB7VeZYId85JhnlLiZHxwbLtFH4DT4u5SxuU1uJAjBovh9toxmPT2AO2tXlKlWkj4L6ryoiC2E6nkLFcXMqikoUFevHU1QrBylf6YQ9UmoGEuEc1sir4HqmDCG6kBkCWzpyUZhnnoI3EAcT4R9qiEQesu4hgZhVV2KwZBpLlHFUkMOUGR6lqQHVvKnj1A9KK2C9znnJWb/BM1G7DrzWmKWxTMsJFQqkpOvJT+90bdP3ZeEL5QFAI+3GDCDpAde6cFzi/aNjOsNgevuViWTFb5TIyWNsRvsreck9kyYOrene1RrauTZRPXPn53MR3/u/YiSl0CqHLI129ueUV1oi0j27U9CbXV9zf8EFD2wdB7oBpmSvfeCEvC9laY8ihGdF3VBpqrPV47rcw5lA4C2ZdCjljaYAdVD2obReWp2NzLH83cRVsBHxDQwCJbgo2L1Idur0v7D6yIsuts7O7zFzj7CxHpG7pNTWcNkb6OkXpfYbsAMvmZEo28A9jCR+ybHWWSskuTyEPDn61P2fA+qw7p+aAqdPf/RuBAZb7aAxz3ugjwdZdg+Bt25oyRF9CMXm2+Fb9LTJ15uMziWyUM+yil9oUUeYYDKxNvVk12kKIaFlECrpZ3upomvoCr3WbOqPh3p59u4NOb2dkPBN+wzZvK9DnjRJWXV2PIc+EvXyDPzCZo66dJOrIIjEGXsLGTqMSpiQdNMgPuSZNaUCU0NPUliUm/v3OCxoPGTboQcbaw+0kTEFZGJEJS9ru8Sll5mwls2S7/bR6dx8LMtmsW72i1HV4aqd+/WpLaWoewfeq2py2fMmwBATiYtZ5P8NmDpGFtO02Qey9rfwZaMwbjl6zBxnJF4YqU8YJD/4yoKwL4UTsKzvsMZD+KFhhbGdMmvB4teEUhMFMyf6QkSETq8gh+QAlnQHv05Kjd/V1aeZ1obB4hCAu4xtJNy/nKShBLhiflX2pNzm5+0/I2RE25PUXiSl9nbAYCs7xTkUVbY8xlnQ67iz0SsLLLFVex3jbFXqMMKA7w0ZFDirLcdB8ejPB/5jhQJb7mWXwfyCARV3DRxnxgPLKPyukDsEf5Yalz3yOWkd7PHdDWJKIAY9iDaZYBDs/W87bK5/QCqn8WOCDUzftMcZjNGlg7iAd6KxGbXYav5R8CzUhtWB39Z41xjlj0rCfybiSzVfKaOl6jecoO3+Id/DMgkvWCOxLpMliijchVhp35bK85orbGIQShgHySSr8FiByowJKjKTPryJZfiipyYkhfOCppmUAeXyARjewb3qb9LplOfcprilUy59/zt6+EKJrzqJk46aIEVLdKryp4eE857aJUH4EUBG/W9+pd9YXPmnmN9jeiCkfKYG/Px0CvpU6/V0MWTg7vgJ2R0L+eHq2qHhl38TKEODxBMY1P2MGWnAaMTP84viz8Nh5VMFxYuH3CWq5O1pfxuZR8q7GLVIQuk6Bek8SAoF2wHXpshzV7d64U9TcmLCcmTSjzaS9A44+Z04UB0YECDCoY5kaDH6619C6rguTAtd9pknqPbxIQeQZHRnikGtZODkc6lseZqEx8jcVZ+iLKK8dTscExhNFEooGDsWcYMvNPUzn82f9zd3artt09S4ak3O6tVxS4j7xTnvXpMvCiIbqomKQpEETz9ZlxfJyltyyvlKze0JXSNmivZBZpIuJCdkYf2TnZYo6TiaspCTPez4Gw0rcheTeBENpiJLZOSoQi4H2zcfkWkYXdoNz6CV7O2MDXv7NZi6K+fyOKD0ekGRe9m3FOeLon1v5C6qpi8OqZiu2nK9gp7pkSP7whqCFK/Ypc5QXAqQ1mx3JpVrQfgtvHWvsKmOyg4BYDzLsojzfcW/oRPjOQ1fGioPGca53XSAtgY7IHpSkavu71tTXKpBPOTaWo3JJORucGxRJ+4DDZ2YdFKjkJDabZwE5Ci+f12YMy+xdepV8ZPTH109Etl4vbStA9qHSTBj0BEDvA1E/s+G3e2A8dT8jD8EuUyhaXVnF3L0OoeX5Ff871Oo70PGr7IIfYqX1IbM0/mG/f+zHTpAFDOwL1kgo0EaIUKNpu+RZl/uRt9i1KhWlhLoftW0lnI1qNrne8M6gvqeRU7lJUBR9SX57nhM4KzyZqsZhF8OmlDOdAlI1PdMB1K3HkU4LWbnStCDoGe03DmPiXEs4bzgiXUo6fkVa+/mrar7cikUdMdWP5GHG+Koh6NEWnhLgJUeTaMEXNrz2im4UGz7v/My3KKUUFvzZVT69OHNlLNAU5pqDc3lQHJz5cqlzAmMOAbjv+DDN8Sm8y1OnQDATiDJjvmczqL4SSkFIjbJ5SsEaHv/MPxCow622zmzJIgjWt16VfVQhrofWkxwaJ5SmGsFpYGMIhH9iWeksQFkorFRoFjSgd4yjfyVLD9EhylyiCLm2Eg96I/8TAfc/d9gNuL2OKi5nsvJrZ146Yj3mlaBcoV5MjqZlRZp+cRp6lwu2QFkGUBgKP0b5ovnIP/9NAnoLs4FrXurQmIAQ8F3igtgzTj18Cm14ysfxuVlmwk14LsDkKWNJy7uyXbR86xGtNpRe3wMoUD6OBg5Pl5ddz6QwAEC2uZjmm7j92pE78lqdtLHNGh5EEPy2GxpSRBgKKvpP6JAI9aPV06B8qemq4kE2GDFdhHpSlTm21m62HM+8qrnlc22U0YBboOx+Mq0q6C/JSdMhp7wbLdfSHxnfa8fs/tGzRObhBNZCnlEOzIjgqdXiEAwmD262we8EJtyTsAysLW6qnCOwCG1ste0BQHV6KY6d99wiDMjFBaTkzTexTzAplzcgPH8TSr1H1cA9dBkGCqcM0/FOfr+mXeErZV11mq4b37Ky2hz5W6UP5jULCLoPsST3311aPVV82/kOPZAnHe+8fxpD/xavaLUuBac2YExm+TAyHrR3OVLKbvNUCmvrj/rLy28Tr+vdZFSwpofNmvztrubl7KYeOKThJsjQEQ/AZym1I7siCqM10+7yn3EYOYwS24qiaVeDLUXXSoV/F1YDyGvGtoppAwBPjtjfR5106d/9THdoaqAa22dB73EWmBv/xMFKTrmgq8tix+gtug2ptNvA71jDPXsrw1Ou0D3I8gsog+k7tJfANJYYnx3QSZNdCy5ys6AeVRvZH7vvOm1vcxb2vR88JKG6kVzylU4IeI9V+c2bNdw5k4J13zVvrygnQ4iwoMxWAwZHlnM6KkSmIVOCIIzFqV90XYyTI8BPjed5bHIMsra1r1b/Qg6C9QWS7qZvZbOjrfpTVWy9VLe4OpfimLGqB3rRWhqWB+PFbNW+RvkHqjCBFJ1m5Z4Bgcg8PRJDjxd5hAo+3+RJD4BGpWoAYTA7k0B2LvdIsGPj9CWsjeKKkMWevC0pidMhNjjYQxfBUMMj+GRr4i3VLhsKqfDa/p431z4Urii52EVLROxvBFcxk1c3K8CVcBW+z6Ci+xHmgKE9DtI6TsxMV1qE/W6D+enoDNR/bhXlkb52vphRhuzo2wxHtCjjobbT8AOKsdYXNFt0h6+svkdTe0Nfp3SJtlgm+RUwXjvy+2FwfSyKYsypEeoIe9gzQ4ilMtG8LXsI4BcE+zS3LW2qB/634AHLFSqE0aCjc3lhgzoN5T9ODwxcLKVptThytNyNbgp2oOU4RkdI/A60Ea/OXLrnIML7jeO68WWw4PCREYdV09MZryxeBKY2NuNWhveugQ4Z5SNOH966GbEgATxti4PK922vEQkUO1AHwfW5pQaIBwHG3wpD1wDXE4HCZi6P6te/JnOoTERAASeN4EBpuLc6JssQvmvjaV4zM3F5Ke+IlbXIodNpiMTahRhuMi/WRLChrPeriChObrP3wexdN3iYvDn4A2tixeOV2pHuKF9mwcA6y6PjpqxcsAO7aCcm8BTKDwTGPjct41ICl9+81z7Q3pQMDsO100yWAx2x39tIiz/ZIdNnAqbahAAEMSCgOkSncLx9Ysfu10ZC/M53RK00J0faoZrEoYe192HtSJhxGchjKZss1sCa+WZQfk6YS14xheXOxJ5F5Y7da4Nos88NjWrL1JtBXKSSDbE4BQlen3FptTAmgWDj4BW1hWuqWC7rNyN7lAG0S7OisXUc9T5QeRg4CyPGBJtITiJz01ez+iGZh8+WriP8LxLp07qhhgIXTWL1E93JkyjgW4DawV+Hc8USAqvBa9S5WTZJQfmRDGKeCRuyMlV17NQcx5ZRQxaGPhzMA8Q4M6wTHfNkdU9jDza+Q4nhPuMxbPXMeUJxhOhFgdTlfyDNFITXUF9lJtq0XjcgOiZiiEmmL8WvhIkO6oHycHOzh7JpvnFhcVPvDZpL/llywI9w3ge3BPu5Y6dK+S+zA621MUA35WhFL6vVXJhqFnwaFate6nZ4YMmA+QTS5sIPdVU2jUZ5zzttavpOKcAJa95j/uumrK1K1VEZhgm+AzPuhCMLI3bsmGuTTW9O83G4mHz0V8uHHsCDsUMXnMoG16fXyLUjGdh3XjCvPcHAstaw8j77LZGpYZ6yYiiqDVBnq+T3WnoLk1OFWv50/o+DZbjJ5a4ZbVUhhcoOb+MHPDJL9uIpkGzZqmLPCXBWWIFenFls/5QSG66YQzqh+/M5m8ChxvLQ2DxhIdCtU17HGZ5D/RhuifaVgYIis/AGAktok9nPrOUHMuWMbSZN1XTHKYIB7woAs9eyEMPAzkf0bReHq7G5jY2o8z6gAhTkB84CumLwslt3icT8O/fo8y3VSkXCxDkynPhvVoqU1/76EdtmDmNGYzJ7mmKZ+Vyaw2x1Q1CgxFrtGdtEvuJ31FJeF6gnxKC8IBKVl5fRRJvGHsdriUKJF8qsVlpdgI7jQfGigswxjeG2jmVcWc3kJysaWhC+zU6dBWT1NGsBtIzrNnH9cxdhCqXIFUyZ1ggnfTQxTBY9ZrhiPj+nwEoN9DDbmS6pfql92bglTsYZnLuBeL/FbvaX+Q7eHoG2TrsS9c2G1D1BWd/2J0WzelhJDgIi/n6OiMsMJxnAceYU7L6lC0JtAjOwd5HwVAimx/dh2MkzWhSDgS89zKXRijTnjtSxtFFxFuNLx2yLxrkGR4EdmoJmgaitAWKaI2iUOfi3q1n2U6f+Oy+j/JvPPUQAZEhsX7b5TClORCenVAJjFPxCew/FFytnkh6I7PfXsyv3Nrny8/bXnSyY39qxRNjddv4heIRjbgm2g+MYqlHeuP1zP0G4iuxiAn4sm1dpmkShM6Jt5IK8XgRwaY7UP2nF04pVE09naNF3pm0THyDxeishos+AvYCS1IUF4f/lguv+0C+HibRQaLSNnoC7afrkIlmKhWExyrGJBHfoyPLyB7cNkjexYnheVIWPtuxagriU16UZ+TjraUfErAeA9tYjMj1EMuH0c6cbokpq5oyht2G/yQpXOp+TNFrnXIN1P5Cg2zyPynWo/5VM5PddfxdTJTwh/VRiSjOZDfrGDygwkphWUSiOAQT+3N6TCWqAtXmpaocCCHLRoFahZV9b9lNC791pBRkNiCRchKhuU5qjP6J3Tku85Dg0iKekn1bZsDn8LaZAyV4fzDFHYhYK9VZnhW0MhsYcoxrGaMZt6i1k6YGYE310Rly28VsJkVRaC2lRcVGK22UFFMBq5z1B8gopdLDLPcQnBKYyzMWu8izQpAcO72NzYu9DMX1g6KsdHQ/8BPILBpeixQQnBp2orh4ED5vIhWjB4RnDzlBDiHcoSihpugq2bNHf8YmGMpWTSKOCeHgDfAuI7G225BSdxyNXaWvJsA8cQt6r95XGINxLV9pOZlgncKbNZ3DRsj6cLtWxeDFR731zwBTP/wd9zbVSjsRutDGysPpXOOxbfvsyEOGwL/v4qSk03jNMmb89E0C1kL2z+UoVBaWZvQMQdlG74V6NihwcU5QL7Y8Q2oSBfPqX1/kcEbL5A3KBEzrkZeJONTrJGaz5QKCiUlnTi4mnKatz/HID/CurG6N2o6X7husrNKAFrUdmdYZew+Bh5ULelzTypx+ROlUW34KvYShQzHNi8vEaHSrdwXwRpeEZ1M+dAD0Y/ooXPsZOwk5ZsyP2jjo/FissLbbC6OX6nc+hd0RaE95E0q//42J/QMPdgA1H7Ddr9mTfzXGeSOKxQK7Vlfa4eVL1f2/H3woFp6tQDVOH6Al7JYCk+j85B2uSih0x9IhiGBoRnvCjEgtTbapNi5UoUgVKYuOlcSDKMX5K3cL7M1J0Lupr59DMg8/TMcl0zNGQiwqGqcKiv7sYvbuO869smpNz1eWW1NBR8qiyRA/UFFgW8iiiZgB9dIqMrmEEhBXGNlNudi1NSRhsKjP9o3cJ6XqtYAVKaDy8bsGpsqKiFxdBBEobkvpVeoHP5s9kPrF9UX/2/YHcF0uo8rJOLK+pl7bQsfY1tVklc8V4aV2wLvE5fGORTOYkFSoUm8p7kqR9mUzK8VmXxTAXbbwYZoo30ZDxV9TNi7Il+iLDxmvrsy+TUcRR04hNNsUYWyEjEZyqfCU+uEEkb7BYB6ZofWZE9pb4x+vlxRwvaL0cifgmkb28Wd+tWsmSdn96b4SsSk6n/w5Yj84zCoSeK0CcrReUaGDbDJQSBJse43bVG6fe/oQCuxuSWFNJ/LrwUxYySt63p/cI9RwoLO7g+BvW/0jJ7P2uLck8JMgcQtmgyJ/TRkfntBAjHIZQ95C/NHtKRVuyqIu7C1oBjdHkveGy7RYN43YCkq2hJ5JcQS7NmZvQofKuNcVrzIwwj7HfbQ2XwdrSoW5f5+IejdfzacFoW76ux8JdXGUnYmARzALSwVXo+yesYIbs0dTRevCWW682sLl9D5yDYzWe6ZpSQY+nX7Qx5I1gN5XQp9ZhX9ssufCbAEIE+118CwW1sSN8rOynKXFcOeYfKNysmbPmNZwuX2o4ZLDzDV4XPfRm0i0kLcG5InvU6xwkvbqJH5hzO2H6jMUOcty5g+arOXcsCNMNuEL4PUvOnAVVaE6xVzET77JAjGUkBIYrdByVzKF9qV/QThQwqxE97asdXx2N5W8O/VfYXtaHFGx0U3gDB3hGgJns0zRSpxHcIi5wncS6rLlRM7UHPzQjpR7bG7ghlPZlhvhVtjlgD/GeCFrPTjkwgGK1aQGJFEo1xCg1j/eqgwHA6QEhzpfPdhBMWvTyPWbtyPsliKxa5+tO7urk5l23RCU22CI8I1gDv4LeHY2qGpOElgmyZOQY3LnYDtWECJXnu2BXYcSjRUhUalYh61UOGhOVptHNAJnRR2QDTd7cDoB9T1ZNgjdTtM4w0FGVckvpCzDHVtecJJ4yIIHQ4AnOx+fiqAeJ9Q9dmWxyaZs+i11//KyQ8WnX9UNT1zdvCBKi+98rT6sU7ayEUlo9LBkW/w/eJd+fWHaSR5bC4KT3Jp+a7anMFGyFXxEN60WtSEKplCrkheTkjD3IfGf25mms6jEyGGwA1UHbUOKlc9LW3uw7DKLSmlOpd0GmywjmUbeKDxGzmBJxDkGl0Bw+nCMBFZmXjR/Uy5hP0R5bJKR4kiS0BeI6khyOEGuQ/GeJtM6eZM7rBCB8ZPhBbFaqwEPUb4hfdf6lZKLv8EmKwhkZUYxlnAjfWe9GvCqVbom4TLWdiRDkeEyJqBp+sFnskXSx+fjZ4wftO85bNaVlxW/7WxNQ/Jtu625OXwq6esRrocmLs1sAE6HBf/yw1gQyipTMcAWOyWzf6MeZuw75Q6e9x7jbP48gHESnIXzNdlQejHLV+j4exI2dJr+cvNz5UIZUQ7aSJvQCq7JKNa+cdgu427awf13zBWOm2HIa5rts/DqAPd+bmHENal5MsLqee+uXNhUnge8G37Zv4wx8xop9Et6mXYZ55k07Mxx92N2VS8rXiqTP7DC749D0BpU6cdQzkmKnsKtGsKJahx8UN5m+jsIMKVBy7omVFI18R8O5lUQ5/EAr42lC9+3cS5mRGM0DeFn+lBfVu4TM8Tp1u+VpoSy2Kqe/I67sNaX1S3LEBj3jfOnJy8aVUWBGaVUXhT5f+72J37yqFY8ZA5N1BgTbCXbvpO0zqcc0/RgFRqhFwAr+afBTcLeLVr8ywJxj/2SPVIksrVTUPX1qg9xkpS+YAugSwZkRhRC2tcXfXTSM7p7o+ZvZBwSJS6k7v6ZpR7LFAeFH2OsZhakpZLpxHQIDXi8YanrYvREEURcPT03o/kSG48i+/QlAvKhJImzY90y8rmRYtkA95DD4/ZPeRqEDma5DYwN/dFhciF1kPI9xfIE7KFJGz9i9a3ksL0lWILywJPZb2lTiH0Yfu5xi3WcxxtDyYsDzH5yBQ5+qIFPj5TZomxjvexCHZxoySSzPuEjsWdgUud3/Gt2p7uuJH0PGjTDUN8u+pv8/ludan52J35XSxBW65C0ZgZzFgeBWPcuuig+RO43GZ1HZPSrCPBAaWy9Tg2OmtflHMPv2h08UckXADj0+Wy37dZRv5AGpCHMzLVOMh3I/PS6aOHlIUyKF7o2WWvcoK5nXQrEDrdQadRmDIQCO9dfytiww0hjuKOebC1SsCTeDOuBQP5tftpQ9eAieLmqH1yTNMs4vTJXm3pxs9ICTeRfCeYXI5ON5E9kG89/ByFuVN8EmTdh0WKnR1EH8ad8z2aAZYpDzI5NAUKO5IgxyorOqecVopaWrQ3dvx4Aqkuft7JA4TeNwN0/R1u8W2Z4UK00vhfJRELhj+6/AilEzgzkZ5oSSp/Sc6HBVFwpTIaaLBP3npK/TH7Qez2hjQ9CCbR8j2fxH7OOLtrF8GdD284BnpWsNa/CSvRWrdFKllKnnAm++r/jfTHH6+UKdTcBYWQLG1Xwy9uYgTRBUz/AjfaIo2uI2rsW/8WyrZ32ep+vZm+/XSJQCyvl0mWjtxr2xjm2soYdy+EOCYJIgvSe0lS7wn0ZLfw4MZZ6MuQ1lJ5RipbrAwL0UoVW4sO0EvkOdJnm+7aky3wLcklPv5pHgriW+iB94lvAd3DzoAigxVRWkOLiTwcpinJ8ncahJ7HHLrZQ9SzFnJBZINxgoxMANVN2oZWMD27RYhz59ojN8HXkiTUWd7wBoFLV1dRyJ9uzcBtzN8O2D9xDqfRmYi9Dr8iSdbZPKgOO8knx2TmHV28oWQU4eD3XMlhsnqTT4HkLauLlNGCL67k85/OOmU1muSetEvehLXS4+Il8Kie+QFsd1GEl5qfxXvg99rfEfk2NZqkiWd1pjwQYjZ4O3xMlBb3XHQITZlX+lauzdIq1uUVY34nkIEav+HQeQZM9CLlzSvUPP0TZxOhr1R1SMoz78fGVXfz9S7KkyqexofUdPXrNb6rVtZyN8WzfECdcETnB38MpRQNhzoI95Q0c7vEXfHTXoAALJldUXA5fZJLLexSAErolUhSj7yC8qMtd7pqLAyGV5IuYfpESORJp4gSQ89dSYVnqMc6yjMAyHybM9A/sqaATCLXO6l5OSWysVoh71O83vvXo4EGeC3scn13bmo++vXn+ClYha/e/BqxLicG50HI/PPlWo5aLE0jTQD5cfMgq4fdnyKZTU6NEKZhhT9jB2N2U51bvCrQK7odMALtEH44y9Dd4CdQCH7GJXfcgkMkYMYZiVyZoCMHWe97zXyS2ESihboCQlkiCO7xrBrtCXUt+8DfjG4q8GwewIfptmpYaa45AZ/GKhvP7l+U9v4/UODE8qoTmxtsLJLr4xd5BCX4GQ0pUqqU7QS7B/Tbp87hS26/0ANskc7mn8jEx+ep3s3l+V24sWRrVPVJkGPsT5Hvw8l5YTRwQZXpYs/HU8JjXJvUW7C65thYNY105E7D3TSJN7iwOT/zwskZ1J3/tWuG+F1KrEmYiR6Wvft9WR/3o/fIm0Q4Nl0YxaNYGLke8/TjiPy+SHv12QoqpXYO2eJ/7sv4j8MQIJjAY2Ah03Hs77n+qOjfrtD27Jz1IHBZD4stHeFfIiNWlzvc0q7FwCVMd/HXqwWWMQSV6nuCSKI72qU1Qt4CY/V0zIggjViLPnsjDZjf6ByGQud5ZZFU+vMWDxjL4F6B0+Sz6FGBnIk2YaRvTmL1IbBjBBd/10seHsB7te9hUCUQbKH05WXt0WThVe+rIdJMvuhlXV/Yd7O1tbn8sVxneO2BX7WGvy3eNsyymV0zc/0WD0O26YlmmhDXyyi95oeaYy1WlJWwKyqI85839IVc67Uwo0oWTCBi1ueWvKNi1fLhBEVH9O0BZNG5VMFSbhvfaGvpkfYS0MfmA9zo/mBPZ+0KMdtWRcmldHydSM062A974aAySAWlxfDmtN1gr+M3S7p6HY+aJFb5Qz+L6MyvlEJ581cPW8CnMTaHq/rCwlq3Z329ntV5r01+0aWCLxNB6YG4G3OGOagRXY7e25tfcO3BTvdmf5/aBLS4Pnwv8O55oiHfcWMk7PY0q+/wTNuE3prnnhURKNXFsLurfmrT/GOE/TWPtcZJs+6e6eCfgMbqWcg3WYTIbb8AFa2pOB7ZHQnQAk3tHyLo+eZpMTTUttOohI1DbKB1PT9TKsqdTVRtVpcRqkA8U9K/Ni5/ovYuD+XvV4I0dObH1biO4cxGazsRz5njg4c6Ztbsx3VLmxk1TIyLg9KdFXSS5TXIeDrvpREeYg8VqMZ2EqiCD3PdebzXlKw0ZeVa6/Gz/bONl7ssQ1CdiB1yhcniGnXvd4Ghzox67TgTOW/tA6cvZs5pSRgU3EI5NURRlbVm11tSn7ndYUEsdBixgcHqsIgyOkSm9qkRgfyC0ir4CZxbe+LSpr8mt3EOXLJnTjqHuh3htCsnNDoZ4KGMG8cVQA4U/HOf/Yp0er/CtDWU0moxGd29YfTay1+8EFzSK2LuB88015/ETU3TEyuA85Z25hLWKqQ+OlofiYQZmqf9gb0PyLxCLm8IHbE6MevQrU0/DqnpFI2FdCWBDNRRlGNFxd+fTar5GbytstyZlx3qitApYALC2I/XKCns0XXi1/D071DBFk3fhan6cLjCKHH8XWUXknZiCfiqSNMhPWs5CyOGUtxDsBV3EB0u2NGBXVPAM8lJVadeZk0QiXvFV2j2Wc4JlppRCPxcpE5DTBzub9CXcv+YA3eVYzxVwW0BI3F/6GQz4VPzX4qqPg4m4pPCwPggOCLzzJShXmKG+0GrEJnj+tSAODVTyY0pUgCToEYzZ5fPMPd9QZm+yHDogXaqYrLjdaYBIN/WYivvzH+b4qnjP8Fr6vSY6v8T8GlifivEuvhGKNyJJ+UggRcww64Wu3ZO2a+BKywwWJBaqsZN1CnCNTq+XFlgY7hul1iEjF9ElmpQx7uKHn2M53GY/4RqQZ3n9m4OS/Hk5QDMmIt+SgBd1dO7dViv3+qI66RCvhsR48z42C0n4bCOGQtOGTTIlteMs+QIdZ4y2P08h5ivc/0iiiisfO0aYBCWhyLbjeQqExUCtv5nIgQnJCEQzf9EuDlP5KDREwftB0l8yeBBQXDlQz7Yb9e2Vz/hU1aMPxIZvlSjkobiEKPFBgDg8MPb7HQi9xcNkq8UpLz190CKkOZ+PBE3AehTwmxj+l/izY3jmhPNRrPuFZ9jpge56dVWZiEwbAfT0pSKFIzy5zVQA59kqwNN++xTyzK7PX9vjp3LttCDrOl7ZpPYCjiNkucHL+a2CLv4kPg/3kHehu4NeQVOTsjsX4yiXDzpJS9njTvL/c3MMluvQwBPsRVOV540HjyvFnNyMMNjh7yiYC25oUrqd27kHIvjvJwItcUkjbFWCtMaVmmG2G0Bl5p0DwfF97cPIgWu4Gx0LZBl/GupoNIzACaQjWfYX78gP8OYi87rU1WZ9q5nP+4LVAT4LaGPrAogBAlxa0VeY8vXhVWyrH/LDS0NQpRSCZY7o+v/OipuYdpAhFJL/vpDRK995F8p7Y+sLP488hpLJGXf78O/dWFM6lI2ySVT7YuFpLxvZljTshL/7OJK2bwc/vxWN9KN4+yKCkGnUJG3rIGsus4Y4slFS0qCNBnsssOGf2aEW/o8RnpFaeT5Iw1ZbesAoJmSYDgZFtD7iu5mpvh4J2QE735Ic2e5Bq4zKpScrtV9zmGFl3s9h8Z20WEb2n9nK8E8Ct+uVmwBAwQvCbBh5h6NElj6fXcYvkFbsnSDMl5SnqpmAT+dnv7Vgje+gyEpqQypAV+raZ9YAx6xmjm0s6kC8wFJQhwdR9tnOitYokxrv7nGaB8rQE6CWh3lp6kMEmMTiOfz7lyTkOu+XX6/zXDZywQLSi/+tbdyRwvkFAdNoZda/G+plfce+rk6SxAdAisSfFdt96DZfbgYXJ7fn+HP/7Tptjsps/qL8ubiiQs11pdPc5XVMH31Jk37Fp/Pt94gN5UdR0yOT5wPTNWNnY2YzqhXoii/XTdNTavQlRiIHTl/0e/1sbLr1/NTdjs2dQo9bG5JuMho5KxeKJz+cgEk2uKo4pNVeBIITxfy6WQKHd1ZZdwr4twXerWAPB8Rxt1QxC0Oqhg0oFvpHzvV9GhYnIRzgte0JtFWOLq4QTrEXa9c6LMwsZpvVhG7ubGSPwQRT5DbZJZXlBm5ZXlOVmdtBeAM6Qi8URK/N2+t/1zFDrpgLl2SgjWg+wqnhIBi4in2G3O8MfIGO6fhDjsSvoKfamtLZ+Y2+rbChkHc9dau51soQVT7zCztZm5Njcp+WlZRPgahlEBIKrXKuA81Y8XMc8Uz5/nKDemlG6K1vnOIEeoVTUecVfuKqeKBmbaVcsArAxkHXJzFvh6Vd4AYYPSWJLLEjgM1kYcxv4kA4qwvWbfi03tYqaOujePiRBb8czCvhe0s2cHBP7TKm+Oktv8sAab+Y/uywXbq5XHt2OW+LE4cDsiGAwYIQ2rwYxLMiAcicv5LvAiivfvppDXAl+rMmj3LPgnl+fk/ugSPtPp7P0hytP1vBVdj5L5FGumpM2tfAV+TtfQ7F4k2dA99eaiLJBrrosgxwJbacUIWldzQIyv2IyyxOw1LgQsCANkZFA+j1+hG2jF/iclbZwJC2nZwb4jOFLELlZWXEC3TX3aOlvzAqCEVJ894FzbtsYTW97gNpPd7CsBFH2bk5TlDt8P0ahWKySRAF+dIf+NYHgBfBtOpZ+kf4t2Q/HD+DLHTOmzXg2ITfe19T9iWfe6tx9KMVvfk822ipg3h3912iyiD9bGfckNQ1nlNXnHV1ruIjgMA6JBlUO78H7okeqXdu72XuGZ/gM3Brgd8yYHToMyb26JaCjjUAIdMCJvA/XFcfyPquXANGoRDtMqvMbw2B7Zx/Y9d0F6fvt4haFRfEiNTKlVOPcDOT+J+AAu+sM9YYCEJCZql2sntLKeIuQkA+CiMKRypmmmANQb2Jpc+EAlssYR8le2vfrndvcbsKzCgDEFb6dbNGSgmD5mAj6mSRvaEty+RW70cIEnWZJgElnORnYMxj52W8Iq8m7JQqO+LYqplM8DfCLuzf0mnhO+Xvb/BdGWPQ2xIExAI3HZcFVbE9k5ptF8UwaI7suQDfeXG0Cv5rjJrMVMCOeob57VB8gQypd6uw63P3gyCh5YPOKu/Y+TUasOso0VnWUZ4mjvu/2o+SmPMLM3bHGC2I9C23GhGROqtmrximQt66mL25t+aLgGjNoQVbzKkh4QYSQrqMkhAMwza+ZLX2zAvCZ2ktg3CseuqIZmc4SsCtGBvKvB5W0b7kcKCExiqmbPa5t3L4GWkC1WgVRZulqR6qxnO//1DLB0Of+wnODlW92xGEYgd3a9N2lJAsHAVfWtBngaQYeegSzqw2G/ikqe+SeEyl4sPgSEScH645LIqcjeTr12/eAVAAL4RgtuCBo7iTzQxEC1wvaW5zmcJh5YQhjZedSVC0KAZX4/2+hBqDpd9qvYQJ0EghQWaSR0Ny1zoZoSYC9OT/lQjSlRdBqZ+qzsZH25Jh2tv7+Q/ZXwHfKBVvisms4dIGCLrNQk7wyPazE2LhCTQenREUv/hXjwLN6ShRI9+RNEn7lUICAmUxd7sF9PY01tI8SiFW2lj8Tr7nPTKtBdFLahWoOFzbo47wYjKkCVDj/FRBoMeyAZTcV59SlCs48VCwI9a4U+GrB+bBsSKwodw7dVDuoDkhAncJkEs7KEsB+mhfF1+qdjAkPR2LaZ+dgQ4wermhGDWCDglXq6qkYIDjQtFvP2URLzB5+IYLDLVYWu+QLohvMUfbQXECLQCT4/vYaBWWeO3hc7O64P3S+dB3+a/XlNWjffMxIIJS7AfTUBrU5DC1qtxOWoN9Cq4uQq/hTQa0MeWqEbFYHOonqt6+A+0/2o2hPWyVBDtrsr//Jdi302p7fgkfAruNIFAYQ83OWCKN4D+96PyUO+o9xOIgLWLxYDDU2Dzuoi8uySbL1JqodlcZpN6GM905uLUJZSLU8BZqh2VMMexodw2cdje3mKxRv8PuoSqnZRwvWVeyC+9gg50R/1Mrpw8nUE7jBLM7rWqfIsHhBqx6XkyZ0oauaitlyAVagC0bD7QHHJuFQGQWaRkCVKCVl94MET4eUq8+G0/+dmRMLzLtbNc6qmO8GJvs7rkj1tvqChbr0CP4okBcr9UJgr/udy59XhtuGXkm5PI4zPn2j/z9JqI0wka6ToCsFoYF3auLGx7BUv9lpVBlFLjyE0AcU67XzHuUuJdbGu8/wCguZ</x:t>
  </x:si>
  <x:si>
    <x:t>AXILC5ewg21eZU7PzzsFzVk1PHM5Y8h5US8AuBb0qmU98quSDnjSjuKb4UZfO9Ta2Fu75DB36yQF6xElw3SYaegZ4ESKuMRxv+W2ocyPY9C/gygSZV4vDD2Ny0q0rZ/1qHG+yyYq84qYL74zx1uBaOVwzSFmLkb3UN7367XuUSRBh2S1LQ+hylpo5o8lTdij5dBQujN7jw6G9/KAB+FiVulWa3U2Ep3Q8yg7VNwoQgAA7451VhV/nTO5UvElumCEQ/ux07hFNK7Qcl2joaLjcMQN7AkBujhGLXhRALNOrbdXHGEcmpk80jy6ETxhl9jtHraFLErmpqvgdzpp0p+wt02KpUuwfV3HrzFHgAygHmmO+J5RjGS1AxFqGtzxmDtddx96+0wvFU8iGB+nLBp1PxabCBFX6kuo36XHINPGIFsbOxQxyjL7LcQ4NuQxSghz9Yq2LfOZkApe86RDiEDQ4yKx+vSgz5E+5VWokY1Crz/Drks/c2c8DR+gH3GIELEuRUb0s1OEMXAHqMqUZmO5p1u8sSinq2nieyvjmzkJDDIS+vjSWhIw+9r/xV5vMK0SmiWNfOe5j4rM9tIv8vnRxB5U+YrS/lXCF4RZmWvMNuU+U3dxOlEof1PAd73sMzeftvXqeauyiiwIHr+C2+W8SabtBgxcxlONk8fnImeMLBS5uW4+KHPJ2CzRfqpgzTOiRMegG9JosHddRflNoc2B+mPZSsonoQChTBR9us5rN3CncqAFIBEA88SIhymFaFXbpB8j4hTiCoCj5TxOg5LovydfFE8gDgHKQIBdKxqlSJPAAfB0rOdDTSFi76HWjJO4QFamgBAiJ9h7IItt7AH4UtKhza9nZctwoWHgghpD7+BaleMpW6jmKY9y6+2qdlgFbHYWGPnH+X9IT4hABXWIw3kGNpJq9m/XANHKox5SYF4VegB4yY4I4HJldnXe+bOkRB9A1+0mUjPsBUtIbzcn+hinOza7l0MQJCYofJGyEi4jRzyxfS85xtRAG5wTOBWBcOJaqoQM1XirpqoHWzpR1F2SA156qJqPAHXSrIQOH0UCsbU7j3nynwXcGEOfvBECwNpLt/SSLOmTLgcKSgtsyCIrC8wnim07igclm56Nb+saNUoCQ74ufj7gFStVud/+4d27Jmaxqiyx1O7mzQnMQxYfsFZXyeZf6mzlcLCiMI11eYk2fqTKw1n9WcbaCG/E2rmVMFYbgDGmgQ4qzxeEMu1/6HjhvKfYiRRe8cPJ5iV2xJG1sQs8Jxh15ZFDe2zo2ciP/ytmoBTiTh8nZkNAEBIR+wUuDhBr7clJh3bYCdy2rFHZ7SR1Bg6uYXJpWV+z/VlIhYhK8gJXTSiYS1ulfpQsz6LghsPJPpkUOhyizjFptFyzl82ImoecWm2SQKbx0vSl6SZCbIZjGoazDtpH9lqfrgaqCrjeI9m2KeHS4LXbXc7UuXYUBQuag7Fdla900L46pvSnqBqyu5OzJZi4H5T18+aaUt6vgEpUXhvlH8kKSNpVyzgKKWH8OOsorgagfoUmw5Q0F01CST+qJcyxXrs2W2DoVdF0peR1a4FcBiSO3dmJ9FTu071Fe5WfPNkKs72/6jBfec5OgHr08ryW16+vUNxbof1oIkLvoQO7eMt7g/4mXd7aXq4sRetj4nPoaH8PyHvAl3Syyce2Hv3D/8+KkmRCjGzBxXjvhd1GcE3yEwH2HFZ/iCuOLxK8L7K/Eeo9iuhSfX7nSNIPyWh1baoU/q0LCIN38AXAHRssLVtyJ0GUjNujvHxFzfamYv53Kx4oTi69D6ZAIHbh6iq4gh1uCrWRlfweintctlK9VihP0xc2ICaIljOakFrg+mpOaI5ebNfiyXyyMNWT/O28fuSAqCUUaSmvMxCq/XqEK5BfeUWRp67Ezl0aNTWQPY7wNht/6IV0uQJqgch6H5uNdgQcBiP0Y6UWymXTv9sd4GXfegmDVTOifC7yDUKBXlqPbuyi/8y7Np+/anL6szyzUXH31j9c692i32DI7REpHbKZzrn+fijL7qGTUTjrO3mSktA/HPzfR3xOiSe5YI25X4eelrjg65pZPZTfXCICh6nhZhUsiZRXwP0Gg+XtisXtTX1tJroTn94qxGxOG3O8rRTiPkIuyhAIVRYC9f1U0wRfcZqPpG/WIat1OAo2RuibQtp4n2GZ2raosYDoRHmjZLcqAiKe/A9VKrL+2KCDAV7kWvxEANpHJV060UywdPEjramA50U9sp/52FLrG7/lxhvsiA0oQXkV23DoWIuJhO0WhV2UI8eu+tc+24oQXv1S9FWMBD2BaSpVv2NJZ2q63Zj+O3NmczarXF+GeqSYSYK9f40GdysnIGsgEDnxQu2JEdlTycuNcoPw1+cMwRe9BPNR9ALRkmdgY8kmsOCqX+haZZqOoCC8ZprEp8c1PqOQPKLBW+g2XsfNnhfVx5RtOYe4lCFGTdsdKWeBsUb3+QqkaZkh//0UlqHv6uDYyi44w7+COpu8+G8dwpgpI2e/C6jKItW2iRySM/dhdcpRw/GVO1dW+w/LpodnIgVXwHru50x7mnpq3a2vSkpB2sTJbWGe67TltuT3szVbKxzLTGb4cFHBZtC8R7FpdsBuL4iyG0f5frTnRas48C7GDTkKr2Pwt8/vjQuiHJldgqR0k6eqdq0AOb1bhegjxcv/1yQZEmHYm21CahjuOeab5r94pZxfxd0NlMzVRjIlGUHuH5anfbDP7z+K65ydFl4Slng3RtMjn3rxv1YTZQS68ni8Nxu+INBwruofoCUGCqKon8nTnfE7CavCdGx656zO1UxQDUAtRw6art4m10ka+oovWNBJBgYXRqSZgWJK5Wc0dO99X8WoqWPIaljZH5Z7fXELo2mJTJXUj/6XFLeLPxvceDCu/X5iy66zoti53yZMyBvoz2DqVrmuKTeESQCL4tDHXeQS8/kWyrPL9nYBlJ73Y2oIgqPmdoGPqh1tY+PkIELXwkkCtC2VYUnyauNiM/2LjR52ZLI6jdFN2DjANViOVxDqAojU1K6tzum66oSlLPa4EbQR7H1cUVQ81ZwmiMp1+L7ViFJ43/j3YEtZDJrllDHZfKk6TuUgq/5Y0+RBqZxM+4bgnCLcypdQ7/SpkZ5fiNYJhrmw/h9aUp+yWShK00DOUwPO8KcDpQh7Wr6p479cOF1bU2+w5q/cTxpXKIatqC0Lus9IFxab8KyUFzJvujdvgNkhSqMsg/2+Xzgf5ffyihaMaM71my7lJv0YzZg5Xw+vHzlFz5gKU2RM4FYXDHa8N7lkzx7Ff2X454TKjdGA7uQiCLQOa76hhxGdMLKX0E7YJDY7kSYdlUpcOTBRhEdH1ilY0l/BN/Vgj9ijkJWE+VeqTscQDovzNekeCqo06YTLsZlAusyVFrWL/G9aZv7YE3o097hCpTjD42mRTkymZ0QoetyqD+bC7IG0rBCMenkGDg3AqpzL8Grq++uUoOj0bA6nw2/u7TsmCOHEo3Z3sAWOQ7W/0BkXfQTR34fGXEpucdseKvHjL2jY9+0xrq2j/1sHCYAQeNPnIp4vOkjF608/1JdPulIt7YpC78zljNFt+V2MYLUB/6EY8nQWnFvF4GlWJ6zRJUDl9RtfHidTL34pAUSdFEhxj+v/U4d9S5iGJcU3IFUmB7+UQBp2ahXWsxp44EC9wD0bY6x95ZiSAGTWMRYU1FoI9g1j714x2ye1GH/emnK/HGxN0ueUWthuA8u3y2vAtMIgy+6XH8E1BJNMg3fORwzrRWriCVzqDKYhSQBPp8vKovDuYQ2FQ/d/VCyIXAhjEug7lBWAonvqOqOIAkW9FnbvDzdf9iYHf1f6pPTL0U4d/N6VpXstNCOqh5p8U++8T7Ex2pg9BKpMG0d4iBhlgtdK3kiR4f9/eHzXKPB12ApNiLnM4AOLg6mEXDpAM/UJ69BJkkRQVXEkNnnwYLvF1VsY/i9Hi+3GHlBS3KEmTdyHoLR3/O82YSsW5FiKD6zQLZv2VGpxM3PLN49iFK5JwNygffFNy+ggsDL0OKbn6Qx4+u1hkIZ6fGm6tJsQIMaxHi+jDCkt+hRZRg12oGRoBqYcmm1WHWBt+lrGmofGtSgYol8qLJ+aLjgplB9I1Exz7XatGaEK2Q1Y6LiMjap1IGKJLgbzRTuPFzjcjC68zTDMBv3+G1AdW2QJABa/F/ZAVXvVwY3zELQUopUhvccqhE4Naz/lSqhlBvjiuuJJL2CaxxbwxchK+tgqWxF9dTmnpS0mz3nscumUrdEjmsYpQWd2HgzT7YkQr6Y7J8ZeuNhCsjt1r2i1Dw6zjq0dhLEyVMrPmdv1ny0OX4ATqmTRCLL9CxO5lHGMNtaAlQd7ktJPZ4qq51M/L1wRuuUt2fa6SxH0ntD2TZ8HsKFeSPfre0fB4EJMBIuqDUekFX8Y1t6oRIEwycqkK2GPg58vbNSEQAl2E9a9k8eHgPeUMp5tOQzDdVjhjbpcthPLT4aXmAXT0ZtB+jj3ZSz2gNYdaazuDM75R2gFwEjiD+YXJ0CUlN+UUq9Yk0mlGujnQyqRb4W7Q3NoDD2lJ/x3upLeSdOgl3o9jt9rxzDy9rL8V0ZzUhD0Uqx/rhifXcoiLAjqLNSgClF46Dxogko52ycXtWB8OyL+tYlpX8dWFpZgsG/Ag8fll+LHOhJpY47VPN7yCBY62D+jraM004WDagKWWV3TrJ3X2vRxRTOFJkDSAu//IrH97wzs6OHYOHrrC0LDGZIaFqwSZRaqXc4a62BDuZMi501yIDQ0I4QGo/tirCSlOrxfUX2P/80njY4hcBynTUaS0d68VWiXbj/ACDDdFQPra2z6dg+bgouPP8X57AtLQu2eoAXlc0/kQBxjeq2dn0pvN9eVBqiqljTlwB4yZXiiFhD448OXaZDrPy0LZevZRnLxjvInZ0gQb8dNTuRya5pfJQKEFFq7on2lD375GUIKn4fTZ3cBLXVkTuUG3n2eOkKz39zf94BqYw8ZTculfvVe3PPHocy6tgT4VNAc+/1nDJfhJYcKlC2IDUZA5lVVhIMiSevI9VWACDmyPO/73zVurh3LqemnP6kvcKOKTL9OmC0QeALr+SVuveukYuoPG+imVZkH1vZWCWYnY8TEofEeM17g/7tWdoZ5WBEvlbxMlLa66kwrpDSBoAlIcindtdjClaYgB5lhRQ+FM0TzDcvA8xQ28aD9Zj0ACID+nIiVl4JMznoUFzTCFUdA8nZT5bTXHlzPQhOFOXDgk/k5ivKModvJOe6NA66YQxSQM8ZEsFefYq22cqYriFNYSW08WZDn1JklWKstnUZBG5PtXiUjnmOGM4MKSQq79fUW5Q7WC0FRQUX+11z/s0RLuJn5n2Adn+EDXqhPDqZ2Owif0iTiuAvTMvwA8AQ/u0Enwkkqoe+FAU4iMOPyGtnSWX/LRnXQEVqnPljzsiIF9bvsce0XWxZ5DVwvuG3dTZ033qG342AMJhpd/MjJ/EXijAJsgd8ajaIeCM6D0b5bW7lI2mrOp5oYyvRKa8qujYMUrRAV8RtQmylBSPthKzzx/5/ODwKw+9m9nWhlQOOiNtx3jDJ8wBge3aVnoUHub4PT9mVNE7QKcgBhHJr7yzFj9fqb92ojH+3z0Xo9k7zqoHdrUO2KFpLYO5XRFbiga0vIh5O2TKatqQD54BKPa7a79prtud1u1bJBBI2v8XlQw/KgJIjItxfF7zUJ6TxfLi2j/PI3Pq7r7x56GXx15hbGxV6laJNNLf957pGEiYQuG+8vM7j0UVVSWY7uOVQZL5CFHNJ5vk+q/smvwWQ3/Ryrnlnwx1FFWCMLhOMDNC363qx7KItEQnZ3qGDZJWjoZnAu/EUMJnK4GJrhT2/5YsabWpTn1HoEnHuYUcJIoAYLWYK1lPR/oqpai49nyAH434I2zqPYTsE5woX1FyuP7TjS2r/JUEXA9au75GFfmtGhQsbSVPVRI9ltCilZzY3rUumW8v1JX57OizRcfpd3wLuBc+GAvdXsDa8QiONteNoT5VDYfz+f6hxQ+10N3jZIG2ZCkp4VUiFm3jNh7/6z+9j1t85j4qMMjGWfSDOsxiQvFVpFuXr3ICp7vWrfBA7N94slU61iPbz8rI4svBgGiyL9C8gjYGwiQIH0KpfNM5j6CCYXsB/R7MTBl0eKyLZEyJljk8zkuVoCbOLMbfOdnnLg0PkEfgNZqNR4pmDywav6ZIANzDyUD+ok7zqPbM58nyU87vJH6Z6DKlNFYH9fXkIpeDonUhwdyr0Fon4Eqt3gvdi/gaBQQv32pjhG7MaIUvfzvZwq6CicUveKArgm9Tqqs7Bs6Kn9SsAHMgeCQKUcVnC08gh+2YONUcHB2YyWQOauDIb4Ndeiu+cVizUMu3ig9bbL05bZ0leKOuVO55+/RUqf87P8x6qBu8+5RXLfOXIf3MEq/lQQ1AsVbgJ1P3BxBzOjCpoONnYAW0fJ/uAhD/jsb6veDKIqbj5wXuiuP4b6Y4e+S7KjOj9RmrZMWiygS9p2KxuLST2idhJfipVGk0Uv37ZUA7CH9dhH1zE3swSxiq0z7DLwkCiwY4+8Vxg7WONH9vphoDceXXjZLhR4Rc/ulSa+HbluZL66SRkB1r2of68uhjt5es648vDzxW82KohxJ3Mw/gTaTHl/J0LOMwXR9Lo0hYWfQP3XoS7g8rlz7q7yz9rJo5UnMVr+oUq62i8KescwKDtxOXt8ZZJPpEzYcX37IAWjs1iFpXy+sp5MGTN8cxhyVzFS/PwlTVKOnOsReIfJ8bmoX5O/DeUG5pasbHe2icD3pFdoShWMiRgLXdOwhumeG2KOQggFWV/e7Li7DV5lIlWdz5C00uspsCKlXFqofNJwnDVLlFm1+W50H3pizDKoplnvvd6Do+BezwXo96VtQxOHKvFte6jiXefSnZg/VnkbwoC1TgeAFLHCe7pTb378+D95oHfniIatUV6Nk18ignr7VVK3Q6snjVgM+YEjRZfTDOJB/5xKio9O6ZCq3Foc336q/+nYHLjziF71dRN4nBJxVVsevcIRATlQHYm/YkoFdq7M1KZXNi4mBYJEZG2Q9YwRDI3e4g7hMdZ9/1YcRXN93Uz270tj42HJE7vhJBu1KZG/xcvKT+xYzHtEWmYh52gD/Yit0zdBv7ys/FuBUOHMIB3UaHHB2iSwT6yz4cIbIWeCnAgHfhhEtnP6Edi5ZUkZ4qaWqgwIDRmcAxDpZMhumj/xppp5ax7vmlhiuj/h3hy0Y31yfhDhg1Bz88J4IPrevl6r5YN+yKdlFLbNREXeKhJf2sStpDNeDmdXSp220kdOBg4TOz0yVlfztPK1Mom3mupCGEbk0Nf9u6wW/6sETCHvdKKRrMPDW/5tjAPaRQiG0kc4wZPpkHQt9MBXKqQG8OrjocXbVfs5vdU33TOa04XHWmttaF4B1rbM6qkWAIbXrfrwMe+Y5vyB+0EoxVhP222LMlqJOJBjHWegN6W9zfrEa0dXNRVmVzxgycQlaTr5HnTdZEVXxY00OA587kjPTGxofCw68aCxqcxlyluKYq7VxFX++YPsRBgmJzCOdXoAwWCf2BTwbooIlC7umUTx8j7nCh2tNyPbkVDPtHByjIxW+TAh5PCxLoW0WYXPbEAnjkG1D33EoLqlsM7/x40BoIIOU/evfrf/UzNhKF5Wk3Te2uXPE32jzhXrif7u6L0R53njr0JcTytzNHJwzMUqZd29+oDW7tHCMzYP4G9YJQZzVXCj8k5zh0GXKOQUETFjvF/XcadSiwI2EvadxLdbBXj8Q1f2lTN+KkhwR+wINBNvqJRYK0zq0d/b7ESdiZyO2eQD7AjJKRXTzyyYmySUZ/LjCebXPy6BB5yyJC1UAGytLYRsss1sRxnT/LONpV2LqHgOkLdcliv218+U1WI49ut/7DVYlCtM2s8yXRx1y+HKKcz+Uh5cT0sGJ4Ilfu8TLGd51C8qV6ZVINYY9LfknpCkCmHdVJT1rQcUw9oJMtmMH5ChnGf0ekJ8jR7RS2ytJtNwyeUifGL3BVBuRiXaFlp19F1NMjbHdZkVL5Gv8o/RNSEwQ9V1XZjMmuQW850qAv368/LV/AHt1GM38uD1RRWM2V/sX8caY5qNWeeFVvNS6CPFAoUJd9c6q8yj7bUqITyWmscAiJUp2vDzQQXMZnTCKa0KbDiz/0jFKk+rLlqDMflNI0oJeAPci537Z0HE4czdvomEzDY2prZE33hxIJTvfteGq9wFu9PmHJsUb7gJT+48azcr2GHhenDOdxw/9usxziEF9QmVgdD6u9W1l/+Cl2G1jgNox9cOu4aLSjvtrX7cGGPZj/dhpm+RLD6p56PAInP/Uii2bELsshigLWsi46yUhSVzIAWF1+2LXTTcJ4EmIUS/8Z7ZS1v533hOBtZ7hl8a1WcQc2x4JpEIBjFqbedecH2wE48VF1yf5YQSqb3VzN2wh1XRJ/aFM3H4Hr1HIdixm4ztYyX2N9PQcZMvMWUCAbWFNduGeMg80m2PLwp9sM6BWFOjZigJCs++51coFtic5r/4LQR9rWg3DFcIp6DfFdgeCDYtLGVBN+wHUX23CEeHGVAzzYL+9lgjd3J3MjCUGVie+5tMwsK0jsXgLREEyRU95lvBtDfkRXt1mIYrQ3GNC2ewC365InqbpaLfHZgwsMRaXzkdXK1esdPpedhCdAjAlZsoq075ZtrBQgUw9oqprZSBLa6ViePzLylvfK9B3Jmrwx9LtydXCCu96gP9c6lDjx6033OAno8BbtykooBOp+c39DA0jvDALcGqzBkxZwV3ArDKrF00iRKk83zc8wAZyGuL+gt4hIK9QtPOG5V9t68+tOxZ3/4ccY2fRvlAkDPP84H+ZvLx5PJPBH+VK5Y+2HK6mQm3CeEC8mZeSwxICo1D9jHHJ4L0KB9AOsGDQQ5mb4SABQEk0V9Y4KRWqAzy7gd/JC3w96zL6w74HM+mHe413cI9/8PMHp5BWASj3H30Ap/MrZRkaSCjxOzwAxCt+C/9FuQ8RCuFTEgZR5RDxghBpdLtnb1nAARhANmW4p+sl3pKs8NXOQKfBiUgXVhmKDuzIfunrj1k+2tGuXs5SDS7B75PDgOcBf0ToK54SxGFWuXvE51uhYCYXgiFZm0j17BaBeMHfESNMlC9uYiykSNicIfj2Z2+Xathi/7hs8mDvQKZMQaa6Ju/IzPUJa0f6TDuVJzOu5QKA44GXbn8QKgJ8eALwitQQxB4Mj4QjZrvMAtAzb+YWC9jmcLztAJN6Zghey33r1dWsCUkRcqPuZG1TKFhCQyXxCRRo4Vv3QrWgySMePie8x50G7sUKrz3wBoldN8HTptTKiLlPVcHtQ9Z6f2OGuInVaVtoumHoa5GgN0Rq3yuRi9nTjl8OmKVxXFePqFXN3K4yb79ItzCCwXbzn4GsGxpsIQ0HLz8u+DkXTCq9sN42IzstO22SlRqmBSMp84gAO4Ax/zZyix2U+ZYTPwB9W87avmVrOhxBQYwFbssoNoahQSFMWvLSbfOl8xopz3g7oBwBumjEhOuQHM2MQoec058BT9kj54VUgAt8oJxNSSTul4q+jOiKp/KcBzgGsWBf1KYLBURRnZdsXpor+FQyG7JetLwtO8kEZbLQl+Xc4M+fTF5ezWUSoHYxh7n50eXUCJG9JywjEOA1pInlvwV2uHqv8QLE03y/yjC3Ryl5BUW+93k3qCYobdyxt9cS78163VUJfGz+NLQeY3Izr34dgJ7NtBdjhAzP7nPRnRlKsEQ3/DVr2OuYkVwL98IXgGgGQQVZ8zN5T8LnsgYfl6S379ZYo5bV4qHo83T+4DrtvQG/qm+JCQXNrIvKeh7lLvCuQRkZw9pRJTBxaQMqCHMY37qPUvPt1QtF/LgBAtrnuS92jLpDE0I445pZdFt9+Ztwde9M2ykJBLri6ulQDPBXk+iSMtGjBE1+ZTjRmqb63qu3M7PLXs5i7LAdPDo76xGXi5DD/FfY83ri6yf1NDNqWKJjCdRkIv8E7i/5W5loNVQWRlnkM1oqrp36hFslxrVX6PAxSg3l01/3zI+2tnONKp3pGMZeLiKrp3D9+0nuUc18vvaLLIAO4WNNYLaT/3OJ+wYFoDYvxGBrnYeiBoY3VwlWn2Xy2FHJ9TGB5kkv/Oxw7tm/0ZHSYI4rNjvtUGnRL4Na7mXySkFsMpXujMHGe7dP1QB5fLuwn8MKosZ3lPwKbZbmBwP0mZMUMx6io+W06SeWYpXrQCXM0QTpIB3S55D9NvxL8AbpCsWniqwKozCIqowaSLCDLudDY/kel7DKFb4cXPlNvQQ2Ng3Qg5lpNCrxNJMkX2KEuo7KBDTZNVg5Kptc5L3DJQ1i+80m80kBcRhME2jwGANukGdaxt29t+QITEc+UN3yxIB6zLDI7do0KDC3RjmYzfgcucmWvg841TfjfwGgfEJ5JXNZw7bPGKyopTYK1ZUlwv1tHmStfnAClvz+JDayOYee2oBLgzjrnF8NF4axqXGD2vBbXVKW8wY5bsr2StxcG/5oZcofn2Ca9E/RSw9OSjCG2kUPUgkESog5FMJlDDVL2qfQaOZ3aYdwKAYBENFAKi/CUhZiMU+fLooLp6VuycxMRPGb9Q+sgWAP+pLv5h2oFBgz5jK71euSI8RVixc6h6NXYcv31GJEGq2Ipe3gGwnpWnbyWWQEwHiJy6nN77ZxuMWex+1Kcn2CUPmunPugrFZ6oGup2nXitHJbfSN8gfimKcmumUgeAk7R5LUx0G2mwkhxbd6AvQ7TZHIEpMnLKeQafHD1fm9ZaZ+USGAKVB2/nc10zIFgjrIl9GmWVS2U8+RRgvYQ5IxrNqycowo0/DokHAw4jUMApt6kDjMGSN94KYKFuNdkFY/B5F935480A3FWFDPoFUK8hXZlnxuTjP9k4nr97fur4Ea6OWc15xHoxZaq6XRu3+KU+FDmCSm/C+5sJUunf03ZprebZTdNSQiXJYQ+qiTuaecXtOrLKMkaLWaZxKNIZBNCRxqRqlYf/SjGO6nt45vFvod4Ng8fON3w/ejveE560sI/2gv/AvLQN4h7ybbFRgkc2iYom96quhd/ibfX+vpjL20hP0tnZL2vBoUfU5TAMMSeDRs1Uwg7SMff6rSPwVMuZ7Sja5rcBlMjzI9XBb374iCrOYV2rDwNRT9hNgNqwLDTBi6KrNbwK8nxgBPug8byHk+3RHxTXtYkMy9hKmhaMcmfbKCUYR2r+gKyn0SksBmd3R60wxsOkHihfuV78pL/tCsm3Ww4H9gumSLkuafzHFqRXAE/L5+KAjKj+x/jjlYRkghHU1ZVw5pMg93hey/mfuyZYqnBlfFdb9bNorjFSFKM/Vr9KRR5Yl3b3VxxNvE7yKnIhhHiQTwpCI/MmnAt6dyQQlNAd7MAjznJ1NAP7ySqmwhj6tBDlYZ1UKF0rZVidGf8BRTx1RpiXOnQqJdc9+id98lH1rpCo8gdYVfRSzd/5rN4a8Fc3YD91Z8Kcv9eoCmy9VqUI80JhIGbQ8HnzzzdpHEGy07Umkd4KjFTGhs0sIK6r5jeYfbxd8pV0kAt0n2HuTsa8Ig9F5Zl0By6uHBEr5sG+BJmjiavUAaYeZi56ix4V9rrNT6nLhlCteGDvTORlb7tF0y5NUpNW+RMaj+kI3qA0bmh4cLUA1MHvQVEInrfc18bPrLVCTyla9TdH+dt8Bj4aLTata9cpxkicY/9LgibPQ/+UupdTqHs2HGbSuGsj1I3/BmwLVvag6taPLlnv4XldRyQSLRQizfUhgDY0g7FSUsg2ZKnGlVhGkU7SIYiUZeIfi8HBFa3XgX5IkHxyo9zJSahEiYPZr0cVuc7TDAhFUM0iq1KDg0JFP7tO2FB8NHDG/Iy2ogrimx2TeF7HWsmk9zY3QNdhvdIq9bT0a4IGPvhUkAJS2rXjCMlUjP/fo9vQdmiDUizejD1Fps5jT2NXeTh4Akjnr3trUnXNCB/KpBtWxWgHgnsMMnEp2ORw1rSmcnykQgRjMcKp6YqsuR5LmsU4HTTsUr0jV0R8WF8EDiMgLX3QPzh6V+M4qDdH3tbwJ9N750fszr6/EAlkBAzF3qVye4ZK7BN76wvMKjFfpswR6DN0egHdx23RjTJlKsoBuUryTH0hLVKSWtGTz68jFId9+BtPRqrj+xyUB3nhQ6/ECvxSs9LlUZCnA5atzGyrEB9T5SgSTK/bMVK8G1aeqHlsPdTVJII9vogKdGaprU8F39AuGP5bqo06oRDN9IhnYeBk5fT42IrYUvh5WXmfIVS+NxuRjrSi7zAPC6YA5UxPwnijni4xRjI9K41c3j1EHoqdbwVIAxbM7/NL6yXfkrVx3d+sLMYt1f+iOmXQma/F2OIqAdPagcdlqpYZGetgPWni6IworbgVsZSiR6eq3twS2KMt3mnmi5B3Z/NuGHtlQF7cz7K9rbw4d/OCJLAHCRbe+VM3/7keD9dw4hmneuDNuuQpWBZLqw1rBL1zeHJaHVBC+fXta38IyZOQWtiEOJ/KwqGaBGaClsQWnaWr8QDyDV+BhreRzomVMH1QCCXVT+lAx+71qxjjRu7MxrP99aeilJIQZBg53C2O2v2GOzyxHvJaFGXgWAtWHwteJqISm9PfIM/nu0+8ykaNnW31ObAB00fSNjOGdp8/IWhUcmQM8Q4uftHziyzUQFoQ1SU60PLn1zLvlernuhqESwV7nCFOVa5tdfT/Lnytn2AFL631N6ppDi3myfFEnL4UzdGFpNIfhiLsbQ11m6bLYma37z39d/k86JUov7xd+ZaC1w0OFckmP9WiVuzLHeDIrIsbxxnVHeRba5Ft2vNgg52VuuPhyxcrro41sUEFcDcxlU9nr29DX4Y2ld1iAeY8aI4/P2hvxH7ud7+BC1rdDxxW4qMV7NswQFS2xN1klA91BuZ82wMt18q2n7a2HJJfhIkabStZh3CvaKepn+eHhtLp1F0k+Jhrp4+VXybUVSZSXLyu98jOe7rMPSmBnOCegwIToYVrSx0DKiVy/X1VYp0FbCrrjJXusKaRoMvpcc1YZW0pqNh221+PQpXIAopzXrrOXkV2iwKmtmgs5zUuUXw/En8Rx0PBaQVA9D8TRv4pbvW9k166Nld8+f5LXwjWzZa+pChn80uNFK7FCvq0TlvfowdkagAi3lIEYljAq4bW5OUHG4ZpqD8oxngWNp8iI2amQpflhkNkshtAYJQD6l200JAWUquJffNfasP5esJONLUCmZBIPm1R4UgHSVz57+G+AWbaKuYXEYn376pvGnB4FkeslazWGhET2Sv1HnlEZ3ojgSpd/0RBrsvDcccWLZZKO/Tl8bwLiiy6y/2mPcds0Ziyqh1LGNowkLfc+sSK3VSBO9NkEsQXyogPi7eOfvPuM/9jLkEPk0I6Eka3RukWyQJIBGzI+qEEhYBoYQVAP79zQnDt1+UYXXaYIN0I9tq3MPHi0VjosDS03H1jFaSZ0MbKvxzULpBbOFg4A2QLgdInj4sUaDIv1XPrP9gO0aklYvcKhtIdgVaopxP/vl+3A3+aHzUjuU79k2C8EFaVgq2gcEUOY0sNdHr7ZvI2nhWyWxZTAfYCw1O6U0qAfp8kO7gDciZl4haveO5PKfqjW8J6KoowyfH29E1h7grftAjFcv5l/BTUhfthyircyJEOChF9QWI3+PlsHor82pM9jSskrE757xo3mafaq1oscuYd3ESDzRmLX4bXN9ixp07mC80p+sshXoVi9KepnbNZCWB0FxVvS8Sus9ZHxsY/cMbv1e029UeNUVOjZJuLPNpoxkToyg20Tb0pqGPTPGg0UKpGRU2/Ec2pED1KW3bZpzIlXko8o/8ilKOEAK+YI//7IkGlUd5fWOULLv1RvVCWy+pCxf+fdC9NR0FSiuz04M/TBbQhICsYgfgY33QrtW6RtzUzPN5yoIhiBikuQJNHps3XJho/451zbY9rrz6ZKQKIHj3STikM1cjnd8Xhpm2MjHLGvdi3DEYgS6qvFlB2PE20HwEE6hRMbGmwKCRK/nzI6mUwuEyX3chGULGukM0j7U3HXFGUkeNh0/Q2zrydrYaiXQ9WAM5J9zHltxsXINFOG4UkBHF5b6Isni4iWuSzlWyVz9MyWnTA6zfcL8InrUmag73Q3N1H9UAqqiqqZu+Xd9AvzZCP3LEnp/tX924HzVaVWpKzUN0aGu9+WTvxMgBdQqJBHT05KW8drslahLCRGAST9sfJXVYCLxrx6grA2qFKFgPofxtBE7lEdz8yb8icolqn55UUQ2p7k62z6MPynvIEGHrEgkc9Xcm8oXm3hXDmivfa4wkrgsw8OWTYRyjZbUspr6yRnfhs8uXqBMihblueKjJFL6LaNepO/mGJoM50V40fy0sxx2d1TWwvG3Y8Llr2XlyjyrYyZtZ/MjjUUuEGMLfgxSPGbVqYlN+SzzGuCDybvFYz7dEy/a4Yktv+Qdm/wl1g7YbMRQshUW4atNcIOSIVbGZlxZWj4ilYcoP07sw7fgwj+Kbd8Jayn28NFpORQTK1EYHwoSsubKR/DY/pIhO6zaedRXGjgP38uCqI1zPQVj6guM3dfD9VSHo+XMrgw7WG7+3D+SWMIVBwgcQv9bFj8yAwYqwaYDUUzO90a9wy+8yPcRE16697DX3S0VLnJaC1+or6ryHlzgo2AblHO6PjiAladqT1u+H9sCAMbTAyz5c70Cn72ophiVrHtFaa8aCds87BrNa0ibI53gFx9I4oW5+/wMGCT7hv2JmGaFTy811r1eiEttWah2ypnzTu+kXJFuSiaoFxszsgbXZOmajCn6/yzkAkt2EHPGOtVrgW/BNXsekW8nbaCbly5z4WtRMmctMs8QOEAPo8DuM5MT0nX8z/1yeoR+crgmRITI7tID3nkMbudgpIVBIlB5A4gD1Q3k4Iw8nklFmAopurdNfpa5lTB6MySTAl3d5nU92ZWU3AWotJTjcZ7LJCCHTOqfLzIH5dggJkyA0AwmGCI1zncYqhFYTlHBhXtaA2EHPorKDAXTsfYT63eYKtatHDgXhw+Q7yfSKju/JwDCRBFbY1zgg7Ax+mE74npr0bjZv5SlQePAJ6uOtunmDKFKZLfzpdwCJABr3W21lftSCrH5TRMO9tkSHhiVEu8j2ZUYBfBE/061fYCz5B/Bo4mutXZO3knZ5W5mfB2Rad8q88oer5v1sh52QkKtAJPO5/Hl9jTYbc/ytZb7p51mD0KkI05qIevlTp/fg5W3IxA6LQQekb2GGv6wWaySbQh6Ukq+vg5YEZLHsibak1tYDTRBtvPDInr0dy23Zp7iIMaUvCVgFsfb5mfZiWEP0lshhGfbWO6LPxA+Rdxc/DTBaVXQ/u2lMC/vamK41I9tmwB3Y6ghhBOAKdU7LcVjH10lkm8EgDKZmJbCz5YupSgrPIczPZodunMCrm36Xd7MsFC4K8LLsBu4RTncK1+2lxnuiv+rZa+1w0bQA648PKYVgQVKHnpxw9wB4v1dD1tJPRH8KIX0E6HoqMYQGoFvgHIqfy8vcCVdf8hSaiWOBKwItk+SOGMnL9SB2jMrRYmhxg6RSq57TBRkaUkDkvx+FbeqdhLUbO19+ChTLQExtzaK+XeuIQ2tEBN7SZjkwkb2BLUnwi444KE42y4Vk84nSGiof5JlmEzIFuzv2Ce06GL2GEfv5LrHhke1G42UaWMnyWDkIo/U6ZyCdj76awsGlddPEo5GEBhEELIlE0P7GwjLSGZi4rUq60RnufH+jZnh1C4J5K2AEDRgFnyW2SlOd/z1QdM3k11xkaD09pGKIgIIIHGiE1wYUtRF45I9bOlW+c/TPlDW4hx8I+x6vgIFCvqJPknNJUGiCUsWsvCpKfS22S9Glp+JFjFhE2OhYwSkl7xJCoK0otNkkFXrefctbdCNij1nz5/+aN47p5hE65wKjzkoWxd3beviVjimleRCben9JjwiMOgqASLF7kXOJ6myGGqG26A4XK4v4qBh4sghRmYyetdNaKF8MISF/ClvQkAxG5gMkDw89cHxrqTvtGgUN5I3hEI1XTL71fTlAJpxjvcyaHPxBJziUNWmEmC58NbV/6hNbaVfZRsEUNp7L3hJOscZQ15dVFsKHUnAtz8YIUd25xQerPnwg0XkgKKsETRpjGrjasA98nA42Oor1o7OfkUebPGSa8kiqnzlKvm24aEqtm5aosJssoc87CjM1CZ55XJ4aFKnXN7vKtmuBe0zypE1UZntvd+fb27m85zy6aXAYa1WMmfQCOvpXJZNM+raszSx766gy1FpHMoeG9rJLHogRYacesNyV6VPu8nufdAaaXvniLDixlSE3xhjkaU4gjUE8Pd3Zy9sKyIHXkbhhXiEVyDSi53pVlola6tFg/MLp+A0MAnfxTpeQOynCnB9rFPUZTrKCchPVVwPVAVtZiLhJ6HtKseWWCdP4lSqmOWZGGobC00drTF7S12b1uO06r3XcL22PgnMYdC3R0wO+q8JLPJmi9VFnVwBiLWMf5hl0n0xPtQ+N/S9m8j1leHT38q/DrXxBkLNPaC17aayOhgq0nyAL8o9lZLDcUB3L7w4tlV9/mmsOjOsrh9XTEmkI1BnEzyqJgubkaOyyC7oD5GaeKhpK0zwOaHhfnVO4TyiU5IXAsXmr5svEuG9t0AI/UCXtCasw6hLz93LuIS17tkjPbC4L7DGNxBTr83juulK0kf1Om85IXA1IQTfBqi2Hw83iZmWfQBniQdfxwAZwK0tVCTatwJyIFmjd+KF3x0wZ9Jid25VngcactS64T/qwb+RyzDav6P0Dj2rc1JHKZleO1hQmDbFL4KBIBGmTJIGXwB6PdNfo0UiQDGodPHlSZD/DSk+TY7RAhdO56klNE9vtzamLHjtlgyawfFoHZTo06GiaXxqz4HtGYh/o3Df45KNGiKt1HHZR/8fxlieXydjYIGUik883BvlvlgMWcpNw9ZVtRH31zeiZLTWgOM7/S31+nliGFhTxHo/GTuovdg9j6nj6HHkFYg+5mnD7hnO/0tF4GIOcB+XR6QvnYgHsLfY+5pnM1bZ6qofVC2i/wt23EVe+bYLHBViLzlpcgt1YSqwTLNCzqarvaiIPn2o6OO8ov1nOa7A5zUktVt2hyoBR5mjKIXuZR6kOW0nhb9bmvjPQY+WpidOVGRIYKnJ/l1FBBWdilBXC7sKEvq+vbK3NhQXVW+cMK9BAYpJA7tTYSL2WD2STRwux6BMnSlcyHhXhgOxe7B5cL0zT5Ctti2Ri94EafDXNw7DMAFHeOueUQvQpJjeyeM94dk1Y+nVOyXM3jShaaRSRDqBm5QRPN7LuHO0IlPvf7fzHMimzceTsNr4KD4GV4tZijSeFUiAwy31ks+yUMJwcbFKwHBxWh5WDTG6p5ziVQW6wKIcjL7js0O035oWHwfY7fW/ngn5emFKYbrqC+tWqzc4N1d1q50x4uaIUZDdv6PjbpRGAlIFQ0LqCsU6RE2FxyyLMjW6UacUaiN7HPFZZNb6V6Q/EOIShftHHg8436ggeEaWxLIIrQhgPzBkB1d5GJm2DKxAHjj4rI338DcfigkUR62eZgZkmD5TkudBtINfqNZfvwc+tftsDnubMceFlLJAU6ADjPxTSTTUTj2Qc41+f4uE42cQZ36lf4l6RWOi/ao3OyvaBNFSzVElzmxC++cBPtjKz0lmzduW+dBgEesetTYet9HBw3byh4nXfpKrCBGNFPBiDruA+AXZRWvqOkfHE5K3XDH/NyYb1nlodOAvi7cHxDRsjK9KiP4QjoKF+fwrHwnHZQA/m8ae9P+uz5TYbsdBpNAHlymwn8yNHIyMQw5mFrfZRfvA351cIQCFePgHEOyo+6DIC6RBBaG8Q4E18W1YxF2wkl8AWyiZIDi7jdhUJqu0xf3oG3El0gZE7TgaICXQ4ZnGw/TiFCVXGgeYnLMnNoOcWfEbrJlL0N3qNqj28gFOVULcwFfofxM9mi2w0LVWNnCAIUGwawVyncGTDgtfsedA5IUxV+gXnkblW87KQ1eD9vEctXhus9+ynOQtofmdg4AIzjxKLQFGIKyV4jtQ6Kgwz2iYpqn8hPnBYEIapwNqoJE2laMD2jJ4DKo4WZgNm+91EsERdaY+ndwg1jJdtPq1prDtiCaZD2cB6ZwStaXF27hA1b6qjXDLWHrgrHh9AeMmcQjuO69RNcCVAvbGbXbMSbDC85jOfZtI67/FEAx7Oui0Mf4RFJhvs/fEimcyVtLt0qZkWwf9Q7jhtN5fbppmzzkzbVc0F/F5wCPS395XpC4X7K4Lw3OqVeBkCkFGw1HLyIN+nYQ/WAn0fDE6RIuzS3+0NC3rSUm6IHUgPfOJPFr9nji0RUv9gNse4xhmxWA8LxvGuIt1Mgz5EEsMqG4wWUV30i2MNahYIYCvf/djZW3izCT25y98BIcKxWqv4oM0VqmT1t3uxcnNTq2Fr845fRTzLnMsUEChvOtWTVuD8L/bV/ydJ2BCIicr22vXvwEzLkGcR886H3qiSg6TJz8QBy+AmmCp4DRSpPHHutjNKeSbqAPpGkARfOz894Qy510oqVPMLjXCZ3DcWpJUMkiZ8T2dU3vqBBhqCnfRePs1X7C/P1nVJio4WwPfX0aKUZ3TPMHw1JewCr4vIpYVxKyYC5oVAOGmaeZypVdFO0r8QRXqlsRdLNFVnpYppIDfxjEsQfTZJITOYVHHLN3B8cgWRojCqViXzGkYPP0nI1Tcj/IvUA0bno9oy/4B0QMr76hZhNM78klfig+/nUepqC/e0MgUOk4EENd6EDPsXkHEFyPgy7vNegXiJrSZItPYhAR8GKqalmRr/B6QgbDysu28WcTAcL0mZqxbx7zqNK7ZJ0DbzNgAdeGpAM6zm1zzW71Sarid4etF0+aYWpUrQZeJjt4WMjG5+HW9izmrkASggRQ7kgpCiuog+cu7bwur5254dIb82gLF7H0Znmlaqj0LKtTbzuBF7rgWbJyd7n5wEy/YyXbRSizPIfhBlFMhDy1/iA+nFLSH6IuM8vMWxkh0gDwSjWH3ofrDwilsBLgbsWxAszhEi2t5bkO7+YkAd2Y+GX9hDDLTsp5T6a4hwaRCMKrFDJtRK2enNzqh6ux0WqVVmTn1phQd3tgrn0g0Y/JUKslsIL303dAMei/y6Jx7aohhg+L286tFZgcIf8ssqqHuZxLfCr4x4Gn9FZXTPiNOpg9p4g0p/QSsUkb2EFZIEORrB+BmVbEFRGJsIe16ho93BAfvDG7KWjLLpHEvfI9emWBe+7RAkHKnwnZzR3EXB/p4pUG8v/acAiRmz5sKrmDsAPBglKrgMCbleyyPktq8IdWgKV75EbUULjw+c3diHk6qVQqaXwQf+FYM9IrmuIm7PASCiF9hOuv8s7G/DPDwK/IN1lD4FFz1+PLq8DvJ8aA3aXIp0MkMKmTgbnJ1qGR2LHee4CKxlsSRPZZ3WgIi6F7yOQeDOwaXeK2cmH2gNoFiWXdzwchlbLLoQ944uu01mxxbMDRN4Y0Una2+BSLncY9cls6OQ7LTX72oR8B3TNTRDShUDCf+0R0fgfQ4vzU0RMbfBFBoDTsWaoJ74soIDOUN2vTlMg5OXAEdskDw1ktAVhkX7Spe2MTsUU4s24ukNS9YA7CffmwQvLBK5xZ0ZBeWtj0gnWreK01CftOe+YYrsXci8dDm7HOFnHpoBN1JSDcN/bWH+1ssvfY0Al6eHqWSt4Vnhjs1JrOUt6MlYGQVjCWPopxEEq9na9Hd0vM+ObWn2exUuvAyVmq7WCpMgokcySg1LuLXXpk62uIy1ZZAfHxmYEIYoh66AiVzhjnAgOa2AObEU8VQsN2ApduYDsYOByx1ZSXoMISWaGaXC+HnCPYrKJzkDufT7DF6QI7yA6dI7/Pw/R5DlbDFYcHUFrs91qpBgOUC4PTsBfLyTUgcsKRzgrajem5hUzhcVrAauAIi3mInMSEp93Hnyp1UYZ5ziA6crOTjDDBzw5RnGTDrpY0SnIzlfERp5RKZNtvOqeNmwDHaGxmDWX2CC/ipvso+fAHIJxDisNgPkWAQvIuZwqHRJrrlex+0uNw4w9VhAYa12piw2NKkVegf1CFY6gDrCYyGXDW6QPwOlHkXzo9VE04U/rCnRqVWZOiguoOPLC9ZFPgcN08rS15VWkDCEdL57Zfx5UnPVu6ba9BTuWWqqWS6klb6utUxkIvFo6CaDRqg71sFsHJAKahm++Rqf1c7Km4u9rW2Fi/4XZqwRoM5lS4kUzR34p3letyznHJRyjTbuEzfljLtfnLNf1XGTExKs95uQ/9F9FZwDRCxDr0ijhE/s22KedxC1VS3jwfaxpFKKougKPCKKPxiqI6WYdgf8U2BdKQV/ghCsRJyGSN/koF9T3BUodPPBCtD0FrzA1EY8MhrRhHerq1t0iCiqCHVcPCGSzwPBdejcL7+hCYiqSkuaiAPB37Z5Sm3JljKxh2qoQYudvKh3rcGgeg5rGISFTzqqtY9q3NIWkp1zBaZ+GGYkxP6xh/CKUAX1fpJiuDyhB/dpLTtopYXO+AoE2vlCkC0HY115tgUUDwO9xdVSo42HNbBH+tp991BYC41qDEo0nYpA899tRKUXuh/RNnK1iJs2ptwPQzjoX1iRargeKbFVEO6RsrSd4aLTKNT690zVrmsOuKKyfrZYdKmTGMZN6hzZZTmpGq9yyhK4H7nOWQ1CJQfT2BiLQF6rYYtVYidxjrTc8130MvD0NGTxVEZcHcf1ZXmwYOj2lbw1ePG2yWF1/9+YVLY7K7pahZJwA4c88W3Oath7Yn3/iHQkVzydvWADGiOOsjYC2DIDo404mBaeDOlY7+v2PL0CnowcHWUQuGknM6XLERQofmRupMaBgsAXSTOYqTh+2g2x53yPR6nMaNDrFBIm8inHxbVpEz0tQZHLYb+IpjEP1rGhQLXRaQh75vcNt98PpxD0ruvrtSFrA2XQyXlsj0Q9aXAT8laU/weOB98oTgZQ87+sZozfFV8soRyNigszqnhGoUsjN5yR5iWSfH9jzI8SjAZuIDly5s7Ey0XF42x3Vljzv5qirZe0p0+QodKDHUFaei88RWuJfTBMWiQYwRe/4PLgyhAORDiDlec8KARavD3PhJB0UVEgpulxU46g8IPVrwipA6ft0daIlyzU1puOxxA5K1CmDMyVvbd4fEpPD3+90Mc1UGbn18FEz5X1PN0p+zm8+OOyCHEMXLNnEskqy3gzINKLUqsPp01cFXFV8AnVnWDoW72W9UPLTPhzQfFN7F8v48np5Ey0KF/gMMRx9SpZedhy7YOpJEgZ26tDKHJPcJew/eouiTOnSnbvi7sV6PSaR+0kASb43B2HqNnzNjGPGjfeCTpsbEc3fXlmdVNSH9HLBLx/hin6AFxAQQaolKejME2nvH9kWHDxdt6GCKMNNjxep5REjr1q5nLVRsMkolrd8P/KefCjJyOCYp/qYBn+KuIF0WmBPdC0Cy4DSgkmED/myb+G2/cy2ZeU+kJ9McoOvHMa8x1tGPM28nsCDNrqMEg7K6ZSUbYDcDfbVMMvq79SRyJ4MqOh4t/YA8FWe9+RfWj8ZSbYn0YBW0+XhVwd8lTx5ST22FNMi+x2ZczpmGheIUcl7nph9aGM+vp1M0VQqlUWLeIrTdTbbTPuBDomPd3A/PzQxOvH1fpKZKsONTtYbOSseu9BU9hDmN66Q4Ct2Q3cevMXUkhVmaEW3P+vB0EJ6Pf/FJlecBCLDE43RzOmzNxaqItL/vrwRl9C2AY52IJvtaeAyOIjhG5YQFBLA8P9YGkVYEeexq5uHeSD9nHEaXyqvf860gYz3Qp0GUIo0QQxRPc6I56gvoAtSpiBrwhxBsBKpSifRYSWezX9k16P/S4t6T98j2BxU01tD6JiVvEub4X3PrngdBv12ASCV3shsKEyTHmwszo/ww12271a1F/WjKclpw+491sbaAklnPB0B1Geb1fB2BtceKA8kBQKlYNGL/13Im/vyVsYj/WufG17d29yvYwjd4qiAd4CkiMA4BHRWaU1UNLDzet9G2iD9RwGlIKCs5f9ymFqa6PQKfPXvxxfu7vTMNDVXM5y7oztum0jchwYhnisDh9SuOL59giuv2mkt5s28thgkU3AQ+VZmbDJnHJ8f4Meh/NX+r+Oc+kJ3aryxO2lMg0RY9cKyjwfT1F2BxnZOjaiemZvLEcNu5E27Ee7qYSPhOr/BlXiCIEJXy6BibOzUKGsaw6MPJIFa00n0mbnAp3wzTzO+d8V+T9vbsTw5rBMENIIpo+q4V1O8Fiiyhmfx9Yl+pANc+7693FFzbJ7QCwlOzk6wb8lp93s4odSQ0yIYF4rxjt0HNDOohy92KPR47mwi4l5zByeU+bSvKVVuT4XB1xlFzdfirm24qQya1vOE6yEPzZEmBO3Ys/DtGXfN1DdkqTgcToKXTuh9/rd4qiNysZWdMCk58sarFk3p49knyQ7NKoulofWRrH5HxxN58xam38fvBJC8OAmMGgPs0P4nhCcJa2FRS+UMD2oRnmPlAj23wIRDsYcLFnQXdyIgDLjs0EphUOoXYZX6E4MGZGVMTPD5+CmmI/kfjbO1ePG8x4peY+e/eaUWhKjTSpPqGwD/exfgoKPZSw4vA7VzTawTKMvY4AjibHlhF4O/XzDajrOpIx+T5IiuH5quhYiTXxFUWnTbzvq1oWb5QYD8Iv44jOGdJNW3hCXAKh+JHerb2fLE/5JbkMresWjsdhcNyU7aCyAJE7950JPH6b/Vv6YGfRosMwItYu27qsYhON72hCfwxZ+0KwUxotuyuT36tpzzXKhEI2wHA7/WMDQzwr6Mk7xrMGASHqV4wBZHS8jjTOOwui7SkR01sFFeArjUtHyWxwpAWlcDNJ1tYgz95YxvuiGyBWBASZWhJvz+LVV+HAfTObLdqRhiB/NUbMR+acjtISoGWVXgmIi3yPlKBmmA8/25Uppt/TI8b5yUKlWt63iy+5hYajr/jqIHClXOqYfgJnLcEk9Zl+C97npTgiwTXHWTh2tfsZ1ib+WIGqYG/3N4Uw68hCoXYEQOJQSxbLPxZxpMb0zU1JKPgbU8vCn1vu0NyQf87axSVN8/gF1kyGCBbwznH74g41mCkOI2Bzml4fC8eNAllVvbMrJhBaqdPl+dPhzOyGSIPkNSkrWHPA4+vx/OPpSBf2Oi8GWvXp3MiTjMH4iYVlw9AiU9BihDcxiLcgZRABa30+JlqCFMr4uMIxi/4efuRDMpaZkr4DU5Ivi/3lzue/0uQYUzyo6Qjt0Vv5LGaVIls0vev8SR7zEw6SpJlPLZ1GTYnXVrC+3hLhrTsk7S+wRHmtEH1AuiyafE1Tfj0sKMMthWJSfSQ4rekR60SCbovLZBa5JtOi0iBkcXFafBEhh/YJkqcAmEO7oWmQ0eH60vC48FsuriycyXZktQaX1jx//cmiK3HNSF62HhNGTMtzfBzkayphXYu5vVHjtWIyrs5blMTCWDR59EvaZcYfuTWOiB3uAxmAqbbVCZA1lfBS3mpRUOvaRdpOYPocMjlfPYBU9XgfD5BsZ7DlqCccwp3UXCrY3kACiYKepQR7SOEAa2bY8v+Q58qlodULhvGueLhLUzxD2EzEc2wd6CUGbPHaMZ/4UCWx8eDCd3paJkt7rFJUqgxNusqm7xxxai17ewYpWrvc8YHn0W4gAK1sWqQpl4UhcBRNfBjaKPVVPEi1uw51Out8gJCGRHcGi8hxTh/tJFFTu/0R1oUXFNAqgmIWfmi/rSRUjROjmilzVe3slNwwldW61xOaBvQ0lAnCP/AOSsq8Zop+dmEvF2Xp4HER9uVYHt0tupjf36TQtoKxXzZmXSIOYBmrxdzmoJ8qz+mAb5DpkaBEkpc/Hk7TY9ENnr66d6Y6inion06+9jJIf7AguvL6nRXUuuev6+zAJINkPIxGR3WDLykfeOnJVoTGz/GxPqPQS5r2pWCOjqdt+2fjqZPlqkfaaYqtHv9zHEaSiOwNdmR9NgiMjXM6TGshvKdphgqiqkq6XKg95N1OylDRmhAeprkxw8T529YPOPXoWtPM4/ZzVmlE5X/JWVbVh+0ggpZhU3yElEosbtCx3lCezd4AibooKwG+Yu4+gvM/lP1mT9LoBeN6vlbygw23crKJF9+LHYBOjwMxGutlMZdZHgDe/FSLdeyaeBi7yf6efXnU7rqA421BZybO74Y718DzNMGCvWc463ssBpq03oY6tYKse6QI9nVUHJeaEwQ7LnTIZcBQeOCnRHtv266aypuljQXfE6nbOS9k44V+2zkXSpqvGZb74APsm+6ocZmmMdX9sMAPYoKUku/pdeCD3W8sPLGZstHOj9lCDW7DzP7RVaqZxvgFnC3pNvafzCH7zeMCX+Aq5NdapM78dj06d/ZkmUDfSRp1QhEOpC9gEHOlHLAyWcIVVPvBO1zWFxyTVD+EIgtuTUEMDBf8dDufm1paNAtahjU6IyxwgE511DfKRhdWarhFLqYoiPYNppJ6DdXINTaSv5nli2u92L9fOaslhVHt0fTPqzEoRM0/luD62Vxzgb9r7PuPqQ8C02hjYyjp+r6knF0Nr+DaGMRRfPT6NPOAd/x783wAYCf/UeYgtsfoq7BtmX/N08m78qiGwWgSF4GnLeji0drmefIUw8/br0fqOJFnit+Dsft9+ZEjafBgyXcEkHXBlB2lC3KjRnAIUE7SsnPx2VWTZ1Y4elBRBquXdBOymePYTtE5XpjX2AoC+a5w1jg96KaM5OICuGs9JkI41ba8D19GIVSxc9iMKCKH9STrCgCvpscMz5tlgxwcPjTV1bOF9+BbAcN+qvGBTuTfD9bRK6zPH1cSno28/yA7th9SBAoq3Ntidh0rI4Cwgzj1foDirBMoxr6GcEO4kjyqi5fdI8KOGCl+KMyzkROmHh9GXaGm6qR2RaiIOisJumAfhUpXyxyvdY4Qwoc+3StuJcVEk3DPKh2rVPRhl5vmlJHzeVoFiCSIrWHb0RX2wFnZCl2VX+GE1lPdOZwGl55pMI1os+EFu/pAGSL8lAcKegCeKzbZ0EyMuY60B6H0cO1MWmBKbvYBOiPSuj17HhgOb0SyeYAbcXAuzZR5TkT9hK+Vejgn0bhEOaQnSyyCiyW5alP988c45IN78Uziw2Z1tT3fQ3GGrRH0w7dAQSeaNEMYQoGFST0VfRKyfXt8X2GHxn8vaHqAHEjim4EsWUoCCN1i4S3pIBocu4ATuazrhD93qPoQ7npWbINe8tSarJ5l53+REhe1sBOmTrpG09yxOEfBU/DghV5FlmpBgU9ECWH3wa7Ai/S/SOTU7Bn/cfF1nboiyCm9iB/B3TS2ht+1/Aj2zmX30Pl2Kn/zxH/mE5cfSQFK/G6571+nfifP0pPGA8PQ4aT49RE6HvKuPHbq6fwzjLPrHz136Mc1ei1BC5oet0GzJi6yE+mg8Gg24K8angCidWEOREQ2+NAbf+0/DX1xlHgNHmmFHpRgrmGry3CQIJn/VgAPDbp+C8MCf5xdzEJ+VGodE4X01tTci+Tv8d3YGp96MTs8kLLuss8dtDIUS4DlAFsmITOm+Y/uyot3dHXmHI7rlxB6FzEifPnIgf8b8eEhelyDo5qITG6zTcKdj4+lMnRU0Tzkh+eYxaFy2Bz1Fn1fRxsm3pi0NhckpK/dLdy/Tfzy55R1JlHzBHS+y/G2dNcX8Z3bYlQ1XP+ABkr32tlAO6S/8Q+w39iYbn0NbhNBvoHACi4pN7ORPqEdmgRuGx2AycRADmUSBpgPCQmEO+Dq1yx+iVD9CwPRMfwAcyUhnmbP7ryLsF0JZl/DM5LEUMkCBr0oiSdvzeQ8BPWn1Rahq6l8FAKd5e0I24PAzsTWQpKRvCMOoldWpAEG8PZ1Gwq7xTRoSlNFwaTXaDo4rC7yIGdsEMzg9TX61Vza+e5aQw30NzktRKKxEBDcMKiaMDyGEYblFxAkS4e+U16nyRJIIppVWmZdLuS1UbUUDFfAPUx4uB2YLMo9+2R/u4g6X/+iTPNW9XpmOXl3jKWRH/l5VAzklZQEePIBaTe9tncMV6LVXajdCWM0YK15pAMPEXr/HKgIaz6cdiTCH3NbBJwC8BRp/3L78ZI32BwtwxGcJ5EFs/fdRqyXqIsdgbjqmQ6Lg2bLjGLx8GhTXKQfMtXJXBj4FIqpQm2c776WtD5I3a6u4KYoshP31g7e+quONbhFbEsaBkFV3bsqhF/0VYNWNLXCN+c3asHfvQe0/MG0ETNqb00cHyr0grDw/SwSnaGOEzte7AEWbpVdECMVMVWR7IkyQ8rI8wQ9SlMCGnisrtAuHmhOSf/UK4sAK9QFDqXGrqnhnrJvkQ87+Ypn2RC6XlHooleuz96jqUEYlUigtLOOPY6IV27POfscO6e37qK68ZiaaTZOLZxYLKVUYJIC/nSkUD5J7zGAs8bik/U4oodMdqw//WHr6eghj9536SqLcyXjEbctQxqpqzxF8D0fS2QIWQUYDWXA6mLh3fZh9V57tYFMKztztJJoLIqTcVUEv/KJKixw+LGW0d+sNx+YIM6VQqkwFCZ6OTexss87z4r5YSEej673lE1aazrQ5Rm5Oo0kLP0ffic9QftCrvuJmYOLiE6cWIQxjeQI4RAlRKbVmdVxMY7Pa3IaFtke+RAgK0YJ3B/lEi35LvgFVGcGxTVEHjurSZHqsDaudslAS7g+Hg7lQ7OFF/hvsByRglrELW3WpxaJ1JyFYD6VhTnpIAwPLCgfRom0hkL/LR2D9vJf3JxPCEn+C5VAwgB1AzhwYF9hgb0cdHfl2m5CWYUxFwp6vDdE17Rmb5fxUqQCqSZdSJZyZNsXUsM9W0AxSsGpgHzbFZIkD14f6dSxYlHwENMXZzV81ys0u3tfwXY2OJXJ4YIXRdnsnpFWYhn9x6qAN9rjPea3QSJUHfJxdiBgissgdQxhPGUAoPDV2FjFjGap2LH3UWh9gOJjwAJ7Booo+50FTP8Ur17urJOmmvj7opWjQB7mLF2yZkzoheWsAfj+c5R1yRloe6hB0rhaNzustHZ+qeU8m3rcmAyPuFjk22iWwbAAP8Jf5/utvkfGhRp6l0Z6x26y4MIzKsBt9PF+PfZNQNNRxHIrPFKnso4gir4DwJkeIniciz7UN1nVVE07oYPAK9De5el8rAPqsJg3DmndE8NDiY2DVdatH5p5fFLpWyi9YLplIU0rcgjRiUlQGu5u8dr6A/Hw1rnGys8SAtLFyR38lzwjaisaHnLZut4dMaAIORoVlXYIZz+8QSWd1c5ytOwV5KSFkc70eeV3wODuE9peFshf6E1OPeyElF5bITbXBs68TNqNsNi0uOsjxoJOZjmwTGW+SK8hGwjN/mTCWgGgN3nMBYKsGvZWz3+wg4qH9HAwY65IT2gVaJK2ERUh1cETZLDg91AMv4tfGCAoqgXDY0fHnDi3tZnSS9RlC8syn2RvB7cCyZFVOJ/LdxGY6gIQDRaOKWHnaKitRB7aToNcR1peQiHKqpP/Tw8r/vfQMfBR8lb9j3qe2t0msErIJmdG+EhFkpnmQ63tBqko4A7mt//vjPvFTVJEtIzr3Yum1bNACgKuaKl09okCgtYQ06+wCBWsCWEj4i5NZ4fmTI08OAI+quW8S3JPGZKO0vwZJJSPPIa9S2qomqOv4sAc5VQtRpP6JYeXC0//jX7013wbHJLLlr4jXf2R8ifb/TCmygCI8qJvljc0Xh29RXA+1tT/4ORBedICF7ZSFzbd9TPWeB9j1JD1zGaw/3Eeau7ZeVhWmbEA+2R9qI2YzcqI5XAba9RekDrHiR/3TO3bB3Q8rXleOMC3rZ5eYhuMZi2AuWmnh/jZQVBC57zqCV+WELc8YtjlXeTzalC98b4DeuCpW/JO0B7AGpgxp8jDy/lxohDALeDXYsKoUHm/trm8HBOaJwJfA56ZzIJYaVINRqwqFlQ2uHhFTFkcu1xkWBNQPeVmAOKwgDuyzMfYP0PMTBhpNteIdkHSKeztr4KY1nIguOBIDK5yeeYLUMH9LKisA6F7c7pEzZKovv5m18SqMFrF8BPvqFY7did6YsdaZLyFd3XCTkPssGv6gRDTJxDKRf0uPzhyvTSlz8h4oPTty/xxwN4GxYzaNvUYQ+k06YSlXbKN8F7jhUkgqWrEqDKAXRQytY9SlgSFjDezNl2qkeSIIRFxhYdVLajtTepeJiGQ2op3pTrz6s4la/iumiuzYTKyauaF4nzrVPmhs1hElt2LvWdRz1HVrjk6g6ERbEOEw/07cFep+CgnX9iYO5E/AeESle0CorcZdP21xLNdXB3zn05Y/Zc9XSi33ftSUDDH3nTBzSlnxiS7RvQwi0SgTVawBmdMYuMOEKiMa+8yQBDr1ZSSe0ipTzLLAgFyGqrToccv9EqG/lvdc2Og4SCuEYwPh28Q1mPDOQ5czsqNiuhZgxoktC1sdQqgU+mPWDJfX9IaAcrP2/y0cZaKZYsHiSOHfZqE6n1t5Im/3C6xQ3KaNIA88xT6tnUf6orAGegdV5gcG7wdmCnWeoBsDpyhI08+qIkpl2QHOdesEJa6Iv5/DVkLChjGPJSixQlsi5tO7WlEsGgSle8oFXBAytojT7K6l3w3t48yEa3zxzCf/hUv8eR1FP0oPNJAXy0B80OgpaUjHrQHr4NxcrqnUwL1P79AIp0v9YV8D5xi+04xiTVUwTCOthVlFmmkakatO7cxnOj+HLt9GxZObwomhlNhNPB9XkSRqvw3NI93Uo3nnn7xGgRbeqNBgJ3CsvcugqcerlrlIOVdgOycg/ajgggqLNory1s1P8T2BZKuy1N8GaNCBhWuf8ZuIX4bbKWYAaopT+tGHdn0rYhRLX366hmtAi/xyW2dLXRyJnFXOxqxDXYmMIooMUWUJAIRHHg999vA6vMITKtsZ5Cg10TPqjK9h8gWoQu90AjBksKqHD8sjVh3UVlyD6ms5Dje3vIxXmmqAI9QpmbLqFr/s0Oj3Vz3FJ8Pw1SH2gGsesU6ImMQivxwg+JGqoPqC4CoCmzm/3bvFFkxTjcyj6OWtSRdj+zn7CbHfdcnHtQUSLNbvgkKKCezswBDVZvQnkOz/MFQXHItCFGKWvHlgqU8oyJIVS8Zszc81IV8qud9KD2mzVyOOrgr9sDJCn+Jw1eZvNgcKMn8KhrhpiKNp6yZkvsqqYtyC/N57dgG2x19DOmr2X+qQ/BrMTgvzC9z1bed29yv/oyb80HiSUlqVLGYHb94Em7/dmnue/lIHPFO/flB+n1bZi5iIh8J/kDnHdJ9QrVc5hoxwpbWG1x8XbH0GDV8rvJZJJlghfRBlqjhC6t90vxgeNpI1/R3KoNdCozbVrJJzDJadHte/7h1ONAoeYgtxFegO1BhMXwx302JuE/DN9DDo/S3HNqfDwXKMJwYpfdrHZUWdKkbRRpQyVajd8HDVrvxngH5cheeMY7MOhn+5s88nXkywul9Nf8IaXSZqgBENviJntLCdL3R52Q/y37w3BlntIMkO+kSa8flTVz53FCAjBCJI2RUi6COlz2JAUpAm+63kcp5qT1KpQuQL9DswWist9jev3vl8TICAMwOUmq1p3qSq5lAewOSt9VEvcMx1h5OH6IQYOdTUywnObEn4uZBtBuB/UnkERadsFyZ5Aev8dLnxbSlr1AMLNhfhqIz1JLA/z2WEo6CN3eMmpi0idvb/f3+TLEC39xc2yS9kIkhhMm0o+Os0YaSvsOZixNUYigOdxZz4qPmpWsIc6cQJxAzmQC0fnss3GD9uMsdTR4uFV8zdLQtt1W7blCxrCWmxZW5eJDQyWzrhfuKzKrG2bXqlgWf8BRZv4V+nsInKI9SvF4Ebuwk+gMWg90lfQL1hBi+8ZrC8JpvOKa6iq2b8gqQaRCSIEwC7e6RraYWi+mWIjzQutV/vGO4QuLsfpNjFP76m+5MRBFOTwnsWWfhHNJ7nbCEWIMCjNAr52u2fu4iKReN9vh6y82x9NvDeUVdzoeiJe+brsqY2mXGTUzTlzkUYPv3uVoagtLOc2DKF/1vXGPDJa8SRI8EBlOVwYLdww8Jx2xNdv96qVmozbLRsUtP/aJTJq6he7B8Z8ZFjj7QcPrWvYTOJBVK7lCv1w3l+hLLnAtLIDFLe/vD3R+e7e7rFbUfl6OF33IEAxJkSDMYEz09F95q/35+WWRkMg2uREpwGXdjPYlD8fJThTzj8GTZkDYO1ZqZR+6Mg3MbEkoJClYXQE35HjDhYOVohO6RY4pEA8+HB7K6A+DoLkT5/ml2bH2ebgKX0wQy891st21qDhP9bo32Qu9b3z0F4yhnz2eG6NueqUEBEXNwccDPOADAklyHT/sNOH/L8/KeZvhKHWHroraj7d/sry6gh6p6pCjrTsDvG9qnXoBuC/vqpgpPr4PcD29gxRRA9rb+HSQP3awFH7ZCcis11bVrhG7NEIH0ZA5IjcB73Yv7Lw4VekiDNwV6Cm8I2Xyu+C7/ucpFcfZhqKOG/Imp/yc/lf/7WkiCJ4Ab/MkjwNkHUbgwJZv/r3kMtMcBE9IEnOgeCqmexEHHXiq6Dmw7+Nwe9WWeY+KLOchlGR6wGbooPuvDFz9662H4wnsRlC+IQnR3mLgbrJgcVQKwloHIxkXCSic4ea6Xn8vq/52t3xfmRFnR534OZn80bKUuc12aTgFz2tnROnGLvPmuSBYGKXSwy+7ar9Z+3LVIzjqNU0eJ0a7x6xmMxX5XSCGlNfwlJ5+BVx9sgD5ueX+VKA+F9jsLDiwkXvBz2zVySkhGppjvYADWRG3kawNyApXv6O6kepEVYgDphLMrbOpxtJUudpJiw/9T9d4jWqNq9gdZ9gXCHxfi9HxY+ipbEu20kA2JLa/u16RUIo467O7zlixFdbqGrcv+EKWVDF5YmLD20VeFfn6XiZ24mJuqjppL0VW7wvf70Ikh2MD3l7Kynv11tcksD2RwQJYwHTPux+KYgNc7c7N6ChQkerqF7M6xvuAOv79pzwcDmo+63hZ0Qzs0k0bkaWdjHFtOSFqUjbh2rhksp07ZRVCJhYTDNUDJUZv8f52OMIpJr4zYPhBeoVU/gkmmmbARsNO91uhnek7GobCDXCKPDicPJyNzly3C8bD09lcEYaP824C0IY9R3nKWkMlQ4hmG6fA7Ai95JWIBF+ssCnGGPUWagtiUm6/jmmx634CEhxmDOZ1ZDlF7rqISPPb6lYjgPuyMpePzQomNh6gMFiYimmKYl/6HQpmiphR5B7h9qGJxavUC+Zj/I1wEiUnAjtIX4TANf3AylFcmuQt5U/2TfFgKnxfD/G9qoVq3R+YauvRS+XSrZgHVtR9ernK+o2bhdDRsNr59bcg0O9gTIx8RRPq461Ixa5WLwgnu5Xyz/tghwiyg7xJCBqwueIXIzQryeEOBXVCXvKVu+zvQAM3wU3AVkkMS2UnoTdWfzOu2/+flsNhcwv0xj6oHgyJQO2CNZzm4fGSteqyz9gwtsU5InYLqw/flfK88OM1loX0fgqOSuDy2RpfeAhKPRj+yWwr5JRh6BHFcASUCCNb+13n8iab7Ue9dZAgwJbI56rODIXVaRNze4uhVbVQWxvsnQxWspNLqz6WKqYWKtO265OX+Slg5uPLP5EY3H9SD8EYS4RCZjLzW8EHl6N94vEj2foBgRi+1p+NgrGci3XtrZAf6ta0a1FXRJoDrfptKy4LBDRUAFNjCn0insSePPqML/QjSwAYidpJeCGIGMLKjjfI/j7QOxgOEJBBWkvC1T8151j8XlGTThe7lX+9yJVJ2nMGN7ewboAlQJjHyCT823AYUBqLiiq0yUoouVj7T+0u3TtjOBrPX1LgU1+23uIxWhY8iTzyBFdtfMX0XGx4UGjd06ANEGu0O1uaXFAwNhLCavkey7cFuWBCDEwJ67Hdnqj8jmNXwh2T4oXRXR79QUvaez84avtEgN1pAEeID+9R4sKRHjbXWv8UKxtLZX0+J2jmC/7GC+lFoVcV+jGEQf2Y+Ioiy</x:t>
  </x:si>
  <x:si>
    <x:t>QhjKN1YtPR9+mDQ6jcYceNRZOaeaLi5ZVGnem0JuqEXdzgRZeJ7TQwSpZ6Y1XYLiwiztBb+nDmWo0x/2msxctc1te1IZjG5bh3WduQPd5/J6G+iLUL0A5TVmZf8CX1myPDVKxahOQWE/2gCkm8/Birs927cqz4U4oFEUnkpcxkCBdKBMT3856JDcbvEiC+bK0FqNIs17Re/DGGWyTXDXn3LCrbRigiuhys6A34RmldUCO8hbp5Oz17xIbIuUOjDLZfp4biG+4ZDBnF4QqWEiLtpTVA3VaPhqeVBt4rw9ePCy+YGHcY90A+/Qi9EheNYWN+Z6ZCEfCXBROMNfR8YqjLOE/BKGZG58+BZDUcqDB8GXwoa8cLNOmYr/ylDmJePE1hc9cmyNXJJlYde8F/Czrm7rAgWhIrwqfPo2IyTFZ9NDV6Ky61w5O97e6/Es7zhRdSH2HlcuEy330iRMfq9xEtWW8bU3V34aaT4rMKCoHcRB1GGbZe6UGdOv18D3L5wxN5WvmB9V+ya19vzRLmvguOKRVXKHPahUXqSwfITdPvyJTadUYD58Y6kqg63xSWXYfW0KlchB8/64bZ0hUwbV2p/M/HRSXykIBg79+uaNFMWAeHDETTj/+X1g6jISGP4M9BBNpxF7ejtyrwgMncFsrKCG+kWFAwFVAgC97M5Yotnrh1iat71vs2E+n1bYskLap+zNN/Hwu2FtIdJ/UqTmiMHyvvvaRrlpebDSycJ+G6B+DIm8PC1FYY8t+jOe4qZ4Ok2aXPEQOCkGiq1fU/mytsBHBSJcqlBwAYFRwgvUI8TezZj50MJxcwg7x/j6XY0FwBFyNaNJ/3KblSqNNBkI52D355O9dPN+sGQT6PtqUPCVg0yoBBlUeXWA+jeA949ZXWtlT9wSrruE3X9jtn3qJJFEAdnnLI+vuj1qeQmjedxpfsIl4OViSh8icdoHfuSJl2moCDtzGAOhznwhaIrJzOvApyB6zF1gsdy4VV8VgaNDBPXe3tux3JG86gonwvbeITh0CjkIEJmwy16LN3fK/JoGgMr5XHFQ2N60JJfxoq0412tRVG1jst6avKp48OzUY9fN7qIpa+cm3IYPL7CxiN24Fm0yj4cpE8ZWypf4cmjJF2ic3YdqSKsTx4I3EYV0Z2pttHkDwAUr3rl1pEdPFOKJFsMFTUOO9/RQWaul6T7lxfEzfHjVDlnJUq0Y7Rt8SDvUewVSWWEKibrtYA+fvZePrpfQAgK6T2Dz4Yj69FEdE4c2q1n5p2Fg5/TI4KNe8cywEjmcPRT7cKHeya7XGc0A6zKjnMmL7ICdpSXtkpL08/p1MQyecDLNEqpWTm1pkVXEjmcYkEkxsJ8MO34w0nWuUQqdoAaDyC8MvUj4oh32BSUcBHpeu2vqeXl/375CTN5qOpTAMacKKQy2ZZc9Oi/XUPcAi9fyyuT+J81XdH9h4EIm9+NFZbTeUa4/ISuEq6Ot4XeK9LW1c/SSJGVM3B/bYqcXfB5TmpbiJdE7tRpRxEanpfx5oz9x3X/5R8NVX+HJnIV6KlGRmz8A+RHF/irW0pi0KAZQRE1i+SmRVIf+GXcZr9pVa11JKtJcin8/idmypUiQ5o4prZ6/P/Td+b7ntDlR8as5zg4rRXnEws4y0H4fJMiq/b2eJNE7leejRDtj0WB9hnHtJdU0j5pYUQYoNPZ4PPFr/upoIBeu6GqXZ6r0n7DMZKbEplum1DSjMieBKnI8jA081jG9XXbDzG30SdLTuCmUEnEG/U6wpVJGhXg0f6m+qEA20uxOYRy1AFZVgdYmQwCSWjXrukoTm2afZrOjtFYB5cZtYfferBHe2X83o8FTCb4FKX8KVTbX0eooN+f+rRrDgJQKpQlrW/Lm9NHUtmprKRMDChbhJFS0KJL+2ON00vun3vHmXapdUKJqxzT+ujEXud8k1aCQ8Oh2GARsVMtmr0uR5ckxGSgYY9sQ7xdT9hUOJbr+unsxcAiVPt9DJoX/VqmQpAA+BCltTVoRiUVElwVqDKzL3LyJerIM5SjWmW/Zy149pHLzxirI3g1eEYp191qJwsU4LF6/99ZWsh8gWEtLDhG74h89tNTnsXLQDGdgxcTFtIjcozpa+5gaLfHDwcAV0GwokPV8xIo3Ci6Y43RGkQqZAf7/kLc21qnfMecD74VG7J+HerIxO7/RBgYY81fXEf55SF2dKjWn13iQJrMT9EPI4lD8xfALZr0arOBg+T8EssoLzH/mFBtOeL0eDlTGuBP7g/mMsITh/Dlld4T70tHtEZGsF9OUeAs45hzm40xX0Hpgc1vzrc0mrmBZg1IhTQ6Zkfpx54HbWBX7/zLS9CKOkbcAqTNtf/lhqG/GX0ty4vMfuzSvj2oVcWPnh4IQ4DfRZXP8f8kPWzwrLYdo65CO2ebYCSeEpgtN+3PW6NYGXHaBuDDh7VhNvri64QhE9XF2c2I0R48IQxjLGN3jdXEMDJl6kbrttQW7NwH/67andi7lHwFQxHpUPHxricuCHPrXO8qoVsxcj8hr9fmsYqMRztCqMTC/oSWutVouH4fpMxgGC8qDxEgWXXs2+3qHGWmZnSkikb7o1RSy+1c6q5UEiXyCAOx8fubHZSj0fQll9UZbXm8gWEixe7dKjxZAYooyT9U1WRW0E7Ul55P7mr8JvMi4bQ87QAmEC4VB+ODOrzkZ2FdLvT5sBpxx6Yj+b7sk7RVc9J54f8lAXKsmerU5xPGjw9ppAYcsdeqEPA11MQR9bOI9IjWLL/oYIdHnSoCIbFRsKYRD8uQ46OC5/4Q8X0hGLuT+Yr1+D6FC1FhDMZHQeAnhd9Y+BAjZ1JWaQo0a134QP58scFUa3dkFVDYdT9XYHK3E/oz6CbW7KJLsy14oO7ZLwH/hLDqXzd/gpBjMzmrjHlZJGy87vDrNaiT1Hju/mGRtrOFwoJpo1hRj8pvzeXchvuNM7CR85jkw+zia1Wv1OoBLJz3MiQuyCgxFdlOwi/3JHH2S3YmB7Z5uORMSv8HkkeJcj1O0DlW+TErtxn2FPYPbg5Rl210wy6xyC1PIzNG0we5uEYF0HhNSrqDC0krF7I3ANFI+etKv0t7SiEAh01IURtyVIH2PFpROWMgyGM0g1Qj9tvy+Yey4OTDpjQ+tfYV4L05WG2yBu3pD4cL7QJ+HdNbWBqeWCToftXegwU+ZFzZBVWluHzXa2fc0x6nj1d2pTMHe+jG5MyexmEIH7I2lmsrf6hGX8RFuUTkYk2YlxHftyRgfdHwQS75rIQVMDiYC+ZVLPo5dSBVuDMGNstlAv15lpALMyijzvleRMAVVT0BXG3N2V49QH74YqoeoBZJZn+USH8SKWuWA1AgCuM0GmHqV2dSJS6cVcEHJkbpaMScm2zNzTGMQArzEI/PogvDrx6V0nx6fhVBNpu5SikDRvXBaJ0mHSPyrqqBqiFcByIlRpm1mDNbQnXwbN15QBrE2a0LVGcCj0rfEGxU9fyFvYtV99BLZS+g3zWkkKjksuprscRKmny0Xuc44ttP/yTvpfpEp9dTwjm10S5t9zUOzdZbS8p7Rfn0McvaD38fJYUfm4K9fM05Pdel28r+2MrhUOSjWcKLy0IFXNyEkTo/9p1riL/OnA8ZlsW6cwzaaxIRn2oIGBXr+gEVU41af9Coz098EhbYcDPBhrol50dG2WSm8WeC0Gxiv/tAukTWT1f/uarXePVS9d28M5psIaHDNpoeH3lcz2p9wVHHEyUV+NT27n9BJjZ7aaHJA7cmYc49WQcQQhpG543tdAm537vvqzElGSr0/+CsP3T2PWfVGrUdNOrT8xWiPViwc2F2uzP1d7zwJTIJFizcM6yPbRxoTWO66g1idtNItgUqkVR+9+9tM3iDocR7srzdGN0bOVIQVPu1Vofj60pbuc/YMB0JEPHV99Vd+V0qck8j9BbWYgpDzZvBS6slEFPNjnxD75hj8xuRfbu/RK9jZv3svQBnTKAVjm/aQai/5K+l0L+rD+UX0ip1cqwRfSWbCo70EPtvqTc0XtPlPperONRWY0vE1Nc64OJLmsSMU+mwOtI3OYfswcaqBPCzP54AjCQsRUjRv6l41qF0pqu8Zodq0aiaaIl7JuwS0j3d/YtdG18v/il8MQEhlRr5DSS8VzL7HxdEAv8bEjrHlCzceVD1OhrGEfAttxr1Is7o4cluAG92TA/LCshem2hl5cDosGI82zPhZKsFyAUyJCGsezqpHvl4qhnLT60IZmoama3xQmuO+Q+AdQ7pm9uZ0p0Ge1992uPj1tuKceTRKpOLagKjhQYNcgZHquBGVak3+BRAktMcvYgioEJmBiRk5r47qz34sVNLbTNCoao6B0AtsvUTAONlonVCDRu6nxyfFt9FgS9EieN6WAPb3Bwykv+dVs7bC6t4zsxxrkJ4lNx4rEUQNHAP1durzcFPjJcoKCQNb3sc1NRcamQYNOW17sZFZedNoRC50+saykoCckCgPNZaEsDkMtWcaNif8Yu5LgYLQaXujQWPIOlMLXhQ7Pt+LZ4OzyM+DFf1sQutMnTvFyHBs79DxobpZfCPvT9XiAmwWwKRqsx51QBfgxk/XBM1DxugnLrza4tV8T5mfA9BBLv3Q91X0QRy+p7q6erp2cnkZUVzpKun8x5RbHYuf6ZW/upaWBCfrkoROUloGLvvsvLqHtd+YbHw8pL3qhj4geE36l0z8E0N3UDdTcjc98pVc4Afvpie8ymKKygsT3RJIr8krrrUolptnHlQaMG9JFeT/QYZ3/KODOf9EE3KOMRWGn2nl/9WrxlXNNSnkroKX+phybDaSu+bbf0VgdpU6TrobWGthdTELNFMGXgz6Ae69/RdGs69kHlzjPtuK49VUix2xdHDL6yssMBU+GuGcEciYE/f3U2+ibfaGTDZJ3Q6E3OcLVe4Hk8pQT4vQZk2fTStsZd55MnF6digUzU05DkjrVBrBVseuQN7ying+/L90aYnsRjEYmwbxhEwQY+niuVcwqAbtbxzMoY7iScsOfiWQ+J5ouVSisodJ6muBmFpjLl8NiuyZ6PHcTTxPhVDrpFX5jgj6/fB2J6bi0svOJWs8sEQHtGBRtKpWRkR2D36rvI0XF+jTA7flDCB6CRfHi6X5bC50X/ZMc7HF9KGGqfdwjDdSKVbsWFOrtLGB7T8boFsWXtSfwRTppmKuH5725awhKa9ORLhDMDFY7FdEdHSsoEIoEx04xTmq0p0TR+B4Kohy03lE34SZnwLioObTeCWUhGm0Z0u/iL3jhrPN0Mmaw2Dk3sCqWsDl1hx</x:t>
  </x:si>
</x:sst>
</file>

<file path=xl/styles.xml><?xml version="1.0" encoding="utf-8"?>
<x:styleSheet xmlns:x="http://schemas.openxmlformats.org/spreadsheetml/2006/main">
  <x:numFmts count="5">
    <x:numFmt numFmtId="0" formatCode=""/>
    <x:numFmt numFmtId="164" formatCode="@"/>
    <x:numFmt numFmtId="165" formatCode="#,##0.000"/>
    <x:numFmt numFmtId="166" formatCode="#,##0.00&quot; EUR&quot;"/>
    <x:numFmt numFmtId="167" formatCode="#0.00%"/>
  </x:numFmts>
  <x:fonts count="2">
    <x:font>
      <x:vertAlign val="baseline"/>
      <x:sz val="11"/>
      <x:color rgb="FF000000"/>
      <x:name val="Calibri"/>
      <x:family val="2"/>
    </x:font>
    <x:font>
      <x:b/>
      <x:vertAlign val="baseline"/>
      <x:sz val="11"/>
      <x:color rgb="FF000000"/>
      <x:name val="Calibri"/>
      <x:family val="2"/>
    </x:font>
  </x:fonts>
  <x:fills count="2">
    <x:fill>
      <x:patternFill patternType="none"/>
    </x:fill>
    <x:fill>
      <x:patternFill patternType="gray125"/>
    </x:fill>
  </x:fills>
  <x:borders count="3">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none">
        <x:color rgb="FF000000"/>
      </x:left>
      <x:right style="none">
        <x:color rgb="FF000000"/>
      </x:right>
      <x:top style="none">
        <x:color rgb="FF000000"/>
      </x:top>
      <x:bottom style="thin">
        <x:color rgb="FF000000"/>
      </x:bottom>
      <x:diagonal style="none">
        <x:color rgb="FF000000"/>
      </x:diagonal>
    </x:border>
    <x:border diagonalUp="0" diagonalDown="0">
      <x:left style="none">
        <x:color rgb="FF000000"/>
      </x:left>
      <x:right style="none">
        <x:color rgb="FF000000"/>
      </x:right>
      <x:top style="thin">
        <x:color rgb="FF000000"/>
      </x:top>
      <x:bottom style="none">
        <x:color rgb="FF000000"/>
      </x:bottom>
      <x:diagonal style="none">
        <x:color rgb="FF000000"/>
      </x:diagonal>
    </x:border>
  </x:borders>
  <x:cellStyleXfs count="18">
    <x:xf numFmtId="0" fontId="0" fillId="0" borderId="0" applyNumberFormat="1" applyFill="1" applyBorder="0" applyAlignment="1" applyProtection="1">
      <x:protection locked="1" hidden="0"/>
    </x:xf>
    <x:xf numFmtId="164" fontId="0" fillId="0" borderId="0" applyNumberFormat="1" applyFill="1" applyBorder="0" applyAlignment="1" applyProtection="1">
      <x:protection locked="1" hidden="0"/>
    </x:xf>
    <x:xf numFmtId="165" fontId="0" fillId="0" borderId="0" applyNumberFormat="1" applyFill="1" applyBorder="0" applyAlignment="1" applyProtection="1">
      <x:protection locked="1" hidden="0"/>
    </x:xf>
    <x:xf numFmtId="166" fontId="0" fillId="0" borderId="0" applyNumberFormat="1" applyFill="1" applyBorder="0" applyAlignment="1" applyProtection="1">
      <x:protection locked="1" hidden="0"/>
    </x:xf>
    <x:xf numFmtId="167"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164" fontId="1" fillId="0" borderId="0" applyNumberFormat="1" applyFill="1" applyBorder="0" applyAlignment="1" applyProtection="1">
      <x:protection locked="1" hidden="0"/>
    </x:xf>
    <x:xf numFmtId="0" fontId="1" fillId="0" borderId="1" applyNumberFormat="1" applyFill="1" applyBorder="1" applyAlignment="1" applyProtection="1">
      <x:protection locked="1" hidden="0"/>
    </x:xf>
    <x:xf numFmtId="164" fontId="1" fillId="0" borderId="1" applyNumberFormat="1" applyFill="1" applyBorder="1" applyAlignment="1" applyProtection="1">
      <x:protection locked="1" hidden="0"/>
    </x:xf>
    <x:xf numFmtId="165" fontId="1" fillId="0" borderId="1" applyNumberFormat="1" applyFill="1" applyBorder="1" applyAlignment="1" applyProtection="1">
      <x:protection locked="1" hidden="0"/>
    </x:xf>
    <x:xf numFmtId="166" fontId="1" fillId="0" borderId="1" applyNumberFormat="1" applyFill="1" applyBorder="1" applyAlignment="1" applyProtection="1">
      <x:protection locked="1" hidden="0"/>
    </x:xf>
    <x:xf numFmtId="167" fontId="1" fillId="0" borderId="1" applyNumberFormat="1" applyFill="1" applyBorder="1" applyAlignment="1" applyProtection="1">
      <x:protection locked="1" hidden="0"/>
    </x:xf>
    <x:xf numFmtId="0" fontId="1" fillId="0" borderId="2" applyNumberFormat="1" applyFill="1" applyBorder="1" applyAlignment="1" applyProtection="1">
      <x:protection locked="1" hidden="0"/>
    </x:xf>
    <x:xf numFmtId="164" fontId="1" fillId="0" borderId="2" applyNumberFormat="1" applyFill="1" applyBorder="1" applyAlignment="1" applyProtection="1">
      <x:protection locked="1" hidden="0"/>
    </x:xf>
    <x:xf numFmtId="165" fontId="1" fillId="0" borderId="2" applyNumberFormat="1" applyFill="1" applyBorder="1" applyAlignment="1" applyProtection="1">
      <x:protection locked="1" hidden="0"/>
    </x:xf>
    <x:xf numFmtId="166" fontId="1" fillId="0" borderId="2" applyNumberFormat="1" applyFill="1" applyBorder="1" applyAlignment="1" applyProtection="1">
      <x:protection locked="1" hidden="0"/>
    </x:xf>
    <x:xf numFmtId="167" fontId="1" fillId="0" borderId="2" applyNumberFormat="1" applyFill="1" applyBorder="1" applyAlignment="1" applyProtection="1">
      <x:protection locked="1" hidden="0"/>
    </x:xf>
    <x:xf numFmtId="22" fontId="0" fillId="0" borderId="0" applyNumberFormat="1" applyFill="1" applyBorder="0" applyAlignment="1" applyProtection="1">
      <x:protection locked="1" hidden="0"/>
    </x:xf>
  </x:cellStyleXfs>
  <x:cellXfs count="24">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5"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6"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7"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4"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1" xfId="0" applyNumberFormat="1" applyFill="1" applyBorder="1" applyAlignment="1" applyProtection="1">
      <x:alignment horizontal="general" vertical="bottom" textRotation="0" wrapText="0" indent="0" relativeIndent="0" justifyLastLine="0" shrinkToFit="0" readingOrder="0"/>
      <x:protection locked="1" hidden="0"/>
    </x:xf>
    <x:xf numFmtId="164" fontId="1" fillId="0" borderId="1" xfId="0" applyNumberFormat="1" applyFill="1" applyBorder="1" applyAlignment="1" applyProtection="1">
      <x:alignment horizontal="general" vertical="bottom" textRotation="0" wrapText="0" indent="0" relativeIndent="0" justifyLastLine="0" shrinkToFit="0" readingOrder="0"/>
      <x:protection locked="1" hidden="0"/>
    </x:xf>
    <x:xf numFmtId="165" fontId="1" fillId="0" borderId="1" xfId="0" applyNumberFormat="1" applyFill="1" applyBorder="1" applyAlignment="1" applyProtection="1">
      <x:alignment horizontal="general" vertical="bottom" textRotation="0" wrapText="0" indent="0" relativeIndent="0" justifyLastLine="0" shrinkToFit="0" readingOrder="0"/>
      <x:protection locked="1" hidden="0"/>
    </x:xf>
    <x:xf numFmtId="166" fontId="1" fillId="0" borderId="1" xfId="0" applyNumberFormat="1" applyFill="1" applyBorder="1" applyAlignment="1" applyProtection="1">
      <x:alignment horizontal="general" vertical="bottom" textRotation="0" wrapText="0" indent="0" relativeIndent="0" justifyLastLine="0" shrinkToFit="0" readingOrder="0"/>
      <x:protection locked="1" hidden="0"/>
    </x:xf>
    <x:xf numFmtId="167" fontId="1" fillId="0" borderId="1" xfId="0" applyNumberFormat="1" applyFill="1" applyBorder="1" applyAlignment="1" applyProtection="1">
      <x:alignment horizontal="general" vertical="bottom" textRotation="0" wrapText="0" indent="0" relativeIndent="0" justifyLastLine="0" shrinkToFit="0" readingOrder="0"/>
      <x:protection locked="1" hidden="0"/>
    </x:xf>
    <x:xf numFmtId="0" fontId="1" fillId="0" borderId="2" xfId="0" applyNumberFormat="1" applyFill="1" applyBorder="1" applyAlignment="1" applyProtection="1">
      <x:alignment horizontal="general" vertical="bottom" textRotation="0" wrapText="0" indent="0" relativeIndent="0" justifyLastLine="0" shrinkToFit="0" readingOrder="0"/>
      <x:protection locked="1" hidden="0"/>
    </x:xf>
    <x:xf numFmtId="164" fontId="1" fillId="0" borderId="2" xfId="0" applyNumberFormat="1" applyFill="1" applyBorder="1" applyAlignment="1" applyProtection="1">
      <x:alignment horizontal="general" vertical="bottom" textRotation="0" wrapText="0" indent="0" relativeIndent="0" justifyLastLine="0" shrinkToFit="0" readingOrder="0"/>
      <x:protection locked="1" hidden="0"/>
    </x:xf>
    <x:xf numFmtId="165" fontId="1" fillId="0" borderId="2" xfId="0" applyNumberFormat="1" applyFill="1" applyBorder="1" applyAlignment="1" applyProtection="1">
      <x:alignment horizontal="general" vertical="bottom" textRotation="0" wrapText="0" indent="0" relativeIndent="0" justifyLastLine="0" shrinkToFit="0" readingOrder="0"/>
      <x:protection locked="1" hidden="0"/>
    </x:xf>
    <x:xf numFmtId="166" fontId="1" fillId="0" borderId="2" xfId="0" applyNumberFormat="1" applyFill="1" applyBorder="1" applyAlignment="1" applyProtection="1">
      <x:alignment horizontal="general" vertical="bottom" textRotation="0" wrapText="0" indent="0" relativeIndent="0" justifyLastLine="0" shrinkToFit="0" readingOrder="0"/>
      <x:protection locked="1" hidden="0"/>
    </x:xf>
    <x:xf numFmtId="167" fontId="1" fillId="0" borderId="2" xfId="0" applyNumberFormat="1" applyFill="1" applyBorder="1" applyAlignment="1" applyProtection="1">
      <x:alignment horizontal="general" vertical="bottom" textRotation="0" wrapText="0" indent="0" relativeIndent="0" justifyLastLine="0" shrinkToFit="0" readingOrder="0"/>
      <x:protection locked="1" hidden="0"/>
    </x:xf>
    <x:xf numFmtId="166" fontId="0" fillId="0" borderId="0" xfId="0" applyNumberFormat="1" applyFill="1" applyBorder="0" applyAlignment="1" applyProtection="1">
      <x:alignment horizontal="right"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left"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left" vertical="bottom" textRotation="0" wrapText="0" indent="0" relativeIndent="0" justifyLastLine="0" shrinkToFit="0" readingOrder="0"/>
      <x:protection locked="1" hidden="0"/>
    </x:xf>
    <x:xf numFmtId="164" fontId="1" fillId="0" borderId="1" xfId="0" applyNumberFormat="1" applyFill="1" applyBorder="1" applyAlignment="1" applyProtection="1">
      <x:alignment horizontal="left" vertical="bottom" textRotation="0" wrapText="0" indent="0" relativeIndent="0" justifyLastLine="0" shrinkToFit="0" readingOrder="0"/>
      <x:protection locked="1" hidden="0"/>
    </x:xf>
    <x:xf numFmtId="0" fontId="1" fillId="0" borderId="1" xfId="0" applyNumberFormat="1" applyFill="1" applyBorder="1" applyAlignment="1" applyProtection="1">
      <x:alignment horizontal="left" vertical="bottom" textRotation="0" wrapText="0" indent="0" relativeIndent="0" justifyLastLine="0" shrinkToFit="0" readingOrder="0"/>
      <x:protection locked="1" hidden="0"/>
    </x:xf>
    <x:xf numFmtId="166" fontId="1" fillId="0" borderId="1" xfId="0" applyNumberFormat="1" applyFill="1" applyBorder="1" applyAlignment="1" applyProtection="1">
      <x:alignment horizontal="left"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1">
    <x:dxf>
      <x:fill>
        <x:patternFill patternType="solid">
          <x:fgColor auto="1"/>
          <x:bgColor rgb="FFFFC7CE"/>
        </x:patternFill>
      </x:fill>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6" /><Relationship Type="http://schemas.openxmlformats.org/officeDocument/2006/relationships/styles" Target="/xl/styles.xml" Id="rId7"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calcChain" Target="/xl/calcChain.xml" Id="rId8" /><Relationship Type="http://schemas.openxmlformats.org/officeDocument/2006/relationships/theme" Target="/xl/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pageSetUpPr fitToPage="1"/>
  </x:sheetPr>
  <x:dimension ref="A1:M134"/>
  <x:sheetViews>
    <x:sheetView workbookViewId="0">
      <x:pane xSplit="3" ySplit="3" topLeftCell="D4" activePane="bottomRight" state="frozenSplit"/>
      <x:selection activeCell="A1" sqref="A1"/>
      <x:selection pane="bottomRight" activeCell="A1" sqref="A1"/>
    </x:sheetView>
  </x:sheetViews>
  <x:sheetFormatPr defaultRowHeight="15" outlineLevelCol="3"/>
  <x:cols>
    <x:col min="1" max="1" width="15.710625" style="0" customWidth="1"/>
    <x:col min="2" max="2" width="15.710625" style="1" customWidth="1"/>
    <x:col min="3" max="3" width="30.710625" style="0" customWidth="1"/>
    <x:col min="4" max="4" width="10.710625" style="0" customWidth="1"/>
    <x:col min="5" max="5" width="9.710625" style="2" customWidth="1"/>
    <x:col min="6" max="6" width="8.710625" style="0" customWidth="1"/>
    <x:col min="7" max="7" width="9.710625" style="3" customWidth="1"/>
    <x:col min="8" max="8" width="12.710625" style="3" customWidth="1"/>
    <x:col min="9" max="9" width="9.710625" style="4" customWidth="1"/>
    <x:col min="10" max="10" width="14.710625" style="3" customWidth="1"/>
    <x:col min="11" max="11" width="7.710625" style="4" customWidth="1"/>
    <x:col min="12" max="12" width="9.140625" style="1" hidden="1" customWidth="1"/>
    <x:col min="13" max="13" width="9.140625" style="0" hidden="1" customWidth="1"/>
  </x:cols>
  <x:sheetData>
    <x:row r="1" spans="1:13" s="5" customFormat="1">
      <x:c r="A1" s="5" t="s">
        <x:v>0</x:v>
      </x:c>
      <x:c r="B1" s="6">
        <x:f>IF('Projektinfo'!B1="","",'Projektinfo'!B1)</x:f>
      </x:c>
      <x:c r="C1" s="6"/>
      <x:c r="D1" s="6"/>
      <x:c r="E1" s="6"/>
      <x:c r="F1" s="6"/>
      <x:c r="G1" s="6"/>
      <x:c r="H1" s="6"/>
      <x:c r="I1" s="6"/>
      <x:c r="J1" s="6"/>
      <x:c r="K1" s="6"/>
      <x:c r="L1" s="6"/>
    </x:row>
    <x:row r="2" spans="1:13">
      <x:c r="A2" s="0" t="s">
        <x:v>1</x:v>
      </x:c>
      <x:c r="B2" s="4"/>
    </x:row>
    <x:row r="3" spans="1:13" s="5" customFormat="1">
      <x:c r="A3" s="7" t="s">
        <x:v>2</x:v>
      </x:c>
      <x:c r="B3" s="8" t="s">
        <x:v>3</x:v>
      </x:c>
      <x:c r="C3" s="7" t="s">
        <x:v>4</x:v>
      </x:c>
      <x:c r="D3" s="7" t="s">
        <x:v>5</x:v>
      </x:c>
      <x:c r="E3" s="9" t="s">
        <x:v>6</x:v>
      </x:c>
      <x:c r="F3" s="7" t="s">
        <x:v>7</x:v>
      </x:c>
      <x:c r="G3" s="10" t="s">
        <x:v>8</x:v>
      </x:c>
      <x:c r="H3" s="10" t="s">
        <x:v>10</x:v>
      </x:c>
      <x:c r="I3" s="11" t="s">
        <x:v>9</x:v>
      </x:c>
      <x:c r="J3" s="10" t="s">
        <x:v>11</x:v>
      </x:c>
      <x:c r="K3" s="11" t="s">
        <x:v>1</x:v>
      </x:c>
      <x:c r="L3" s="6"/>
    </x:row>
    <x:row r="4" spans="1:13">
      <x:c r="A4" s="0" t="s">
        <x:v>12</x:v>
      </x:c>
      <x:c r="C4" s="0" t="s">
        <x:v>13</x:v>
      </x:c>
    </x:row>
    <x:row r="5" spans="1:13" outlineLevel="1">
      <x:c r="A5" s="0" t="s">
        <x:v>14</x:v>
      </x:c>
      <x:c r="B5" s="1" t="s">
        <x:v>15</x:v>
      </x:c>
      <x:c r="C5" s="0" t="s">
        <x:v>16</x:v>
      </x:c>
      <x:c r="E5" s="2"/>
      <x:c r="G5" s="3"/>
      <x:c r="H5" s="3"/>
      <x:c r="I5" s="4"/>
      <x:c r="J5" s="3"/>
      <x:c r="K5" s="4">
        <x:f>""</x:f>
      </x:c>
      <x:c r="L5" s="1"/>
    </x:row>
    <x:row r="6" spans="1:13" outlineLevel="1">
      <x:c r="A6" s="0" t="s">
        <x:v>17</x:v>
      </x:c>
      <x:c r="B6" s="1"/>
      <x:c r="C6" s="0" t="s">
        <x:v>18</x:v>
      </x:c>
      <x:c r="D6" s="0" t="s">
        <x:v>18</x:v>
      </x:c>
      <x:c r="E6" s="2"/>
      <x:c r="G6" s="3"/>
      <x:c r="H6" s="3"/>
      <x:c r="I6" s="4"/>
      <x:c r="J6" s="3"/>
      <x:c r="K6" s="4">
        <x:f>""</x:f>
      </x:c>
      <x:c r="L6" s="1"/>
      <x:c r="M6" s="0" t="s">
        <x:v>19</x:v>
      </x:c>
    </x:row>
    <x:row r="7" spans="1:13" outlineLevel="1">
      <x:c r="A7" s="0" t="s">
        <x:v>17</x:v>
      </x:c>
      <x:c r="B7" s="1"/>
      <x:c r="C7" s="0" t="s">
        <x:v>20</x:v>
      </x:c>
      <x:c r="D7" s="0" t="s">
        <x:v>21</x:v>
      </x:c>
      <x:c r="E7" s="2"/>
      <x:c r="G7" s="3"/>
      <x:c r="H7" s="3"/>
      <x:c r="I7" s="4"/>
      <x:c r="J7" s="3"/>
      <x:c r="K7" s="4">
        <x:f>""</x:f>
      </x:c>
      <x:c r="L7" s="1"/>
      <x:c r="M7" s="0" t="s">
        <x:v>22</x:v>
      </x:c>
    </x:row>
    <x:row r="8" spans="1:13" outlineLevel="1">
      <x:c r="A8" s="0" t="s">
        <x:v>17</x:v>
      </x:c>
      <x:c r="B8" s="1"/>
      <x:c r="C8" s="0" t="s">
        <x:v>23</x:v>
      </x:c>
      <x:c r="D8" s="0" t="s">
        <x:v>24</x:v>
      </x:c>
      <x:c r="E8" s="2"/>
      <x:c r="G8" s="3"/>
      <x:c r="H8" s="3"/>
      <x:c r="I8" s="4"/>
      <x:c r="J8" s="3"/>
      <x:c r="K8" s="4">
        <x:f>""</x:f>
      </x:c>
      <x:c r="L8" s="1"/>
      <x:c r="M8" s="0" t="s">
        <x:v>25</x:v>
      </x:c>
    </x:row>
    <x:row r="9" spans="1:13" outlineLevel="1">
      <x:c r="A9" s="0" t="s">
        <x:v>17</x:v>
      </x:c>
      <x:c r="B9" s="1"/>
      <x:c r="C9" s="0" t="s">
        <x:v>26</x:v>
      </x:c>
      <x:c r="D9" s="0" t="s">
        <x:v>27</x:v>
      </x:c>
      <x:c r="E9" s="2"/>
      <x:c r="G9" s="3"/>
      <x:c r="H9" s="3"/>
      <x:c r="I9" s="4"/>
      <x:c r="J9" s="3"/>
      <x:c r="K9" s="4">
        <x:f>""</x:f>
      </x:c>
      <x:c r="L9" s="1"/>
      <x:c r="M9" s="0" t="s">
        <x:v>28</x:v>
      </x:c>
    </x:row>
    <x:row r="10" spans="1:13" outlineLevel="1">
      <x:c r="A10" s="0" t="s">
        <x:v>17</x:v>
      </x:c>
      <x:c r="B10" s="1"/>
      <x:c r="C10" s="0" t="s">
        <x:v>29</x:v>
      </x:c>
      <x:c r="D10" s="0" t="s">
        <x:v>29</x:v>
      </x:c>
      <x:c r="E10" s="2"/>
      <x:c r="G10" s="3"/>
      <x:c r="H10" s="3"/>
      <x:c r="I10" s="4"/>
      <x:c r="J10" s="3"/>
      <x:c r="K10" s="4">
        <x:f>""</x:f>
      </x:c>
      <x:c r="L10" s="1"/>
      <x:c r="M10" s="0" t="s">
        <x:v>30</x:v>
      </x:c>
    </x:row>
    <x:row r="11" spans="1:13" outlineLevel="1">
      <x:c r="A11" s="0" t="s">
        <x:v>17</x:v>
      </x:c>
      <x:c r="B11" s="1"/>
      <x:c r="C11" s="0" t="s">
        <x:v>31</x:v>
      </x:c>
      <x:c r="D11" s="0" t="s">
        <x:v>32</x:v>
      </x:c>
      <x:c r="E11" s="2"/>
      <x:c r="G11" s="3"/>
      <x:c r="H11" s="3"/>
      <x:c r="I11" s="4"/>
      <x:c r="J11" s="3"/>
      <x:c r="K11" s="4">
        <x:f>""</x:f>
      </x:c>
      <x:c r="L11" s="1"/>
      <x:c r="M11" s="0" t="s">
        <x:v>33</x:v>
      </x:c>
    </x:row>
    <x:row r="12" spans="1:13" outlineLevel="1">
      <x:c r="A12" s="0" t="s">
        <x:v>17</x:v>
      </x:c>
      <x:c r="B12" s="1"/>
      <x:c r="C12" s="0" t="s">
        <x:v>34</x:v>
      </x:c>
      <x:c r="D12" s="0" t="s">
        <x:v>34</x:v>
      </x:c>
      <x:c r="E12" s="2"/>
      <x:c r="G12" s="3"/>
      <x:c r="H12" s="3"/>
      <x:c r="I12" s="4"/>
      <x:c r="J12" s="3"/>
      <x:c r="K12" s="4">
        <x:f>""</x:f>
      </x:c>
      <x:c r="L12" s="1"/>
      <x:c r="M12" s="0" t="s">
        <x:v>35</x:v>
      </x:c>
    </x:row>
    <x:row r="13" spans="1:13" outlineLevel="1">
      <x:c r="A13" s="0" t="s">
        <x:v>17</x:v>
      </x:c>
      <x:c r="B13" s="1"/>
      <x:c r="C13" s="0" t="s">
        <x:v>36</x:v>
      </x:c>
      <x:c r="D13" s="0" t="s">
        <x:v>37</x:v>
      </x:c>
      <x:c r="E13" s="2"/>
      <x:c r="G13" s="3"/>
      <x:c r="H13" s="3"/>
      <x:c r="I13" s="4"/>
      <x:c r="J13" s="3"/>
      <x:c r="K13" s="4">
        <x:f>""</x:f>
      </x:c>
      <x:c r="L13" s="1"/>
      <x:c r="M13" s="0" t="s">
        <x:v>38</x:v>
      </x:c>
    </x:row>
    <x:row r="14" spans="1:13" outlineLevel="1">
      <x:c r="A14" s="0" t="s">
        <x:v>17</x:v>
      </x:c>
      <x:c r="B14" s="1"/>
      <x:c r="C14" s="0" t="s">
        <x:v>39</x:v>
      </x:c>
      <x:c r="D14" s="0" t="s">
        <x:v>40</x:v>
      </x:c>
      <x:c r="E14" s="2"/>
      <x:c r="G14" s="3"/>
      <x:c r="H14" s="3"/>
      <x:c r="I14" s="4"/>
      <x:c r="J14" s="3"/>
      <x:c r="K14" s="4">
        <x:f>""</x:f>
      </x:c>
      <x:c r="L14" s="1"/>
      <x:c r="M14" s="0" t="s">
        <x:v>41</x:v>
      </x:c>
    </x:row>
    <x:row r="15" spans="1:13" outlineLevel="1">
      <x:c r="A15" s="0" t="s">
        <x:v>17</x:v>
      </x:c>
      <x:c r="B15" s="1"/>
      <x:c r="C15" s="0" t="s">
        <x:v>42</x:v>
      </x:c>
      <x:c r="D15" s="0" t="s">
        <x:v>43</x:v>
      </x:c>
      <x:c r="E15" s="2"/>
      <x:c r="G15" s="3"/>
      <x:c r="H15" s="3"/>
      <x:c r="I15" s="4"/>
      <x:c r="J15" s="3"/>
      <x:c r="K15" s="4">
        <x:f>""</x:f>
      </x:c>
      <x:c r="L15" s="1"/>
      <x:c r="M15" s="0" t="s">
        <x:v>44</x:v>
      </x:c>
    </x:row>
    <x:row r="16" spans="1:13" outlineLevel="1">
      <x:c r="A16" s="0" t="s">
        <x:v>17</x:v>
      </x:c>
      <x:c r="B16" s="1"/>
      <x:c r="C16" s="0" t="s">
        <x:v>45</x:v>
      </x:c>
      <x:c r="D16" s="0" t="s">
        <x:v>45</x:v>
      </x:c>
      <x:c r="E16" s="2"/>
      <x:c r="G16" s="3"/>
      <x:c r="H16" s="3"/>
      <x:c r="I16" s="4"/>
      <x:c r="J16" s="3"/>
      <x:c r="K16" s="4">
        <x:f>""</x:f>
      </x:c>
      <x:c r="L16" s="1"/>
      <x:c r="M16" s="0" t="s">
        <x:v>46</x:v>
      </x:c>
    </x:row>
    <x:row r="17" spans="1:13" outlineLevel="1">
      <x:c r="A17" s="0" t="s">
        <x:v>17</x:v>
      </x:c>
      <x:c r="B17" s="1"/>
      <x:c r="C17" s="0" t="s">
        <x:v>47</x:v>
      </x:c>
      <x:c r="D17" s="0" t="s">
        <x:v>48</x:v>
      </x:c>
      <x:c r="E17" s="2"/>
      <x:c r="G17" s="3"/>
      <x:c r="H17" s="3"/>
      <x:c r="I17" s="4"/>
      <x:c r="J17" s="3"/>
      <x:c r="K17" s="4">
        <x:f>""</x:f>
      </x:c>
      <x:c r="L17" s="1"/>
      <x:c r="M17" s="0" t="s">
        <x:v>49</x:v>
      </x:c>
    </x:row>
    <x:row r="18" spans="1:13" outlineLevel="1">
      <x:c r="A18" s="0" t="s">
        <x:v>17</x:v>
      </x:c>
      <x:c r="B18" s="1"/>
      <x:c r="C18" s="0" t="s">
        <x:v>50</x:v>
      </x:c>
      <x:c r="D18" s="0" t="s">
        <x:v>51</x:v>
      </x:c>
      <x:c r="E18" s="2"/>
      <x:c r="G18" s="3"/>
      <x:c r="H18" s="3"/>
      <x:c r="I18" s="4"/>
      <x:c r="J18" s="3"/>
      <x:c r="K18" s="4">
        <x:f>""</x:f>
      </x:c>
      <x:c r="L18" s="1"/>
      <x:c r="M18" s="0" t="s">
        <x:v>52</x:v>
      </x:c>
    </x:row>
    <x:row r="19" spans="1:13" outlineLevel="1">
      <x:c r="A19" s="0" t="s">
        <x:v>17</x:v>
      </x:c>
      <x:c r="B19" s="1"/>
      <x:c r="C19" s="0" t="s">
        <x:v>53</x:v>
      </x:c>
      <x:c r="D19" s="0" t="s">
        <x:v>54</x:v>
      </x:c>
      <x:c r="E19" s="2"/>
      <x:c r="G19" s="3"/>
      <x:c r="H19" s="3"/>
      <x:c r="I19" s="4"/>
      <x:c r="J19" s="3"/>
      <x:c r="K19" s="4">
        <x:f>""</x:f>
      </x:c>
      <x:c r="L19" s="1"/>
      <x:c r="M19" s="0" t="s">
        <x:v>55</x:v>
      </x:c>
    </x:row>
    <x:row r="20" spans="1:13" outlineLevel="1">
      <x:c r="A20" s="0" t="s">
        <x:v>17</x:v>
      </x:c>
      <x:c r="B20" s="1"/>
      <x:c r="C20" s="0" t="s">
        <x:v>56</x:v>
      </x:c>
      <x:c r="D20" s="0" t="s">
        <x:v>56</x:v>
      </x:c>
      <x:c r="E20" s="2"/>
      <x:c r="G20" s="3"/>
      <x:c r="H20" s="3"/>
      <x:c r="I20" s="4"/>
      <x:c r="J20" s="3"/>
      <x:c r="K20" s="4">
        <x:f>""</x:f>
      </x:c>
      <x:c r="L20" s="1"/>
      <x:c r="M20" s="0" t="s">
        <x:v>57</x:v>
      </x:c>
    </x:row>
    <x:row r="21" spans="1:13" outlineLevel="1">
      <x:c r="A21" s="0" t="s">
        <x:v>17</x:v>
      </x:c>
      <x:c r="B21" s="1"/>
      <x:c r="C21" s="0" t="s">
        <x:v>58</x:v>
      </x:c>
      <x:c r="D21" s="0" t="s">
        <x:v>59</x:v>
      </x:c>
      <x:c r="E21" s="2"/>
      <x:c r="G21" s="3"/>
      <x:c r="H21" s="3"/>
      <x:c r="I21" s="4"/>
      <x:c r="J21" s="3"/>
      <x:c r="K21" s="4">
        <x:f>""</x:f>
      </x:c>
      <x:c r="L21" s="1"/>
      <x:c r="M21" s="0" t="s">
        <x:v>60</x:v>
      </x:c>
    </x:row>
    <x:row r="22" spans="1:13" outlineLevel="1">
      <x:c r="A22" s="0" t="s">
        <x:v>17</x:v>
      </x:c>
      <x:c r="B22" s="1"/>
      <x:c r="C22" s="0" t="s">
        <x:v>61</x:v>
      </x:c>
      <x:c r="D22" s="0" t="s">
        <x:v>62</x:v>
      </x:c>
      <x:c r="E22" s="2"/>
      <x:c r="G22" s="3"/>
      <x:c r="H22" s="3"/>
      <x:c r="I22" s="4"/>
      <x:c r="J22" s="3"/>
      <x:c r="K22" s="4">
        <x:f>""</x:f>
      </x:c>
      <x:c r="L22" s="1"/>
      <x:c r="M22" s="0" t="s">
        <x:v>63</x:v>
      </x:c>
    </x:row>
    <x:row r="23" spans="1:13" outlineLevel="1">
      <x:c r="A23" s="0" t="s">
        <x:v>17</x:v>
      </x:c>
      <x:c r="B23" s="1"/>
      <x:c r="C23" s="0" t="s">
        <x:v>64</x:v>
      </x:c>
      <x:c r="D23" s="0" t="s">
        <x:v>65</x:v>
      </x:c>
      <x:c r="E23" s="2"/>
      <x:c r="G23" s="3"/>
      <x:c r="H23" s="3"/>
      <x:c r="I23" s="4"/>
      <x:c r="J23" s="3"/>
      <x:c r="K23" s="4">
        <x:f>""</x:f>
      </x:c>
      <x:c r="L23" s="1"/>
      <x:c r="M23" s="0" t="s">
        <x:v>66</x:v>
      </x:c>
    </x:row>
    <x:row r="24" spans="1:13" outlineLevel="1">
      <x:c r="A24" s="0" t="s">
        <x:v>17</x:v>
      </x:c>
      <x:c r="B24" s="1"/>
      <x:c r="C24" s="0" t="s">
        <x:v>67</x:v>
      </x:c>
      <x:c r="D24" s="0" t="s">
        <x:v>68</x:v>
      </x:c>
      <x:c r="E24" s="2"/>
      <x:c r="G24" s="3"/>
      <x:c r="H24" s="3"/>
      <x:c r="I24" s="4"/>
      <x:c r="J24" s="3"/>
      <x:c r="K24" s="4">
        <x:f>""</x:f>
      </x:c>
      <x:c r="L24" s="1"/>
      <x:c r="M24" s="0" t="s">
        <x:v>69</x:v>
      </x:c>
    </x:row>
    <x:row r="25" spans="1:13" outlineLevel="1">
      <x:c r="A25" s="0" t="s">
        <x:v>17</x:v>
      </x:c>
      <x:c r="B25" s="1"/>
      <x:c r="C25" s="0" t="s">
        <x:v>70</x:v>
      </x:c>
      <x:c r="D25" s="0" t="s">
        <x:v>71</x:v>
      </x:c>
      <x:c r="E25" s="2"/>
      <x:c r="G25" s="3"/>
      <x:c r="H25" s="3"/>
      <x:c r="I25" s="4"/>
      <x:c r="J25" s="3"/>
      <x:c r="K25" s="4">
        <x:f>""</x:f>
      </x:c>
      <x:c r="L25" s="1"/>
      <x:c r="M25" s="0" t="s">
        <x:v>72</x:v>
      </x:c>
    </x:row>
    <x:row r="26" spans="1:13" outlineLevel="1">
      <x:c r="A26" s="0" t="s">
        <x:v>17</x:v>
      </x:c>
      <x:c r="B26" s="1"/>
      <x:c r="C26" s="0" t="s">
        <x:v>73</x:v>
      </x:c>
      <x:c r="D26" s="0" t="s">
        <x:v>74</x:v>
      </x:c>
      <x:c r="E26" s="2"/>
      <x:c r="G26" s="3"/>
      <x:c r="H26" s="3"/>
      <x:c r="I26" s="4"/>
      <x:c r="J26" s="3"/>
      <x:c r="K26" s="4">
        <x:f>""</x:f>
      </x:c>
      <x:c r="L26" s="1"/>
      <x:c r="M26" s="0" t="s">
        <x:v>75</x:v>
      </x:c>
    </x:row>
    <x:row r="27" spans="1:13" outlineLevel="1">
      <x:c r="A27" s="0" t="s">
        <x:v>17</x:v>
      </x:c>
      <x:c r="B27" s="1"/>
      <x:c r="C27" s="0" t="s">
        <x:v>76</x:v>
      </x:c>
      <x:c r="D27" s="0" t="s">
        <x:v>77</x:v>
      </x:c>
      <x:c r="E27" s="2"/>
      <x:c r="G27" s="3"/>
      <x:c r="H27" s="3"/>
      <x:c r="I27" s="4"/>
      <x:c r="J27" s="3"/>
      <x:c r="K27" s="4">
        <x:f>""</x:f>
      </x:c>
      <x:c r="L27" s="1"/>
      <x:c r="M27" s="0" t="s">
        <x:v>78</x:v>
      </x:c>
    </x:row>
    <x:row r="28" spans="1:13" outlineLevel="1">
      <x:c r="A28" s="0" t="s">
        <x:v>17</x:v>
      </x:c>
      <x:c r="B28" s="1"/>
      <x:c r="C28" s="0" t="s">
        <x:v>79</x:v>
      </x:c>
      <x:c r="D28" s="0" t="s">
        <x:v>80</x:v>
      </x:c>
      <x:c r="E28" s="2"/>
      <x:c r="G28" s="3"/>
      <x:c r="H28" s="3"/>
      <x:c r="I28" s="4"/>
      <x:c r="J28" s="3"/>
      <x:c r="K28" s="4">
        <x:f>""</x:f>
      </x:c>
      <x:c r="L28" s="1"/>
      <x:c r="M28" s="0" t="s">
        <x:v>81</x:v>
      </x:c>
    </x:row>
    <x:row r="29" spans="1:13" outlineLevel="1">
      <x:c r="A29" s="0" t="s">
        <x:v>17</x:v>
      </x:c>
      <x:c r="B29" s="1"/>
      <x:c r="C29" s="0" t="s">
        <x:v>82</x:v>
      </x:c>
      <x:c r="D29" s="0" t="s">
        <x:v>83</x:v>
      </x:c>
      <x:c r="E29" s="2"/>
      <x:c r="G29" s="3"/>
      <x:c r="H29" s="3"/>
      <x:c r="I29" s="4"/>
      <x:c r="J29" s="3"/>
      <x:c r="K29" s="4">
        <x:f>""</x:f>
      </x:c>
      <x:c r="L29" s="1"/>
      <x:c r="M29" s="0" t="s">
        <x:v>84</x:v>
      </x:c>
    </x:row>
    <x:row r="30" spans="1:13" outlineLevel="1">
      <x:c r="A30" s="0" t="s">
        <x:v>17</x:v>
      </x:c>
      <x:c r="B30" s="1"/>
      <x:c r="C30" s="0" t="s">
        <x:v>85</x:v>
      </x:c>
      <x:c r="D30" s="0" t="s">
        <x:v>86</x:v>
      </x:c>
      <x:c r="E30" s="2"/>
      <x:c r="G30" s="3"/>
      <x:c r="H30" s="3"/>
      <x:c r="I30" s="4"/>
      <x:c r="J30" s="3"/>
      <x:c r="K30" s="4">
        <x:f>""</x:f>
      </x:c>
      <x:c r="L30" s="1"/>
      <x:c r="M30" s="0" t="s">
        <x:v>87</x:v>
      </x:c>
    </x:row>
    <x:row r="31" spans="1:13" outlineLevel="1">
      <x:c r="A31" s="0" t="s">
        <x:v>17</x:v>
      </x:c>
      <x:c r="B31" s="1"/>
      <x:c r="C31" s="0" t="s">
        <x:v>88</x:v>
      </x:c>
      <x:c r="D31" s="0" t="s">
        <x:v>89</x:v>
      </x:c>
      <x:c r="E31" s="2"/>
      <x:c r="G31" s="3"/>
      <x:c r="H31" s="3"/>
      <x:c r="I31" s="4"/>
      <x:c r="J31" s="3"/>
      <x:c r="K31" s="4">
        <x:f>""</x:f>
      </x:c>
      <x:c r="L31" s="1"/>
      <x:c r="M31" s="0" t="s">
        <x:v>90</x:v>
      </x:c>
    </x:row>
    <x:row r="32" spans="1:13" outlineLevel="1">
      <x:c r="A32" s="0" t="s">
        <x:v>17</x:v>
      </x:c>
      <x:c r="B32" s="1"/>
      <x:c r="C32" s="0" t="s">
        <x:v>91</x:v>
      </x:c>
      <x:c r="D32" s="0" t="s">
        <x:v>92</x:v>
      </x:c>
      <x:c r="E32" s="2"/>
      <x:c r="G32" s="3"/>
      <x:c r="H32" s="3"/>
      <x:c r="I32" s="4"/>
      <x:c r="J32" s="3"/>
      <x:c r="K32" s="4">
        <x:f>""</x:f>
      </x:c>
      <x:c r="L32" s="1"/>
      <x:c r="M32" s="0" t="s">
        <x:v>93</x:v>
      </x:c>
    </x:row>
    <x:row r="33" spans="1:13" outlineLevel="1">
      <x:c r="A33" s="0" t="s">
        <x:v>17</x:v>
      </x:c>
      <x:c r="B33" s="1"/>
      <x:c r="C33" s="0" t="s">
        <x:v>94</x:v>
      </x:c>
      <x:c r="D33" s="0" t="s">
        <x:v>94</x:v>
      </x:c>
      <x:c r="E33" s="2"/>
      <x:c r="G33" s="3"/>
      <x:c r="H33" s="3"/>
      <x:c r="I33" s="4"/>
      <x:c r="J33" s="3"/>
      <x:c r="K33" s="4">
        <x:f>""</x:f>
      </x:c>
      <x:c r="L33" s="1"/>
      <x:c r="M33" s="0" t="s">
        <x:v>95</x:v>
      </x:c>
    </x:row>
    <x:row r="34" spans="1:13" outlineLevel="1">
      <x:c r="A34" s="0" t="s">
        <x:v>17</x:v>
      </x:c>
      <x:c r="B34" s="1"/>
      <x:c r="C34" s="0" t="s">
        <x:v>96</x:v>
      </x:c>
      <x:c r="D34" s="0" t="s">
        <x:v>97</x:v>
      </x:c>
      <x:c r="E34" s="2"/>
      <x:c r="G34" s="3"/>
      <x:c r="H34" s="3"/>
      <x:c r="I34" s="4"/>
      <x:c r="J34" s="3"/>
      <x:c r="K34" s="4">
        <x:f>""</x:f>
      </x:c>
      <x:c r="L34" s="1"/>
      <x:c r="M34" s="0" t="s">
        <x:v>98</x:v>
      </x:c>
    </x:row>
    <x:row r="35" spans="1:13" outlineLevel="1">
      <x:c r="A35" s="0" t="s">
        <x:v>17</x:v>
      </x:c>
      <x:c r="B35" s="1"/>
      <x:c r="C35" s="0" t="s">
        <x:v>99</x:v>
      </x:c>
      <x:c r="D35" s="0" t="s">
        <x:v>100</x:v>
      </x:c>
      <x:c r="E35" s="2"/>
      <x:c r="G35" s="3"/>
      <x:c r="H35" s="3"/>
      <x:c r="I35" s="4"/>
      <x:c r="J35" s="3"/>
      <x:c r="K35" s="4">
        <x:f>""</x:f>
      </x:c>
      <x:c r="L35" s="1"/>
      <x:c r="M35" s="0" t="s">
        <x:v>101</x:v>
      </x:c>
    </x:row>
    <x:row r="36" spans="1:13" outlineLevel="1">
      <x:c r="A36" s="0" t="s">
        <x:v>17</x:v>
      </x:c>
      <x:c r="B36" s="1"/>
      <x:c r="C36" s="0" t="s">
        <x:v>102</x:v>
      </x:c>
      <x:c r="D36" s="0" t="s">
        <x:v>103</x:v>
      </x:c>
      <x:c r="E36" s="2"/>
      <x:c r="G36" s="3"/>
      <x:c r="H36" s="3"/>
      <x:c r="I36" s="4"/>
      <x:c r="J36" s="3"/>
      <x:c r="K36" s="4">
        <x:f>""</x:f>
      </x:c>
      <x:c r="L36" s="1"/>
      <x:c r="M36" s="0" t="s">
        <x:v>104</x:v>
      </x:c>
    </x:row>
    <x:row r="37" spans="1:13" outlineLevel="1">
      <x:c r="A37" s="0" t="s">
        <x:v>17</x:v>
      </x:c>
      <x:c r="B37" s="1"/>
      <x:c r="C37" s="0" t="s">
        <x:v>105</x:v>
      </x:c>
      <x:c r="D37" s="0" t="s">
        <x:v>106</x:v>
      </x:c>
      <x:c r="E37" s="2"/>
      <x:c r="G37" s="3"/>
      <x:c r="H37" s="3"/>
      <x:c r="I37" s="4"/>
      <x:c r="J37" s="3"/>
      <x:c r="K37" s="4">
        <x:f>""</x:f>
      </x:c>
      <x:c r="L37" s="1"/>
      <x:c r="M37" s="0" t="s">
        <x:v>107</x:v>
      </x:c>
    </x:row>
    <x:row r="38" spans="1:13" outlineLevel="1">
      <x:c r="A38" s="0" t="s">
        <x:v>17</x:v>
      </x:c>
      <x:c r="B38" s="1"/>
      <x:c r="C38" s="0" t="s">
        <x:v>108</x:v>
      </x:c>
      <x:c r="D38" s="0" t="s">
        <x:v>109</x:v>
      </x:c>
      <x:c r="E38" s="2"/>
      <x:c r="G38" s="3"/>
      <x:c r="H38" s="3"/>
      <x:c r="I38" s="4"/>
      <x:c r="J38" s="3"/>
      <x:c r="K38" s="4">
        <x:f>""</x:f>
      </x:c>
      <x:c r="L38" s="1"/>
      <x:c r="M38" s="0" t="s">
        <x:v>110</x:v>
      </x:c>
    </x:row>
    <x:row r="39" spans="1:13" outlineLevel="1">
      <x:c r="A39" s="0" t="s">
        <x:v>17</x:v>
      </x:c>
      <x:c r="B39" s="1"/>
      <x:c r="C39" s="0" t="s">
        <x:v>111</x:v>
      </x:c>
      <x:c r="D39" s="0" t="s">
        <x:v>111</x:v>
      </x:c>
      <x:c r="E39" s="2"/>
      <x:c r="G39" s="3"/>
      <x:c r="H39" s="3"/>
      <x:c r="I39" s="4"/>
      <x:c r="J39" s="3"/>
      <x:c r="K39" s="4">
        <x:f>""</x:f>
      </x:c>
      <x:c r="L39" s="1"/>
      <x:c r="M39" s="0" t="s">
        <x:v>112</x:v>
      </x:c>
    </x:row>
    <x:row r="40" spans="1:13" outlineLevel="1">
      <x:c r="A40" s="0" t="s">
        <x:v>17</x:v>
      </x:c>
      <x:c r="B40" s="1"/>
      <x:c r="C40" s="0" t="s">
        <x:v>113</x:v>
      </x:c>
      <x:c r="D40" s="0" t="s">
        <x:v>114</x:v>
      </x:c>
      <x:c r="E40" s="2"/>
      <x:c r="G40" s="3"/>
      <x:c r="H40" s="3"/>
      <x:c r="I40" s="4"/>
      <x:c r="J40" s="3"/>
      <x:c r="K40" s="4">
        <x:f>""</x:f>
      </x:c>
      <x:c r="L40" s="1"/>
      <x:c r="M40" s="0" t="s">
        <x:v>115</x:v>
      </x:c>
    </x:row>
    <x:row r="41" spans="1:13" outlineLevel="1">
      <x:c r="A41" s="0" t="s">
        <x:v>17</x:v>
      </x:c>
      <x:c r="B41" s="1"/>
      <x:c r="C41" s="0" t="s">
        <x:v>116</x:v>
      </x:c>
      <x:c r="D41" s="0" t="s">
        <x:v>117</x:v>
      </x:c>
      <x:c r="E41" s="2"/>
      <x:c r="G41" s="3"/>
      <x:c r="H41" s="3"/>
      <x:c r="I41" s="4"/>
      <x:c r="J41" s="3"/>
      <x:c r="K41" s="4">
        <x:f>""</x:f>
      </x:c>
      <x:c r="L41" s="1"/>
      <x:c r="M41" s="0" t="s">
        <x:v>118</x:v>
      </x:c>
    </x:row>
    <x:row r="42" spans="1:13" outlineLevel="1">
      <x:c r="A42" s="0" t="s">
        <x:v>17</x:v>
      </x:c>
      <x:c r="B42" s="1"/>
      <x:c r="C42" s="0" t="s">
        <x:v>119</x:v>
      </x:c>
      <x:c r="D42" s="0" t="s">
        <x:v>120</x:v>
      </x:c>
      <x:c r="E42" s="2"/>
      <x:c r="G42" s="3"/>
      <x:c r="H42" s="3"/>
      <x:c r="I42" s="4"/>
      <x:c r="J42" s="3"/>
      <x:c r="K42" s="4">
        <x:f>""</x:f>
      </x:c>
      <x:c r="L42" s="1"/>
      <x:c r="M42" s="0" t="s">
        <x:v>121</x:v>
      </x:c>
    </x:row>
    <x:row r="43" spans="1:13" outlineLevel="1">
      <x:c r="A43" s="0" t="s">
        <x:v>17</x:v>
      </x:c>
      <x:c r="B43" s="1"/>
      <x:c r="C43" s="0" t="s">
        <x:v>122</x:v>
      </x:c>
      <x:c r="D43" s="0" t="s">
        <x:v>123</x:v>
      </x:c>
      <x:c r="E43" s="2"/>
      <x:c r="G43" s="3"/>
      <x:c r="H43" s="3"/>
      <x:c r="I43" s="4"/>
      <x:c r="J43" s="3"/>
      <x:c r="K43" s="4">
        <x:f>""</x:f>
      </x:c>
      <x:c r="L43" s="1"/>
      <x:c r="M43" s="0" t="s">
        <x:v>124</x:v>
      </x:c>
    </x:row>
    <x:row r="44" spans="1:13" outlineLevel="2">
      <x:c r="A44" s="0" t="s">
        <x:v>14</x:v>
      </x:c>
      <x:c r="B44" s="1" t="s">
        <x:v>125</x:v>
      </x:c>
      <x:c r="C44" s="0" t="s">
        <x:v>126</x:v>
      </x:c>
      <x:c r="E44" s="2"/>
      <x:c r="G44" s="3"/>
      <x:c r="H44" s="3"/>
      <x:c r="I44" s="4"/>
      <x:c r="J44" s="3"/>
      <x:c r="K44" s="4">
        <x:f>""</x:f>
      </x:c>
      <x:c r="L44" s="1"/>
    </x:row>
    <x:row r="45" spans="1:13" outlineLevel="2">
      <x:c r="A45" s="0" t="s">
        <x:v>17</x:v>
      </x:c>
      <x:c r="B45" s="1"/>
      <x:c r="C45" s="0" t="s">
        <x:v>127</x:v>
      </x:c>
      <x:c r="D45" s="0" t="s">
        <x:v>128</x:v>
      </x:c>
      <x:c r="E45" s="2"/>
      <x:c r="G45" s="3"/>
      <x:c r="H45" s="3"/>
      <x:c r="I45" s="4"/>
      <x:c r="J45" s="3"/>
      <x:c r="K45" s="4">
        <x:f>""</x:f>
      </x:c>
      <x:c r="L45" s="1"/>
      <x:c r="M45" s="0" t="s">
        <x:v>129</x:v>
      </x:c>
    </x:row>
    <x:row r="46" spans="1:13" outlineLevel="2">
      <x:c r="A46" s="0" t="s">
        <x:v>130</x:v>
      </x:c>
      <x:c r="B46" s="1" t="s">
        <x:v>131</x:v>
      </x:c>
      <x:c r="C46" s="0" t="s">
        <x:v>126</x:v>
      </x:c>
      <x:c r="D46" s="0" t="s">
        <x:v>132</x:v>
      </x:c>
      <x:c r="E46" s="2">
        <x:v>1</x:v>
      </x:c>
      <x:c r="F46" s="0" t="s">
        <x:v>133</x:v>
      </x:c>
      <x:c r="G46" s="3">
        <x:f>SUMPRODUCT((Kalkulation!A2:A50000=B46)*Kalkulation!D2:D50000)</x:f>
      </x:c>
      <x:c r="H46" s="3">
        <x:f>G46*E46</x:f>
      </x:c>
      <x:c r="I46" s="4"/>
      <x:c r="J46" s="3">
        <x:f>H46*(1-I46)</x:f>
      </x:c>
      <x:c r="K46" s="4">
        <x:f>B2</x:f>
      </x:c>
      <x:c r="L46" s="1" t="s">
        <x:v>134</x:v>
      </x:c>
      <x:c r="M46" s="0" t="s">
        <x:v>135</x:v>
      </x:c>
    </x:row>
    <x:row r="47" spans="1:13" outlineLevel="2">
      <x:c r="A47" s="0" t="s">
        <x:v>130</x:v>
      </x:c>
      <x:c r="B47" s="1" t="s">
        <x:v>136</x:v>
      </x:c>
      <x:c r="C47" s="0" t="s">
        <x:v>137</x:v>
      </x:c>
      <x:c r="D47" s="0" t="s">
        <x:v>138</x:v>
      </x:c>
      <x:c r="E47" s="2">
        <x:v>1</x:v>
      </x:c>
      <x:c r="F47" s="0" t="s">
        <x:v>133</x:v>
      </x:c>
      <x:c r="G47" s="3">
        <x:f>SUMPRODUCT((Kalkulation!A2:A50000=B47)*Kalkulation!D2:D50000)</x:f>
      </x:c>
      <x:c r="H47" s="3">
        <x:f>G47*E47</x:f>
      </x:c>
      <x:c r="I47" s="4"/>
      <x:c r="J47" s="3">
        <x:f>H47*(1-I47)</x:f>
      </x:c>
      <x:c r="K47" s="4">
        <x:f>B2</x:f>
      </x:c>
      <x:c r="L47" s="1" t="s">
        <x:v>134</x:v>
      </x:c>
      <x:c r="M47" s="0" t="s">
        <x:v>139</x:v>
      </x:c>
    </x:row>
    <x:row r="48" spans="1:13" outlineLevel="2">
      <x:c r="A48" s="0" t="s">
        <x:v>130</x:v>
      </x:c>
      <x:c r="B48" s="1" t="s">
        <x:v>140</x:v>
      </x:c>
      <x:c r="C48" s="0" t="s">
        <x:v>141</x:v>
      </x:c>
      <x:c r="D48" s="0" t="s">
        <x:v>142</x:v>
      </x:c>
      <x:c r="E48" s="2">
        <x:v>1</x:v>
      </x:c>
      <x:c r="F48" s="0" t="s">
        <x:v>133</x:v>
      </x:c>
      <x:c r="G48" s="3">
        <x:f>SUMPRODUCT((Kalkulation!A2:A50000=B48)*Kalkulation!D2:D50000)</x:f>
      </x:c>
      <x:c r="H48" s="3">
        <x:f>G48*E48</x:f>
      </x:c>
      <x:c r="I48" s="4"/>
      <x:c r="J48" s="3">
        <x:f>H48*(1-I48)</x:f>
      </x:c>
      <x:c r="K48" s="4">
        <x:f>B2</x:f>
      </x:c>
      <x:c r="L48" s="1" t="s">
        <x:v>134</x:v>
      </x:c>
      <x:c r="M48" s="0" t="s">
        <x:v>143</x:v>
      </x:c>
    </x:row>
    <x:row r="49" spans="1:13" outlineLevel="2">
      <x:c r="A49" s="0" t="s">
        <x:v>130</x:v>
      </x:c>
      <x:c r="B49" s="1" t="s">
        <x:v>144</x:v>
      </x:c>
      <x:c r="C49" s="0" t="s">
        <x:v>145</x:v>
      </x:c>
      <x:c r="D49" s="0" t="s">
        <x:v>146</x:v>
      </x:c>
      <x:c r="E49" s="2">
        <x:v>250</x:v>
      </x:c>
      <x:c r="F49" s="0" t="s">
        <x:v>147</x:v>
      </x:c>
      <x:c r="G49" s="3">
        <x:f>SUMPRODUCT((Kalkulation!A2:A50000=B49)*Kalkulation!D2:D50000)</x:f>
      </x:c>
      <x:c r="H49" s="3">
        <x:f>G49*E49</x:f>
      </x:c>
      <x:c r="I49" s="4"/>
      <x:c r="J49" s="3">
        <x:f>H49*(1-I49)</x:f>
      </x:c>
      <x:c r="K49" s="4">
        <x:f>B2</x:f>
      </x:c>
      <x:c r="L49" s="1" t="s">
        <x:v>134</x:v>
      </x:c>
      <x:c r="M49" s="0" t="s">
        <x:v>148</x:v>
      </x:c>
    </x:row>
    <x:row r="50" spans="1:13" outlineLevel="2">
      <x:c r="A50" s="0" t="s">
        <x:v>130</x:v>
      </x:c>
      <x:c r="B50" s="1" t="s">
        <x:v>149</x:v>
      </x:c>
      <x:c r="C50" s="0" t="s">
        <x:v>150</x:v>
      </x:c>
      <x:c r="D50" s="0" t="s">
        <x:v>151</x:v>
      </x:c>
      <x:c r="E50" s="2">
        <x:v>250</x:v>
      </x:c>
      <x:c r="F50" s="0" t="s">
        <x:v>147</x:v>
      </x:c>
      <x:c r="G50" s="3">
        <x:f>SUMPRODUCT((Kalkulation!A2:A50000=B50)*Kalkulation!D2:D50000)</x:f>
      </x:c>
      <x:c r="H50" s="3">
        <x:f>G50*E50</x:f>
      </x:c>
      <x:c r="I50" s="4"/>
      <x:c r="J50" s="3">
        <x:f>H50*(1-I50)</x:f>
      </x:c>
      <x:c r="K50" s="4">
        <x:f>B2</x:f>
      </x:c>
      <x:c r="L50" s="1" t="s">
        <x:v>134</x:v>
      </x:c>
      <x:c r="M50" s="0" t="s">
        <x:v>152</x:v>
      </x:c>
    </x:row>
    <x:row r="51" spans="1:13" outlineLevel="2">
      <x:c r="A51" s="0" t="s">
        <x:v>130</x:v>
      </x:c>
      <x:c r="B51" s="1" t="s">
        <x:v>153</x:v>
      </x:c>
      <x:c r="C51" s="0" t="s">
        <x:v>154</x:v>
      </x:c>
      <x:c r="D51" s="0" t="s">
        <x:v>154</x:v>
      </x:c>
      <x:c r="E51" s="2">
        <x:v>250</x:v>
      </x:c>
      <x:c r="F51" s="0" t="s">
        <x:v>147</x:v>
      </x:c>
      <x:c r="G51" s="3">
        <x:f>SUMPRODUCT((Kalkulation!A2:A50000=B51)*Kalkulation!D2:D50000)</x:f>
      </x:c>
      <x:c r="H51" s="3">
        <x:f>G51*E51</x:f>
      </x:c>
      <x:c r="I51" s="4"/>
      <x:c r="J51" s="3">
        <x:f>H51*(1-I51)</x:f>
      </x:c>
      <x:c r="K51" s="4">
        <x:f>B2</x:f>
      </x:c>
      <x:c r="L51" s="1" t="s">
        <x:v>134</x:v>
      </x:c>
      <x:c r="M51" s="0" t="s">
        <x:v>155</x:v>
      </x:c>
    </x:row>
    <x:row r="52" spans="1:13" s="5" customFormat="1" outlineLevel="1">
      <x:c r="A52" s="12" t="s">
        <x:v>156</x:v>
      </x:c>
      <x:c r="B52" s="13" t="s">
        <x:v>125</x:v>
      </x:c>
      <x:c r="C52" s="12" t="s">
        <x:v>126</x:v>
      </x:c>
      <x:c r="D52" s="12"/>
      <x:c r="E52" s="14"/>
      <x:c r="F52" s="12"/>
      <x:c r="G52" s="15"/>
      <x:c r="H52" s="15">
        <x:f>SUMIF(L:L,"68685700-72d6-4abc-9d5a-f76b41762d1e",J:J)</x:f>
      </x:c>
      <x:c r="I52" s="16"/>
      <x:c r="J52" s="15">
        <x:f>H52*(1-I52)</x:f>
      </x:c>
      <x:c r="K52" s="16"/>
      <x:c r="L52" s="6" t="s">
        <x:v>157</x:v>
      </x:c>
      <x:c r="M52" s="5" t="s">
        <x:v>134</x:v>
      </x:c>
    </x:row>
    <x:row r="53" spans="1:13" outlineLevel="2">
      <x:c r="A53" s="0" t="s">
        <x:v>14</x:v>
      </x:c>
      <x:c r="B53" s="1" t="s">
        <x:v>158</x:v>
      </x:c>
      <x:c r="C53" s="0" t="s">
        <x:v>159</x:v>
      </x:c>
      <x:c r="E53" s="2"/>
      <x:c r="G53" s="3"/>
      <x:c r="H53" s="3"/>
      <x:c r="I53" s="4"/>
      <x:c r="J53" s="3"/>
      <x:c r="K53" s="4">
        <x:f>""</x:f>
      </x:c>
      <x:c r="L53" s="1"/>
    </x:row>
    <x:row r="54" spans="1:13" outlineLevel="3">
      <x:c r="A54" s="0" t="s">
        <x:v>14</x:v>
      </x:c>
      <x:c r="B54" s="1" t="s">
        <x:v>160</x:v>
      </x:c>
      <x:c r="C54" s="0" t="s">
        <x:v>159</x:v>
      </x:c>
      <x:c r="E54" s="2"/>
      <x:c r="G54" s="3"/>
      <x:c r="H54" s="3"/>
      <x:c r="I54" s="4"/>
      <x:c r="J54" s="3"/>
      <x:c r="K54" s="4">
        <x:f>""</x:f>
      </x:c>
      <x:c r="L54" s="1"/>
    </x:row>
    <x:row r="55" spans="1:13" outlineLevel="3">
      <x:c r="A55" s="0" t="s">
        <x:v>130</x:v>
      </x:c>
      <x:c r="B55" s="1" t="s">
        <x:v>161</x:v>
      </x:c>
      <x:c r="C55" s="0" t="s">
        <x:v>162</x:v>
      </x:c>
      <x:c r="D55" s="0" t="s">
        <x:v>163</x:v>
      </x:c>
      <x:c r="E55" s="2">
        <x:v>10</x:v>
      </x:c>
      <x:c r="F55" s="0" t="s">
        <x:v>164</x:v>
      </x:c>
      <x:c r="G55" s="3">
        <x:f>SUMPRODUCT((Kalkulation!A2:A50000=B55)*Kalkulation!D2:D50000)</x:f>
      </x:c>
      <x:c r="H55" s="3">
        <x:f>G55*E55</x:f>
      </x:c>
      <x:c r="I55" s="4"/>
      <x:c r="J55" s="3">
        <x:f>H55*(1-I55)</x:f>
      </x:c>
      <x:c r="K55" s="4">
        <x:f>B2</x:f>
      </x:c>
      <x:c r="L55" s="1" t="s">
        <x:v>165</x:v>
      </x:c>
      <x:c r="M55" s="0" t="s">
        <x:v>166</x:v>
      </x:c>
    </x:row>
    <x:row r="56" spans="1:13" outlineLevel="3">
      <x:c r="A56" s="0" t="s">
        <x:v>130</x:v>
      </x:c>
      <x:c r="B56" s="1" t="s">
        <x:v>167</x:v>
      </x:c>
      <x:c r="C56" s="0" t="s">
        <x:v>168</x:v>
      </x:c>
      <x:c r="D56" s="0" t="s">
        <x:v>169</x:v>
      </x:c>
      <x:c r="E56" s="2">
        <x:v>60</x:v>
      </x:c>
      <x:c r="F56" s="0" t="s">
        <x:v>164</x:v>
      </x:c>
      <x:c r="G56" s="3">
        <x:f>SUMPRODUCT((Kalkulation!A2:A50000=B56)*Kalkulation!D2:D50000)</x:f>
      </x:c>
      <x:c r="H56" s="3">
        <x:f>G56*E56</x:f>
      </x:c>
      <x:c r="I56" s="4"/>
      <x:c r="J56" s="3">
        <x:f>H56*(1-I56)</x:f>
      </x:c>
      <x:c r="K56" s="4">
        <x:f>B2</x:f>
      </x:c>
      <x:c r="L56" s="1" t="s">
        <x:v>165</x:v>
      </x:c>
      <x:c r="M56" s="0" t="s">
        <x:v>170</x:v>
      </x:c>
    </x:row>
    <x:row r="57" spans="1:13" outlineLevel="3">
      <x:c r="A57" s="0" t="s">
        <x:v>130</x:v>
      </x:c>
      <x:c r="B57" s="1" t="s">
        <x:v>171</x:v>
      </x:c>
      <x:c r="C57" s="0" t="s">
        <x:v>172</x:v>
      </x:c>
      <x:c r="D57" s="0" t="s">
        <x:v>173</x:v>
      </x:c>
      <x:c r="E57" s="2">
        <x:v>1</x:v>
      </x:c>
      <x:c r="F57" s="0" t="s">
        <x:v>174</x:v>
      </x:c>
      <x:c r="G57" s="3">
        <x:f>SUMPRODUCT((Kalkulation!A2:A50000=B57)*Kalkulation!D2:D50000)</x:f>
      </x:c>
      <x:c r="H57" s="3">
        <x:f>G57*E57</x:f>
      </x:c>
      <x:c r="I57" s="4"/>
      <x:c r="J57" s="3">
        <x:f>H57*(1-I57)</x:f>
      </x:c>
      <x:c r="K57" s="4">
        <x:f>B2</x:f>
      </x:c>
      <x:c r="L57" s="1" t="s">
        <x:v>165</x:v>
      </x:c>
      <x:c r="M57" s="0" t="s">
        <x:v>175</x:v>
      </x:c>
    </x:row>
    <x:row r="58" spans="1:13" outlineLevel="3">
      <x:c r="A58" s="0" t="s">
        <x:v>130</x:v>
      </x:c>
      <x:c r="B58" s="1" t="s">
        <x:v>176</x:v>
      </x:c>
      <x:c r="C58" s="0" t="s">
        <x:v>177</x:v>
      </x:c>
      <x:c r="D58" s="0" t="s">
        <x:v>178</x:v>
      </x:c>
      <x:c r="E58" s="2">
        <x:v>1</x:v>
      </x:c>
      <x:c r="F58" s="0" t="s">
        <x:v>174</x:v>
      </x:c>
      <x:c r="G58" s="3">
        <x:f>SUMPRODUCT((Kalkulation!A2:A50000=B58)*Kalkulation!D2:D50000)</x:f>
      </x:c>
      <x:c r="H58" s="3">
        <x:f>G58*E58</x:f>
      </x:c>
      <x:c r="I58" s="4"/>
      <x:c r="J58" s="3">
        <x:f>H58*(1-I58)</x:f>
      </x:c>
      <x:c r="K58" s="4">
        <x:f>B2</x:f>
      </x:c>
      <x:c r="L58" s="1" t="s">
        <x:v>165</x:v>
      </x:c>
      <x:c r="M58" s="0" t="s">
        <x:v>179</x:v>
      </x:c>
    </x:row>
    <x:row r="59" spans="1:13" outlineLevel="3">
      <x:c r="A59" s="0" t="s">
        <x:v>130</x:v>
      </x:c>
      <x:c r="B59" s="1" t="s">
        <x:v>180</x:v>
      </x:c>
      <x:c r="C59" s="0" t="s">
        <x:v>181</x:v>
      </x:c>
      <x:c r="D59" s="0" t="s">
        <x:v>182</x:v>
      </x:c>
      <x:c r="E59" s="2">
        <x:v>1</x:v>
      </x:c>
      <x:c r="F59" s="0" t="s">
        <x:v>174</x:v>
      </x:c>
      <x:c r="G59" s="3">
        <x:f>SUMPRODUCT((Kalkulation!A2:A50000=B59)*Kalkulation!D2:D50000)</x:f>
      </x:c>
      <x:c r="H59" s="3">
        <x:f>G59*E59</x:f>
      </x:c>
      <x:c r="I59" s="4"/>
      <x:c r="J59" s="3">
        <x:f>H59*(1-I59)</x:f>
      </x:c>
      <x:c r="K59" s="4">
        <x:f>B2</x:f>
      </x:c>
      <x:c r="L59" s="1" t="s">
        <x:v>165</x:v>
      </x:c>
      <x:c r="M59" s="0" t="s">
        <x:v>183</x:v>
      </x:c>
    </x:row>
    <x:row r="60" spans="1:13" outlineLevel="3">
      <x:c r="A60" s="0" t="s">
        <x:v>130</x:v>
      </x:c>
      <x:c r="B60" s="1" t="s">
        <x:v>184</x:v>
      </x:c>
      <x:c r="C60" s="0" t="s">
        <x:v>185</x:v>
      </x:c>
      <x:c r="D60" s="0" t="s">
        <x:v>186</x:v>
      </x:c>
      <x:c r="E60" s="2">
        <x:v>1</x:v>
      </x:c>
      <x:c r="F60" s="0" t="s">
        <x:v>174</x:v>
      </x:c>
      <x:c r="G60" s="3">
        <x:f>SUMPRODUCT((Kalkulation!A2:A50000=B60)*Kalkulation!D2:D50000)</x:f>
      </x:c>
      <x:c r="H60" s="3">
        <x:f>G60*E60</x:f>
      </x:c>
      <x:c r="I60" s="4"/>
      <x:c r="J60" s="3">
        <x:f>H60*(1-I60)</x:f>
      </x:c>
      <x:c r="K60" s="4">
        <x:f>B2</x:f>
      </x:c>
      <x:c r="L60" s="1" t="s">
        <x:v>165</x:v>
      </x:c>
      <x:c r="M60" s="0" t="s">
        <x:v>187</x:v>
      </x:c>
    </x:row>
    <x:row r="61" spans="1:13" outlineLevel="3">
      <x:c r="A61" s="0" t="s">
        <x:v>130</x:v>
      </x:c>
      <x:c r="B61" s="1" t="s">
        <x:v>188</x:v>
      </x:c>
      <x:c r="C61" s="0" t="s">
        <x:v>189</x:v>
      </x:c>
      <x:c r="D61" s="0" t="s">
        <x:v>190</x:v>
      </x:c>
      <x:c r="E61" s="2">
        <x:v>3</x:v>
      </x:c>
      <x:c r="F61" s="0" t="s">
        <x:v>174</x:v>
      </x:c>
      <x:c r="G61" s="3">
        <x:f>SUMPRODUCT((Kalkulation!A2:A50000=B61)*Kalkulation!D2:D50000)</x:f>
      </x:c>
      <x:c r="H61" s="3">
        <x:f>G61*E61</x:f>
      </x:c>
      <x:c r="I61" s="4"/>
      <x:c r="J61" s="3">
        <x:f>H61*(1-I61)</x:f>
      </x:c>
      <x:c r="K61" s="4">
        <x:f>B2</x:f>
      </x:c>
      <x:c r="L61" s="1" t="s">
        <x:v>165</x:v>
      </x:c>
      <x:c r="M61" s="0" t="s">
        <x:v>191</x:v>
      </x:c>
    </x:row>
    <x:row r="62" spans="1:13" outlineLevel="3">
      <x:c r="A62" s="0" t="s">
        <x:v>130</x:v>
      </x:c>
      <x:c r="B62" s="1" t="s">
        <x:v>192</x:v>
      </x:c>
      <x:c r="C62" s="0" t="s">
        <x:v>193</x:v>
      </x:c>
      <x:c r="D62" s="0" t="s">
        <x:v>194</x:v>
      </x:c>
      <x:c r="E62" s="2">
        <x:v>8</x:v>
      </x:c>
      <x:c r="F62" s="0" t="s">
        <x:v>174</x:v>
      </x:c>
      <x:c r="G62" s="3">
        <x:f>SUMPRODUCT((Kalkulation!A2:A50000=B62)*Kalkulation!D2:D50000)</x:f>
      </x:c>
      <x:c r="H62" s="3">
        <x:f>G62*E62</x:f>
      </x:c>
      <x:c r="I62" s="4"/>
      <x:c r="J62" s="3">
        <x:f>H62*(1-I62)</x:f>
      </x:c>
      <x:c r="K62" s="4">
        <x:f>B2</x:f>
      </x:c>
      <x:c r="L62" s="1" t="s">
        <x:v>165</x:v>
      </x:c>
      <x:c r="M62" s="0" t="s">
        <x:v>195</x:v>
      </x:c>
    </x:row>
    <x:row r="63" spans="1:13" outlineLevel="3">
      <x:c r="A63" s="0" t="s">
        <x:v>130</x:v>
      </x:c>
      <x:c r="B63" s="1" t="s">
        <x:v>196</x:v>
      </x:c>
      <x:c r="C63" s="0" t="s">
        <x:v>197</x:v>
      </x:c>
      <x:c r="D63" s="0" t="s">
        <x:v>198</x:v>
      </x:c>
      <x:c r="E63" s="2">
        <x:v>1</x:v>
      </x:c>
      <x:c r="F63" s="0" t="s">
        <x:v>174</x:v>
      </x:c>
      <x:c r="G63" s="3">
        <x:f>SUMPRODUCT((Kalkulation!A2:A50000=B63)*Kalkulation!D2:D50000)</x:f>
      </x:c>
      <x:c r="H63" s="3">
        <x:f>G63*E63</x:f>
      </x:c>
      <x:c r="I63" s="4"/>
      <x:c r="J63" s="3">
        <x:f>H63*(1-I63)</x:f>
      </x:c>
      <x:c r="K63" s="4">
        <x:f>B2</x:f>
      </x:c>
      <x:c r="L63" s="1" t="s">
        <x:v>165</x:v>
      </x:c>
      <x:c r="M63" s="0" t="s">
        <x:v>199</x:v>
      </x:c>
    </x:row>
    <x:row r="64" spans="1:13" outlineLevel="3">
      <x:c r="A64" s="0" t="s">
        <x:v>130</x:v>
      </x:c>
      <x:c r="B64" s="1" t="s">
        <x:v>200</x:v>
      </x:c>
      <x:c r="C64" s="0" t="s">
        <x:v>201</x:v>
      </x:c>
      <x:c r="D64" s="0" t="s">
        <x:v>202</x:v>
      </x:c>
      <x:c r="E64" s="2">
        <x:v>1</x:v>
      </x:c>
      <x:c r="F64" s="0" t="s">
        <x:v>174</x:v>
      </x:c>
      <x:c r="G64" s="3">
        <x:f>SUMPRODUCT((Kalkulation!A2:A50000=B64)*Kalkulation!D2:D50000)</x:f>
      </x:c>
      <x:c r="H64" s="3">
        <x:f>G64*E64</x:f>
      </x:c>
      <x:c r="I64" s="4"/>
      <x:c r="J64" s="3">
        <x:f>H64*(1-I64)</x:f>
      </x:c>
      <x:c r="K64" s="4">
        <x:f>B2</x:f>
      </x:c>
      <x:c r="L64" s="1" t="s">
        <x:v>165</x:v>
      </x:c>
      <x:c r="M64" s="0" t="s">
        <x:v>203</x:v>
      </x:c>
    </x:row>
    <x:row r="65" spans="1:13" outlineLevel="3">
      <x:c r="A65" s="0" t="s">
        <x:v>130</x:v>
      </x:c>
      <x:c r="B65" s="1" t="s">
        <x:v>204</x:v>
      </x:c>
      <x:c r="C65" s="0" t="s">
        <x:v>205</x:v>
      </x:c>
      <x:c r="D65" s="0" t="s">
        <x:v>206</x:v>
      </x:c>
      <x:c r="E65" s="2">
        <x:v>1</x:v>
      </x:c>
      <x:c r="F65" s="0" t="s">
        <x:v>174</x:v>
      </x:c>
      <x:c r="G65" s="3">
        <x:f>SUMPRODUCT((Kalkulation!A2:A50000=B65)*Kalkulation!D2:D50000)</x:f>
      </x:c>
      <x:c r="H65" s="3">
        <x:f>G65*E65</x:f>
      </x:c>
      <x:c r="I65" s="4"/>
      <x:c r="J65" s="3">
        <x:f>H65*(1-I65)</x:f>
      </x:c>
      <x:c r="K65" s="4">
        <x:f>B2</x:f>
      </x:c>
      <x:c r="L65" s="1" t="s">
        <x:v>165</x:v>
      </x:c>
      <x:c r="M65" s="0" t="s">
        <x:v>207</x:v>
      </x:c>
    </x:row>
    <x:row r="66" spans="1:13" outlineLevel="3">
      <x:c r="A66" s="0" t="s">
        <x:v>130</x:v>
      </x:c>
      <x:c r="B66" s="1" t="s">
        <x:v>208</x:v>
      </x:c>
      <x:c r="C66" s="0" t="s">
        <x:v>209</x:v>
      </x:c>
      <x:c r="D66" s="0" t="s">
        <x:v>210</x:v>
      </x:c>
      <x:c r="E66" s="2">
        <x:v>1</x:v>
      </x:c>
      <x:c r="F66" s="0" t="s">
        <x:v>174</x:v>
      </x:c>
      <x:c r="G66" s="3">
        <x:f>SUMPRODUCT((Kalkulation!A2:A50000=B66)*Kalkulation!D2:D50000)</x:f>
      </x:c>
      <x:c r="H66" s="3">
        <x:f>G66*E66</x:f>
      </x:c>
      <x:c r="I66" s="4"/>
      <x:c r="J66" s="3">
        <x:f>H66*(1-I66)</x:f>
      </x:c>
      <x:c r="K66" s="4">
        <x:f>B2</x:f>
      </x:c>
      <x:c r="L66" s="1" t="s">
        <x:v>165</x:v>
      </x:c>
      <x:c r="M66" s="0" t="s">
        <x:v>211</x:v>
      </x:c>
    </x:row>
    <x:row r="67" spans="1:13" outlineLevel="3">
      <x:c r="A67" s="0" t="s">
        <x:v>130</x:v>
      </x:c>
      <x:c r="B67" s="1" t="s">
        <x:v>212</x:v>
      </x:c>
      <x:c r="C67" s="0" t="s">
        <x:v>213</x:v>
      </x:c>
      <x:c r="D67" s="0" t="s">
        <x:v>214</x:v>
      </x:c>
      <x:c r="E67" s="2">
        <x:v>3</x:v>
      </x:c>
      <x:c r="F67" s="0" t="s">
        <x:v>174</x:v>
      </x:c>
      <x:c r="G67" s="3">
        <x:f>SUMPRODUCT((Kalkulation!A2:A50000=B67)*Kalkulation!D2:D50000)</x:f>
      </x:c>
      <x:c r="H67" s="3">
        <x:f>G67*E67</x:f>
      </x:c>
      <x:c r="I67" s="4"/>
      <x:c r="J67" s="3">
        <x:f>H67*(1-I67)</x:f>
      </x:c>
      <x:c r="K67" s="4">
        <x:f>B2</x:f>
      </x:c>
      <x:c r="L67" s="1" t="s">
        <x:v>165</x:v>
      </x:c>
      <x:c r="M67" s="0" t="s">
        <x:v>215</x:v>
      </x:c>
    </x:row>
    <x:row r="68" spans="1:13" outlineLevel="3">
      <x:c r="A68" s="0" t="s">
        <x:v>130</x:v>
      </x:c>
      <x:c r="B68" s="1" t="s">
        <x:v>216</x:v>
      </x:c>
      <x:c r="C68" s="0" t="s">
        <x:v>217</x:v>
      </x:c>
      <x:c r="D68" s="0" t="s">
        <x:v>218</x:v>
      </x:c>
      <x:c r="E68" s="2">
        <x:v>1</x:v>
      </x:c>
      <x:c r="F68" s="0" t="s">
        <x:v>174</x:v>
      </x:c>
      <x:c r="G68" s="3">
        <x:f>SUMPRODUCT((Kalkulation!A2:A50000=B68)*Kalkulation!D2:D50000)</x:f>
      </x:c>
      <x:c r="H68" s="3">
        <x:f>G68*E68</x:f>
      </x:c>
      <x:c r="I68" s="4"/>
      <x:c r="J68" s="3">
        <x:f>H68*(1-I68)</x:f>
      </x:c>
      <x:c r="K68" s="4">
        <x:f>B2</x:f>
      </x:c>
      <x:c r="L68" s="1" t="s">
        <x:v>165</x:v>
      </x:c>
      <x:c r="M68" s="0" t="s">
        <x:v>219</x:v>
      </x:c>
    </x:row>
    <x:row r="69" spans="1:13" outlineLevel="3">
      <x:c r="A69" s="0" t="s">
        <x:v>130</x:v>
      </x:c>
      <x:c r="B69" s="1" t="s">
        <x:v>220</x:v>
      </x:c>
      <x:c r="C69" s="0" t="s">
        <x:v>213</x:v>
      </x:c>
      <x:c r="D69" s="0" t="s">
        <x:v>221</x:v>
      </x:c>
      <x:c r="E69" s="2">
        <x:v>1</x:v>
      </x:c>
      <x:c r="F69" s="0" t="s">
        <x:v>174</x:v>
      </x:c>
      <x:c r="G69" s="3">
        <x:f>SUMPRODUCT((Kalkulation!A2:A50000=B69)*Kalkulation!D2:D50000)</x:f>
      </x:c>
      <x:c r="H69" s="3">
        <x:f>G69*E69</x:f>
      </x:c>
      <x:c r="I69" s="4"/>
      <x:c r="J69" s="3">
        <x:f>H69*(1-I69)</x:f>
      </x:c>
      <x:c r="K69" s="4">
        <x:f>B2</x:f>
      </x:c>
      <x:c r="L69" s="1" t="s">
        <x:v>165</x:v>
      </x:c>
      <x:c r="M69" s="0" t="s">
        <x:v>222</x:v>
      </x:c>
    </x:row>
    <x:row r="70" spans="1:13" outlineLevel="3">
      <x:c r="A70" s="0" t="s">
        <x:v>130</x:v>
      </x:c>
      <x:c r="B70" s="1" t="s">
        <x:v>223</x:v>
      </x:c>
      <x:c r="C70" s="0" t="s">
        <x:v>224</x:v>
      </x:c>
      <x:c r="D70" s="0" t="s">
        <x:v>225</x:v>
      </x:c>
      <x:c r="E70" s="2">
        <x:v>1</x:v>
      </x:c>
      <x:c r="F70" s="0" t="s">
        <x:v>174</x:v>
      </x:c>
      <x:c r="G70" s="3">
        <x:f>SUMPRODUCT((Kalkulation!A2:A50000=B70)*Kalkulation!D2:D50000)</x:f>
      </x:c>
      <x:c r="H70" s="3">
        <x:f>G70*E70</x:f>
      </x:c>
      <x:c r="I70" s="4"/>
      <x:c r="J70" s="3">
        <x:f>H70*(1-I70)</x:f>
      </x:c>
      <x:c r="K70" s="4">
        <x:f>B2</x:f>
      </x:c>
      <x:c r="L70" s="1" t="s">
        <x:v>165</x:v>
      </x:c>
      <x:c r="M70" s="0" t="s">
        <x:v>226</x:v>
      </x:c>
    </x:row>
    <x:row r="71" spans="1:13" outlineLevel="3">
      <x:c r="A71" s="0" t="s">
        <x:v>130</x:v>
      </x:c>
      <x:c r="B71" s="1" t="s">
        <x:v>227</x:v>
      </x:c>
      <x:c r="C71" s="0" t="s">
        <x:v>228</x:v>
      </x:c>
      <x:c r="D71" s="0" t="s">
        <x:v>229</x:v>
      </x:c>
      <x:c r="E71" s="2">
        <x:v>20</x:v>
      </x:c>
      <x:c r="F71" s="0" t="s">
        <x:v>174</x:v>
      </x:c>
      <x:c r="G71" s="3">
        <x:f>SUMPRODUCT((Kalkulation!A2:A50000=B71)*Kalkulation!D2:D50000)</x:f>
      </x:c>
      <x:c r="H71" s="3">
        <x:f>G71*E71</x:f>
      </x:c>
      <x:c r="I71" s="4"/>
      <x:c r="J71" s="3">
        <x:f>H71*(1-I71)</x:f>
      </x:c>
      <x:c r="K71" s="4">
        <x:f>B2</x:f>
      </x:c>
      <x:c r="L71" s="1" t="s">
        <x:v>165</x:v>
      </x:c>
      <x:c r="M71" s="0" t="s">
        <x:v>230</x:v>
      </x:c>
    </x:row>
    <x:row r="72" spans="1:13" outlineLevel="3">
      <x:c r="A72" s="0" t="s">
        <x:v>130</x:v>
      </x:c>
      <x:c r="B72" s="1" t="s">
        <x:v>231</x:v>
      </x:c>
      <x:c r="C72" s="0" t="s">
        <x:v>232</x:v>
      </x:c>
      <x:c r="D72" s="0" t="s">
        <x:v>233</x:v>
      </x:c>
      <x:c r="E72" s="2">
        <x:v>250</x:v>
      </x:c>
      <x:c r="F72" s="0" t="s">
        <x:v>147</x:v>
      </x:c>
      <x:c r="G72" s="3">
        <x:f>SUMPRODUCT((Kalkulation!A2:A50000=B72)*Kalkulation!D2:D50000)</x:f>
      </x:c>
      <x:c r="H72" s="3">
        <x:f>G72*E72</x:f>
      </x:c>
      <x:c r="I72" s="4"/>
      <x:c r="J72" s="3">
        <x:f>H72*(1-I72)</x:f>
      </x:c>
      <x:c r="K72" s="4">
        <x:f>B2</x:f>
      </x:c>
      <x:c r="L72" s="1" t="s">
        <x:v>165</x:v>
      </x:c>
      <x:c r="M72" s="0" t="s">
        <x:v>234</x:v>
      </x:c>
    </x:row>
    <x:row r="73" spans="1:13" outlineLevel="3">
      <x:c r="A73" s="0" t="s">
        <x:v>130</x:v>
      </x:c>
      <x:c r="B73" s="1" t="s">
        <x:v>235</x:v>
      </x:c>
      <x:c r="C73" s="0" t="s">
        <x:v>236</x:v>
      </x:c>
      <x:c r="D73" s="0" t="s">
        <x:v>237</x:v>
      </x:c>
      <x:c r="E73" s="2">
        <x:v>25</x:v>
      </x:c>
      <x:c r="F73" s="0" t="s">
        <x:v>164</x:v>
      </x:c>
      <x:c r="G73" s="3">
        <x:f>SUMPRODUCT((Kalkulation!A2:A50000=B73)*Kalkulation!D2:D50000)</x:f>
      </x:c>
      <x:c r="H73" s="3">
        <x:f>G73*E73</x:f>
      </x:c>
      <x:c r="I73" s="4"/>
      <x:c r="J73" s="3">
        <x:f>H73*(1-I73)</x:f>
      </x:c>
      <x:c r="K73" s="4">
        <x:f>B2</x:f>
      </x:c>
      <x:c r="L73" s="1" t="s">
        <x:v>165</x:v>
      </x:c>
      <x:c r="M73" s="0" t="s">
        <x:v>238</x:v>
      </x:c>
    </x:row>
    <x:row r="74" spans="1:13" outlineLevel="3">
      <x:c r="A74" s="0" t="s">
        <x:v>130</x:v>
      </x:c>
      <x:c r="B74" s="1" t="s">
        <x:v>239</x:v>
      </x:c>
      <x:c r="C74" s="0" t="s">
        <x:v>240</x:v>
      </x:c>
      <x:c r="D74" s="0" t="s">
        <x:v>241</x:v>
      </x:c>
      <x:c r="E74" s="2">
        <x:v>250</x:v>
      </x:c>
      <x:c r="F74" s="0" t="s">
        <x:v>164</x:v>
      </x:c>
      <x:c r="G74" s="3">
        <x:f>SUMPRODUCT((Kalkulation!A2:A50000=B74)*Kalkulation!D2:D50000)</x:f>
      </x:c>
      <x:c r="H74" s="3">
        <x:f>G74*E74</x:f>
      </x:c>
      <x:c r="I74" s="4"/>
      <x:c r="J74" s="3">
        <x:f>H74*(1-I74)</x:f>
      </x:c>
      <x:c r="K74" s="4">
        <x:f>B2</x:f>
      </x:c>
      <x:c r="L74" s="1" t="s">
        <x:v>165</x:v>
      </x:c>
      <x:c r="M74" s="0" t="s">
        <x:v>242</x:v>
      </x:c>
    </x:row>
    <x:row r="75" spans="1:13" outlineLevel="3">
      <x:c r="A75" s="0" t="s">
        <x:v>130</x:v>
      </x:c>
      <x:c r="B75" s="1" t="s">
        <x:v>243</x:v>
      </x:c>
      <x:c r="C75" s="0" t="s">
        <x:v>244</x:v>
      </x:c>
      <x:c r="D75" s="0" t="s">
        <x:v>245</x:v>
      </x:c>
      <x:c r="E75" s="2">
        <x:v>250</x:v>
      </x:c>
      <x:c r="F75" s="0" t="s">
        <x:v>164</x:v>
      </x:c>
      <x:c r="G75" s="3">
        <x:f>SUMPRODUCT((Kalkulation!A2:A50000=B75)*Kalkulation!D2:D50000)</x:f>
      </x:c>
      <x:c r="H75" s="3">
        <x:f>G75*E75</x:f>
      </x:c>
      <x:c r="I75" s="4"/>
      <x:c r="J75" s="3">
        <x:f>H75*(1-I75)</x:f>
      </x:c>
      <x:c r="K75" s="4">
        <x:f>B2</x:f>
      </x:c>
      <x:c r="L75" s="1" t="s">
        <x:v>165</x:v>
      </x:c>
      <x:c r="M75" s="0" t="s">
        <x:v>246</x:v>
      </x:c>
    </x:row>
    <x:row r="76" spans="1:13" outlineLevel="3">
      <x:c r="A76" s="0" t="s">
        <x:v>130</x:v>
      </x:c>
      <x:c r="B76" s="1" t="s">
        <x:v>247</x:v>
      </x:c>
      <x:c r="C76" s="0" t="s">
        <x:v>248</x:v>
      </x:c>
      <x:c r="D76" s="0" t="s">
        <x:v>249</x:v>
      </x:c>
      <x:c r="E76" s="2">
        <x:v>850</x:v>
      </x:c>
      <x:c r="F76" s="0" t="s">
        <x:v>164</x:v>
      </x:c>
      <x:c r="G76" s="3">
        <x:f>SUMPRODUCT((Kalkulation!A2:A50000=B76)*Kalkulation!D2:D50000)</x:f>
      </x:c>
      <x:c r="H76" s="3">
        <x:f>G76*E76</x:f>
      </x:c>
      <x:c r="I76" s="4"/>
      <x:c r="J76" s="3">
        <x:f>H76*(1-I76)</x:f>
      </x:c>
      <x:c r="K76" s="4">
        <x:f>B2</x:f>
      </x:c>
      <x:c r="L76" s="1" t="s">
        <x:v>165</x:v>
      </x:c>
      <x:c r="M76" s="0" t="s">
        <x:v>250</x:v>
      </x:c>
    </x:row>
    <x:row r="77" spans="1:13" outlineLevel="3">
      <x:c r="A77" s="0" t="s">
        <x:v>130</x:v>
      </x:c>
      <x:c r="B77" s="1" t="s">
        <x:v>251</x:v>
      </x:c>
      <x:c r="C77" s="0" t="s">
        <x:v>252</x:v>
      </x:c>
      <x:c r="D77" s="0" t="s">
        <x:v>253</x:v>
      </x:c>
      <x:c r="E77" s="2">
        <x:v>350</x:v>
      </x:c>
      <x:c r="F77" s="0" t="s">
        <x:v>164</x:v>
      </x:c>
      <x:c r="G77" s="3">
        <x:f>SUMPRODUCT((Kalkulation!A2:A50000=B77)*Kalkulation!D2:D50000)</x:f>
      </x:c>
      <x:c r="H77" s="3">
        <x:f>G77*E77</x:f>
      </x:c>
      <x:c r="I77" s="4"/>
      <x:c r="J77" s="3">
        <x:f>H77*(1-I77)</x:f>
      </x:c>
      <x:c r="K77" s="4">
        <x:f>B2</x:f>
      </x:c>
      <x:c r="L77" s="1" t="s">
        <x:v>165</x:v>
      </x:c>
      <x:c r="M77" s="0" t="s">
        <x:v>254</x:v>
      </x:c>
    </x:row>
    <x:row r="78" spans="1:13" outlineLevel="3">
      <x:c r="A78" s="0" t="s">
        <x:v>130</x:v>
      </x:c>
      <x:c r="B78" s="1" t="s">
        <x:v>255</x:v>
      </x:c>
      <x:c r="C78" s="0" t="s">
        <x:v>256</x:v>
      </x:c>
      <x:c r="D78" s="0" t="s">
        <x:v>257</x:v>
      </x:c>
      <x:c r="E78" s="2">
        <x:v>3</x:v>
      </x:c>
      <x:c r="F78" s="0" t="s">
        <x:v>258</x:v>
      </x:c>
      <x:c r="G78" s="3">
        <x:f>SUMPRODUCT((Kalkulation!A2:A50000=B78)*Kalkulation!D2:D50000)</x:f>
      </x:c>
      <x:c r="H78" s="3">
        <x:f>G78*E78</x:f>
      </x:c>
      <x:c r="I78" s="4"/>
      <x:c r="J78" s="3">
        <x:f>H78*(1-I78)</x:f>
      </x:c>
      <x:c r="K78" s="4">
        <x:f>B2</x:f>
      </x:c>
      <x:c r="L78" s="1" t="s">
        <x:v>165</x:v>
      </x:c>
      <x:c r="M78" s="0" t="s">
        <x:v>259</x:v>
      </x:c>
    </x:row>
    <x:row r="79" spans="1:13" s="5" customFormat="1" outlineLevel="2">
      <x:c r="A79" s="12" t="s">
        <x:v>156</x:v>
      </x:c>
      <x:c r="B79" s="13" t="s">
        <x:v>160</x:v>
      </x:c>
      <x:c r="C79" s="12" t="s">
        <x:v>159</x:v>
      </x:c>
      <x:c r="D79" s="12"/>
      <x:c r="E79" s="14"/>
      <x:c r="F79" s="12"/>
      <x:c r="G79" s="15"/>
      <x:c r="H79" s="15">
        <x:f>SUMIF(L:L,"60a14e1a-5069-4f8e-9f5b-1e50bace2d01",J:J)</x:f>
      </x:c>
      <x:c r="I79" s="16"/>
      <x:c r="J79" s="15">
        <x:f>H79*(1-I79)</x:f>
      </x:c>
      <x:c r="K79" s="16"/>
      <x:c r="L79" s="6" t="s">
        <x:v>260</x:v>
      </x:c>
      <x:c r="M79" s="5" t="s">
        <x:v>165</x:v>
      </x:c>
    </x:row>
    <x:row r="80" spans="1:13" outlineLevel="3">
      <x:c r="A80" s="0" t="s">
        <x:v>14</x:v>
      </x:c>
      <x:c r="B80" s="1" t="s">
        <x:v>261</x:v>
      </x:c>
      <x:c r="C80" s="0" t="s">
        <x:v>262</x:v>
      </x:c>
      <x:c r="E80" s="2"/>
      <x:c r="G80" s="3"/>
      <x:c r="H80" s="3"/>
      <x:c r="I80" s="4"/>
      <x:c r="J80" s="3"/>
      <x:c r="K80" s="4">
        <x:f>""</x:f>
      </x:c>
      <x:c r="L80" s="1"/>
    </x:row>
    <x:row r="81" spans="1:13" outlineLevel="3">
      <x:c r="A81" s="0" t="s">
        <x:v>17</x:v>
      </x:c>
      <x:c r="B81" s="1"/>
      <x:c r="C81" s="0" t="s">
        <x:v>263</x:v>
      </x:c>
      <x:c r="D81" s="0" t="s">
        <x:v>264</x:v>
      </x:c>
      <x:c r="E81" s="2"/>
      <x:c r="G81" s="3"/>
      <x:c r="H81" s="3"/>
      <x:c r="I81" s="4"/>
      <x:c r="J81" s="3"/>
      <x:c r="K81" s="4">
        <x:f>""</x:f>
      </x:c>
      <x:c r="L81" s="1"/>
      <x:c r="M81" s="0" t="s">
        <x:v>265</x:v>
      </x:c>
    </x:row>
    <x:row r="82" spans="1:13" outlineLevel="3">
      <x:c r="A82" s="0" t="s">
        <x:v>130</x:v>
      </x:c>
      <x:c r="B82" s="1" t="s">
        <x:v>266</x:v>
      </x:c>
      <x:c r="C82" s="0" t="s">
        <x:v>267</x:v>
      </x:c>
      <x:c r="D82" s="0" t="s">
        <x:v>268</x:v>
      </x:c>
      <x:c r="E82" s="2">
        <x:v>5</x:v>
      </x:c>
      <x:c r="F82" s="0" t="s">
        <x:v>269</x:v>
      </x:c>
      <x:c r="G82" s="3">
        <x:f>SUMPRODUCT((Kalkulation!A2:A50000=B82)*Kalkulation!D2:D50000)</x:f>
      </x:c>
      <x:c r="H82" s="3">
        <x:f>G82*E82</x:f>
      </x:c>
      <x:c r="I82" s="4"/>
      <x:c r="J82" s="3">
        <x:f>H82*(1-I82)</x:f>
      </x:c>
      <x:c r="K82" s="4">
        <x:f>B2</x:f>
      </x:c>
      <x:c r="L82" s="1" t="s">
        <x:v>270</x:v>
      </x:c>
      <x:c r="M82" s="0" t="s">
        <x:v>271</x:v>
      </x:c>
    </x:row>
    <x:row r="83" spans="1:13" outlineLevel="3">
      <x:c r="A83" s="0" t="s">
        <x:v>130</x:v>
      </x:c>
      <x:c r="B83" s="1" t="s">
        <x:v>272</x:v>
      </x:c>
      <x:c r="C83" s="0" t="s">
        <x:v>273</x:v>
      </x:c>
      <x:c r="D83" s="0" t="s">
        <x:v>274</x:v>
      </x:c>
      <x:c r="E83" s="2">
        <x:v>15</x:v>
      </x:c>
      <x:c r="F83" s="0" t="s">
        <x:v>269</x:v>
      </x:c>
      <x:c r="G83" s="3">
        <x:f>SUMPRODUCT((Kalkulation!A2:A50000=B83)*Kalkulation!D2:D50000)</x:f>
      </x:c>
      <x:c r="H83" s="3">
        <x:f>G83*E83</x:f>
      </x:c>
      <x:c r="I83" s="4"/>
      <x:c r="J83" s="3">
        <x:f>H83*(1-I83)</x:f>
      </x:c>
      <x:c r="K83" s="4">
        <x:f>B2</x:f>
      </x:c>
      <x:c r="L83" s="1" t="s">
        <x:v>270</x:v>
      </x:c>
      <x:c r="M83" s="0" t="s">
        <x:v>275</x:v>
      </x:c>
    </x:row>
    <x:row r="84" spans="1:13" outlineLevel="3">
      <x:c r="A84" s="0" t="s">
        <x:v>130</x:v>
      </x:c>
      <x:c r="B84" s="1" t="s">
        <x:v>276</x:v>
      </x:c>
      <x:c r="C84" s="0" t="s">
        <x:v>277</x:v>
      </x:c>
      <x:c r="D84" s="0" t="s">
        <x:v>278</x:v>
      </x:c>
      <x:c r="E84" s="2">
        <x:v>2</x:v>
      </x:c>
      <x:c r="F84" s="0" t="s">
        <x:v>269</x:v>
      </x:c>
      <x:c r="G84" s="3">
        <x:f>SUMPRODUCT((Kalkulation!A2:A50000=B84)*Kalkulation!D2:D50000)</x:f>
      </x:c>
      <x:c r="H84" s="3">
        <x:f>G84*E84</x:f>
      </x:c>
      <x:c r="I84" s="4"/>
      <x:c r="J84" s="3">
        <x:f>H84*(1-I84)</x:f>
      </x:c>
      <x:c r="K84" s="4">
        <x:f>B2</x:f>
      </x:c>
      <x:c r="L84" s="1" t="s">
        <x:v>270</x:v>
      </x:c>
      <x:c r="M84" s="0" t="s">
        <x:v>279</x:v>
      </x:c>
    </x:row>
    <x:row r="85" spans="1:13" outlineLevel="3">
      <x:c r="A85" s="0" t="s">
        <x:v>130</x:v>
      </x:c>
      <x:c r="B85" s="1" t="s">
        <x:v>280</x:v>
      </x:c>
      <x:c r="C85" s="0" t="s">
        <x:v>281</x:v>
      </x:c>
      <x:c r="D85" s="0" t="s">
        <x:v>278</x:v>
      </x:c>
      <x:c r="E85" s="2">
        <x:v>10</x:v>
      </x:c>
      <x:c r="F85" s="0" t="s">
        <x:v>269</x:v>
      </x:c>
      <x:c r="G85" s="3">
        <x:f>SUMPRODUCT((Kalkulation!A2:A50000=B85)*Kalkulation!D2:D50000)</x:f>
      </x:c>
      <x:c r="H85" s="3">
        <x:f>G85*E85</x:f>
      </x:c>
      <x:c r="I85" s="4"/>
      <x:c r="J85" s="3">
        <x:f>H85*(1-I85)</x:f>
      </x:c>
      <x:c r="K85" s="4">
        <x:f>B2</x:f>
      </x:c>
      <x:c r="L85" s="1" t="s">
        <x:v>270</x:v>
      </x:c>
      <x:c r="M85" s="0" t="s">
        <x:v>282</x:v>
      </x:c>
    </x:row>
    <x:row r="86" spans="1:13" s="5" customFormat="1" outlineLevel="2">
      <x:c r="A86" s="12" t="s">
        <x:v>156</x:v>
      </x:c>
      <x:c r="B86" s="13" t="s">
        <x:v>261</x:v>
      </x:c>
      <x:c r="C86" s="12" t="s">
        <x:v>262</x:v>
      </x:c>
      <x:c r="D86" s="12"/>
      <x:c r="E86" s="14"/>
      <x:c r="F86" s="12"/>
      <x:c r="G86" s="15"/>
      <x:c r="H86" s="15">
        <x:f>SUMIF(L:L,"799b45c4-b06a-451c-bab6-d268c463b6c2",J:J)</x:f>
      </x:c>
      <x:c r="I86" s="16"/>
      <x:c r="J86" s="15">
        <x:f>H86*(1-I86)</x:f>
      </x:c>
      <x:c r="K86" s="16"/>
      <x:c r="L86" s="6" t="s">
        <x:v>260</x:v>
      </x:c>
      <x:c r="M86" s="5" t="s">
        <x:v>270</x:v>
      </x:c>
    </x:row>
    <x:row r="87" spans="1:13" s="5" customFormat="1" outlineLevel="1">
      <x:c r="A87" s="12" t="s">
        <x:v>156</x:v>
      </x:c>
      <x:c r="B87" s="13" t="s">
        <x:v>158</x:v>
      </x:c>
      <x:c r="C87" s="12" t="s">
        <x:v>159</x:v>
      </x:c>
      <x:c r="D87" s="12"/>
      <x:c r="E87" s="14"/>
      <x:c r="F87" s="12"/>
      <x:c r="G87" s="15"/>
      <x:c r="H87" s="15">
        <x:f>SUMIF(L:L,"5e7e59db-448b-4a5f-b90d-a3d995cc0ddd",J:J)</x:f>
      </x:c>
      <x:c r="I87" s="16"/>
      <x:c r="J87" s="15">
        <x:f>H87*(1-I87)</x:f>
      </x:c>
      <x:c r="K87" s="16"/>
      <x:c r="L87" s="6" t="s">
        <x:v>157</x:v>
      </x:c>
      <x:c r="M87" s="5" t="s">
        <x:v>260</x:v>
      </x:c>
    </x:row>
    <x:row r="88" spans="1:13" outlineLevel="2">
      <x:c r="A88" s="0" t="s">
        <x:v>14</x:v>
      </x:c>
      <x:c r="B88" s="1" t="s">
        <x:v>283</x:v>
      </x:c>
      <x:c r="C88" s="0" t="s">
        <x:v>284</x:v>
      </x:c>
      <x:c r="E88" s="2"/>
      <x:c r="G88" s="3"/>
      <x:c r="H88" s="3"/>
      <x:c r="I88" s="4"/>
      <x:c r="J88" s="3"/>
      <x:c r="K88" s="4">
        <x:f>""</x:f>
      </x:c>
      <x:c r="L88" s="1"/>
    </x:row>
    <x:row r="89" spans="1:13" outlineLevel="2">
      <x:c r="A89" s="0" t="s">
        <x:v>17</x:v>
      </x:c>
      <x:c r="B89" s="1"/>
      <x:c r="C89" s="0" t="s">
        <x:v>127</x:v>
      </x:c>
      <x:c r="D89" s="0" t="s">
        <x:v>285</x:v>
      </x:c>
      <x:c r="E89" s="2"/>
      <x:c r="G89" s="3"/>
      <x:c r="H89" s="3"/>
      <x:c r="I89" s="4"/>
      <x:c r="J89" s="3"/>
      <x:c r="K89" s="4">
        <x:f>""</x:f>
      </x:c>
      <x:c r="L89" s="1"/>
      <x:c r="M89" s="0" t="s">
        <x:v>286</x:v>
      </x:c>
    </x:row>
    <x:row r="90" spans="1:13" outlineLevel="2">
      <x:c r="A90" s="0" t="s">
        <x:v>130</x:v>
      </x:c>
      <x:c r="B90" s="1" t="s">
        <x:v>287</x:v>
      </x:c>
      <x:c r="C90" s="0" t="s">
        <x:v>288</x:v>
      </x:c>
      <x:c r="D90" s="0" t="s">
        <x:v>289</x:v>
      </x:c>
      <x:c r="E90" s="2">
        <x:v>350</x:v>
      </x:c>
      <x:c r="F90" s="0" t="s">
        <x:v>164</x:v>
      </x:c>
      <x:c r="G90" s="3">
        <x:f>SUMPRODUCT((Kalkulation!A2:A50000=B90)*Kalkulation!D2:D50000)</x:f>
      </x:c>
      <x:c r="H90" s="3">
        <x:f>G90*E90</x:f>
      </x:c>
      <x:c r="I90" s="4"/>
      <x:c r="J90" s="3">
        <x:f>H90*(1-I90)</x:f>
      </x:c>
      <x:c r="K90" s="4">
        <x:f>B2</x:f>
      </x:c>
      <x:c r="L90" s="1" t="s">
        <x:v>290</x:v>
      </x:c>
      <x:c r="M90" s="0" t="s">
        <x:v>291</x:v>
      </x:c>
    </x:row>
    <x:row r="91" spans="1:13" outlineLevel="2">
      <x:c r="A91" s="0" t="s">
        <x:v>130</x:v>
      </x:c>
      <x:c r="B91" s="1" t="s">
        <x:v>292</x:v>
      </x:c>
      <x:c r="C91" s="0" t="s">
        <x:v>293</x:v>
      </x:c>
      <x:c r="D91" s="0" t="s">
        <x:v>294</x:v>
      </x:c>
      <x:c r="E91" s="2">
        <x:v>400</x:v>
      </x:c>
      <x:c r="F91" s="0" t="s">
        <x:v>164</x:v>
      </x:c>
      <x:c r="G91" s="3">
        <x:f>SUMPRODUCT((Kalkulation!A2:A50000=B91)*Kalkulation!D2:D50000)</x:f>
      </x:c>
      <x:c r="H91" s="3">
        <x:f>G91*E91</x:f>
      </x:c>
      <x:c r="I91" s="4"/>
      <x:c r="J91" s="3">
        <x:f>H91*(1-I91)</x:f>
      </x:c>
      <x:c r="K91" s="4">
        <x:f>B2</x:f>
      </x:c>
      <x:c r="L91" s="1" t="s">
        <x:v>290</x:v>
      </x:c>
      <x:c r="M91" s="0" t="s">
        <x:v>295</x:v>
      </x:c>
    </x:row>
    <x:row r="92" spans="1:13" s="5" customFormat="1" outlineLevel="1">
      <x:c r="A92" s="12" t="s">
        <x:v>156</x:v>
      </x:c>
      <x:c r="B92" s="13" t="s">
        <x:v>283</x:v>
      </x:c>
      <x:c r="C92" s="12" t="s">
        <x:v>284</x:v>
      </x:c>
      <x:c r="D92" s="12"/>
      <x:c r="E92" s="14"/>
      <x:c r="F92" s="12"/>
      <x:c r="G92" s="15"/>
      <x:c r="H92" s="15">
        <x:f>SUMIF(L:L,"dd0d91e2-fb8c-495e-9d03-22671660b35c",J:J)</x:f>
      </x:c>
      <x:c r="I92" s="16"/>
      <x:c r="J92" s="15">
        <x:f>H92*(1-I92)</x:f>
      </x:c>
      <x:c r="K92" s="16"/>
      <x:c r="L92" s="6" t="s">
        <x:v>157</x:v>
      </x:c>
      <x:c r="M92" s="5" t="s">
        <x:v>290</x:v>
      </x:c>
    </x:row>
    <x:row r="93" spans="1:13" outlineLevel="2">
      <x:c r="A93" s="0" t="s">
        <x:v>14</x:v>
      </x:c>
      <x:c r="B93" s="1" t="s">
        <x:v>296</x:v>
      </x:c>
      <x:c r="C93" s="0" t="s">
        <x:v>297</x:v>
      </x:c>
      <x:c r="E93" s="2"/>
      <x:c r="G93" s="3"/>
      <x:c r="H93" s="3"/>
      <x:c r="I93" s="4"/>
      <x:c r="J93" s="3"/>
      <x:c r="K93" s="4">
        <x:f>""</x:f>
      </x:c>
      <x:c r="L93" s="1"/>
    </x:row>
    <x:row r="94" spans="1:13" outlineLevel="2">
      <x:c r="A94" s="0" t="s">
        <x:v>17</x:v>
      </x:c>
      <x:c r="B94" s="1"/>
      <x:c r="C94" s="0" t="s">
        <x:v>127</x:v>
      </x:c>
      <x:c r="D94" s="0" t="s">
        <x:v>298</x:v>
      </x:c>
      <x:c r="E94" s="2"/>
      <x:c r="G94" s="3"/>
      <x:c r="H94" s="3"/>
      <x:c r="I94" s="4"/>
      <x:c r="J94" s="3"/>
      <x:c r="K94" s="4">
        <x:f>""</x:f>
      </x:c>
      <x:c r="L94" s="1"/>
      <x:c r="M94" s="0" t="s">
        <x:v>299</x:v>
      </x:c>
    </x:row>
    <x:row r="95" spans="1:13" outlineLevel="2">
      <x:c r="A95" s="0" t="s">
        <x:v>130</x:v>
      </x:c>
      <x:c r="B95" s="1" t="s">
        <x:v>300</x:v>
      </x:c>
      <x:c r="C95" s="0" t="s">
        <x:v>301</x:v>
      </x:c>
      <x:c r="D95" s="0" t="s">
        <x:v>302</x:v>
      </x:c>
      <x:c r="E95" s="2">
        <x:v>1</x:v>
      </x:c>
      <x:c r="F95" s="0" t="s">
        <x:v>133</x:v>
      </x:c>
      <x:c r="G95" s="3">
        <x:f>SUMPRODUCT((Kalkulation!A2:A50000=B95)*Kalkulation!D2:D50000)</x:f>
      </x:c>
      <x:c r="H95" s="3">
        <x:f>G95*E95</x:f>
      </x:c>
      <x:c r="I95" s="4"/>
      <x:c r="J95" s="3">
        <x:f>H95*(1-I95)</x:f>
      </x:c>
      <x:c r="K95" s="4">
        <x:f>B2</x:f>
      </x:c>
      <x:c r="L95" s="1" t="s">
        <x:v>303</x:v>
      </x:c>
      <x:c r="M95" s="0" t="s">
        <x:v>304</x:v>
      </x:c>
    </x:row>
    <x:row r="96" spans="1:13" outlineLevel="2">
      <x:c r="A96" s="0" t="s">
        <x:v>130</x:v>
      </x:c>
      <x:c r="B96" s="1" t="s">
        <x:v>305</x:v>
      </x:c>
      <x:c r="C96" s="0" t="s">
        <x:v>306</x:v>
      </x:c>
      <x:c r="D96" s="0" t="s">
        <x:v>307</x:v>
      </x:c>
      <x:c r="E96" s="2">
        <x:v>1</x:v>
      </x:c>
      <x:c r="F96" s="0" t="s">
        <x:v>133</x:v>
      </x:c>
      <x:c r="G96" s="3">
        <x:f>SUMPRODUCT((Kalkulation!A2:A50000=B96)*Kalkulation!D2:D50000)</x:f>
      </x:c>
      <x:c r="H96" s="3">
        <x:f>G96*E96</x:f>
      </x:c>
      <x:c r="I96" s="4"/>
      <x:c r="J96" s="3">
        <x:f>H96*(1-I96)</x:f>
      </x:c>
      <x:c r="K96" s="4">
        <x:f>B2</x:f>
      </x:c>
      <x:c r="L96" s="1" t="s">
        <x:v>303</x:v>
      </x:c>
      <x:c r="M96" s="0" t="s">
        <x:v>308</x:v>
      </x:c>
    </x:row>
    <x:row r="97" spans="1:13" outlineLevel="2">
      <x:c r="A97" s="0" t="s">
        <x:v>130</x:v>
      </x:c>
      <x:c r="B97" s="1" t="s">
        <x:v>309</x:v>
      </x:c>
      <x:c r="C97" s="0" t="s">
        <x:v>310</x:v>
      </x:c>
      <x:c r="D97" s="0" t="s">
        <x:v>311</x:v>
      </x:c>
      <x:c r="E97" s="2">
        <x:v>1</x:v>
      </x:c>
      <x:c r="F97" s="0" t="s">
        <x:v>133</x:v>
      </x:c>
      <x:c r="G97" s="3">
        <x:f>SUMPRODUCT((Kalkulation!A2:A50000=B97)*Kalkulation!D2:D50000)</x:f>
      </x:c>
      <x:c r="H97" s="3">
        <x:f>G97*E97</x:f>
      </x:c>
      <x:c r="I97" s="4"/>
      <x:c r="J97" s="3">
        <x:f>H97*(1-I97)</x:f>
      </x:c>
      <x:c r="K97" s="4">
        <x:f>B2</x:f>
      </x:c>
      <x:c r="L97" s="1" t="s">
        <x:v>303</x:v>
      </x:c>
      <x:c r="M97" s="0" t="s">
        <x:v>312</x:v>
      </x:c>
    </x:row>
    <x:row r="98" spans="1:13" s="5" customFormat="1" outlineLevel="1">
      <x:c r="A98" s="12" t="s">
        <x:v>156</x:v>
      </x:c>
      <x:c r="B98" s="13" t="s">
        <x:v>296</x:v>
      </x:c>
      <x:c r="C98" s="12" t="s">
        <x:v>297</x:v>
      </x:c>
      <x:c r="D98" s="12"/>
      <x:c r="E98" s="14"/>
      <x:c r="F98" s="12"/>
      <x:c r="G98" s="15"/>
      <x:c r="H98" s="15">
        <x:f>SUMIF(L:L,"6c8bbed6-0a8a-4d23-b396-d074da80f1fe",J:J)</x:f>
      </x:c>
      <x:c r="I98" s="16"/>
      <x:c r="J98" s="15">
        <x:f>H98*(1-I98)</x:f>
      </x:c>
      <x:c r="K98" s="16"/>
      <x:c r="L98" s="6" t="s">
        <x:v>157</x:v>
      </x:c>
      <x:c r="M98" s="5" t="s">
        <x:v>303</x:v>
      </x:c>
    </x:row>
    <x:row r="99" spans="1:13" outlineLevel="2">
      <x:c r="A99" s="0" t="s">
        <x:v>14</x:v>
      </x:c>
      <x:c r="B99" s="1" t="s">
        <x:v>313</x:v>
      </x:c>
      <x:c r="C99" s="0" t="s">
        <x:v>314</x:v>
      </x:c>
      <x:c r="E99" s="2"/>
      <x:c r="G99" s="3"/>
      <x:c r="H99" s="3"/>
      <x:c r="I99" s="4"/>
      <x:c r="J99" s="3"/>
      <x:c r="K99" s="4">
        <x:f>""</x:f>
      </x:c>
      <x:c r="L99" s="1"/>
    </x:row>
    <x:row r="100" spans="1:13" outlineLevel="2">
      <x:c r="A100" s="0" t="s">
        <x:v>17</x:v>
      </x:c>
      <x:c r="B100" s="1"/>
      <x:c r="C100" s="0" t="s">
        <x:v>315</x:v>
      </x:c>
      <x:c r="D100" s="0" t="s">
        <x:v>316</x:v>
      </x:c>
      <x:c r="E100" s="2"/>
      <x:c r="G100" s="3"/>
      <x:c r="H100" s="3"/>
      <x:c r="I100" s="4"/>
      <x:c r="J100" s="3"/>
      <x:c r="K100" s="4">
        <x:f>""</x:f>
      </x:c>
      <x:c r="L100" s="1"/>
      <x:c r="M100" s="0" t="s">
        <x:v>317</x:v>
      </x:c>
    </x:row>
    <x:row r="101" spans="1:13" outlineLevel="2">
      <x:c r="A101" s="0" t="s">
        <x:v>17</x:v>
      </x:c>
      <x:c r="B101" s="1"/>
      <x:c r="C101" s="0" t="s">
        <x:v>318</x:v>
      </x:c>
      <x:c r="D101" s="0" t="s">
        <x:v>319</x:v>
      </x:c>
      <x:c r="E101" s="2"/>
      <x:c r="G101" s="3"/>
      <x:c r="H101" s="3"/>
      <x:c r="I101" s="4"/>
      <x:c r="J101" s="3"/>
      <x:c r="K101" s="4">
        <x:f>""</x:f>
      </x:c>
      <x:c r="L101" s="1"/>
      <x:c r="M101" s="0" t="s">
        <x:v>320</x:v>
      </x:c>
    </x:row>
    <x:row r="102" spans="1:13" outlineLevel="2">
      <x:c r="A102" s="0" t="s">
        <x:v>130</x:v>
      </x:c>
      <x:c r="B102" s="1" t="s">
        <x:v>321</x:v>
      </x:c>
      <x:c r="C102" s="0" t="s">
        <x:v>322</x:v>
      </x:c>
      <x:c r="D102" s="0" t="s">
        <x:v>323</x:v>
      </x:c>
      <x:c r="E102" s="2">
        <x:v>1</x:v>
      </x:c>
      <x:c r="F102" s="0" t="s">
        <x:v>133</x:v>
      </x:c>
      <x:c r="G102" s="3">
        <x:f>SUMPRODUCT((Kalkulation!A2:A50000=B102)*Kalkulation!D2:D50000)</x:f>
      </x:c>
      <x:c r="H102" s="3">
        <x:f>G102*E102</x:f>
      </x:c>
      <x:c r="I102" s="4"/>
      <x:c r="J102" s="3">
        <x:f>H102*(1-I102)</x:f>
      </x:c>
      <x:c r="K102" s="4">
        <x:f>B2</x:f>
      </x:c>
      <x:c r="L102" s="1" t="s">
        <x:v>324</x:v>
      </x:c>
      <x:c r="M102" s="0" t="s">
        <x:v>325</x:v>
      </x:c>
    </x:row>
    <x:row r="103" spans="1:13" outlineLevel="2">
      <x:c r="A103" s="0" t="s">
        <x:v>130</x:v>
      </x:c>
      <x:c r="B103" s="1" t="s">
        <x:v>326</x:v>
      </x:c>
      <x:c r="C103" s="0" t="s">
        <x:v>327</x:v>
      </x:c>
      <x:c r="D103" s="0" t="s">
        <x:v>328</x:v>
      </x:c>
      <x:c r="E103" s="2">
        <x:v>1</x:v>
      </x:c>
      <x:c r="F103" s="0" t="s">
        <x:v>133</x:v>
      </x:c>
      <x:c r="G103" s="3">
        <x:f>SUMPRODUCT((Kalkulation!A2:A50000=B103)*Kalkulation!D2:D50000)</x:f>
      </x:c>
      <x:c r="H103" s="3">
        <x:f>G103*E103</x:f>
      </x:c>
      <x:c r="I103" s="4"/>
      <x:c r="J103" s="3">
        <x:f>H103*(1-I103)</x:f>
      </x:c>
      <x:c r="K103" s="4">
        <x:f>B2</x:f>
      </x:c>
      <x:c r="L103" s="1" t="s">
        <x:v>324</x:v>
      </x:c>
      <x:c r="M103" s="0" t="s">
        <x:v>329</x:v>
      </x:c>
    </x:row>
    <x:row r="104" spans="1:13" outlineLevel="2">
      <x:c r="A104" s="0" t="s">
        <x:v>17</x:v>
      </x:c>
      <x:c r="B104" s="1"/>
      <x:c r="C104" s="0" t="s">
        <x:v>330</x:v>
      </x:c>
      <x:c r="D104" s="0" t="s">
        <x:v>331</x:v>
      </x:c>
      <x:c r="E104" s="2"/>
      <x:c r="G104" s="3"/>
      <x:c r="H104" s="3"/>
      <x:c r="I104" s="4"/>
      <x:c r="J104" s="3"/>
      <x:c r="K104" s="4">
        <x:f>""</x:f>
      </x:c>
      <x:c r="L104" s="1"/>
      <x:c r="M104" s="0" t="s">
        <x:v>332</x:v>
      </x:c>
    </x:row>
    <x:row r="105" spans="1:13" outlineLevel="2">
      <x:c r="A105" s="0" t="s">
        <x:v>130</x:v>
      </x:c>
      <x:c r="B105" s="1" t="s">
        <x:v>333</x:v>
      </x:c>
      <x:c r="C105" s="0" t="s">
        <x:v>334</x:v>
      </x:c>
      <x:c r="D105" s="0" t="s">
        <x:v>335</x:v>
      </x:c>
      <x:c r="E105" s="2">
        <x:v>1</x:v>
      </x:c>
      <x:c r="F105" s="0" t="s">
        <x:v>133</x:v>
      </x:c>
      <x:c r="G105" s="3">
        <x:f>SUMPRODUCT((Kalkulation!A2:A50000=B105)*Kalkulation!D2:D50000)</x:f>
      </x:c>
      <x:c r="H105" s="3">
        <x:f>G105*E105</x:f>
      </x:c>
      <x:c r="I105" s="4"/>
      <x:c r="J105" s="3">
        <x:f>H105*(1-I105)</x:f>
      </x:c>
      <x:c r="K105" s="4">
        <x:f>B2</x:f>
      </x:c>
      <x:c r="L105" s="1" t="s">
        <x:v>324</x:v>
      </x:c>
      <x:c r="M105" s="0" t="s">
        <x:v>336</x:v>
      </x:c>
    </x:row>
    <x:row r="106" spans="1:13" outlineLevel="2">
      <x:c r="A106" s="0" t="s">
        <x:v>130</x:v>
      </x:c>
      <x:c r="B106" s="1" t="s">
        <x:v>337</x:v>
      </x:c>
      <x:c r="C106" s="0" t="s">
        <x:v>338</x:v>
      </x:c>
      <x:c r="D106" s="0" t="s">
        <x:v>339</x:v>
      </x:c>
      <x:c r="E106" s="2">
        <x:v>1</x:v>
      </x:c>
      <x:c r="F106" s="0" t="s">
        <x:v>133</x:v>
      </x:c>
      <x:c r="G106" s="3">
        <x:f>SUMPRODUCT((Kalkulation!A2:A50000=B106)*Kalkulation!D2:D50000)</x:f>
      </x:c>
      <x:c r="H106" s="3">
        <x:f>G106*E106</x:f>
      </x:c>
      <x:c r="I106" s="4"/>
      <x:c r="J106" s="3">
        <x:f>H106*(1-I106)</x:f>
      </x:c>
      <x:c r="K106" s="4">
        <x:f>B2</x:f>
      </x:c>
      <x:c r="L106" s="1" t="s">
        <x:v>324</x:v>
      </x:c>
      <x:c r="M106" s="0" t="s">
        <x:v>340</x:v>
      </x:c>
    </x:row>
    <x:row r="107" spans="1:13" outlineLevel="2">
      <x:c r="A107" s="0" t="s">
        <x:v>130</x:v>
      </x:c>
      <x:c r="B107" s="1" t="s">
        <x:v>341</x:v>
      </x:c>
      <x:c r="C107" s="0" t="s">
        <x:v>342</x:v>
      </x:c>
      <x:c r="D107" s="0" t="s">
        <x:v>343</x:v>
      </x:c>
      <x:c r="E107" s="2">
        <x:v>20</x:v>
      </x:c>
      <x:c r="F107" s="0" t="s">
        <x:v>147</x:v>
      </x:c>
      <x:c r="G107" s="3">
        <x:f>SUMPRODUCT((Kalkulation!A2:A50000=B107)*Kalkulation!D2:D50000)</x:f>
      </x:c>
      <x:c r="H107" s="3">
        <x:f>G107*E107</x:f>
      </x:c>
      <x:c r="I107" s="4"/>
      <x:c r="J107" s="3">
        <x:f>H107*(1-I107)</x:f>
      </x:c>
      <x:c r="K107" s="4">
        <x:f>B2</x:f>
      </x:c>
      <x:c r="L107" s="1" t="s">
        <x:v>324</x:v>
      </x:c>
      <x:c r="M107" s="0" t="s">
        <x:v>344</x:v>
      </x:c>
    </x:row>
    <x:row r="108" spans="1:13" outlineLevel="2">
      <x:c r="A108" s="0" t="s">
        <x:v>130</x:v>
      </x:c>
      <x:c r="B108" s="1" t="s">
        <x:v>345</x:v>
      </x:c>
      <x:c r="C108" s="0" t="s">
        <x:v>346</x:v>
      </x:c>
      <x:c r="D108" s="0" t="s">
        <x:v>347</x:v>
      </x:c>
      <x:c r="E108" s="2">
        <x:v>1500</x:v>
      </x:c>
      <x:c r="F108" s="0" t="s">
        <x:v>348</x:v>
      </x:c>
      <x:c r="G108" s="3">
        <x:f>SUMPRODUCT((Kalkulation!A2:A50000=B108)*Kalkulation!D2:D50000)</x:f>
      </x:c>
      <x:c r="H108" s="3">
        <x:f>G108*E108</x:f>
      </x:c>
      <x:c r="I108" s="4"/>
      <x:c r="J108" s="3">
        <x:f>H108*(1-I108)</x:f>
      </x:c>
      <x:c r="K108" s="4">
        <x:f>B2</x:f>
      </x:c>
      <x:c r="L108" s="1" t="s">
        <x:v>324</x:v>
      </x:c>
      <x:c r="M108" s="0" t="s">
        <x:v>349</x:v>
      </x:c>
    </x:row>
    <x:row r="109" spans="1:13" s="5" customFormat="1" outlineLevel="1">
      <x:c r="A109" s="12" t="s">
        <x:v>156</x:v>
      </x:c>
      <x:c r="B109" s="13" t="s">
        <x:v>313</x:v>
      </x:c>
      <x:c r="C109" s="12" t="s">
        <x:v>314</x:v>
      </x:c>
      <x:c r="D109" s="12"/>
      <x:c r="E109" s="14"/>
      <x:c r="F109" s="12"/>
      <x:c r="G109" s="15"/>
      <x:c r="H109" s="15">
        <x:f>SUMIF(L:L,"4d4f8fc2-4e4d-46aa-aea0-85fdf0fd385f",J:J)</x:f>
      </x:c>
      <x:c r="I109" s="16"/>
      <x:c r="J109" s="15">
        <x:f>H109*(1-I109)</x:f>
      </x:c>
      <x:c r="K109" s="16"/>
      <x:c r="L109" s="6" t="s">
        <x:v>157</x:v>
      </x:c>
      <x:c r="M109" s="5" t="s">
        <x:v>324</x:v>
      </x:c>
    </x:row>
    <x:row r="110" spans="1:13" outlineLevel="2">
      <x:c r="A110" s="0" t="s">
        <x:v>14</x:v>
      </x:c>
      <x:c r="B110" s="1" t="s">
        <x:v>350</x:v>
      </x:c>
      <x:c r="C110" s="0" t="s">
        <x:v>351</x:v>
      </x:c>
      <x:c r="E110" s="2"/>
      <x:c r="G110" s="3"/>
      <x:c r="H110" s="3"/>
      <x:c r="I110" s="4"/>
      <x:c r="J110" s="3"/>
      <x:c r="K110" s="4">
        <x:f>""</x:f>
      </x:c>
      <x:c r="L110" s="1"/>
    </x:row>
    <x:row r="111" spans="1:13" outlineLevel="2">
      <x:c r="A111" s="0" t="s">
        <x:v>130</x:v>
      </x:c>
      <x:c r="B111" s="1" t="s">
        <x:v>352</x:v>
      </x:c>
      <x:c r="C111" s="0" t="s">
        <x:v>353</x:v>
      </x:c>
      <x:c r="D111" s="0" t="s">
        <x:v>354</x:v>
      </x:c>
      <x:c r="E111" s="2">
        <x:v>1</x:v>
      </x:c>
      <x:c r="F111" s="0" t="s">
        <x:v>133</x:v>
      </x:c>
      <x:c r="G111" s="3">
        <x:f>SUMPRODUCT((Kalkulation!A2:A50000=B111)*Kalkulation!D2:D50000)</x:f>
      </x:c>
      <x:c r="H111" s="3">
        <x:f>G111*E111</x:f>
      </x:c>
      <x:c r="I111" s="4"/>
      <x:c r="J111" s="3">
        <x:f>H111*(1-I111)</x:f>
      </x:c>
      <x:c r="K111" s="4">
        <x:f>B2</x:f>
      </x:c>
      <x:c r="L111" s="1" t="s">
        <x:v>355</x:v>
      </x:c>
      <x:c r="M111" s="0" t="s">
        <x:v>356</x:v>
      </x:c>
    </x:row>
    <x:row r="112" spans="1:13" outlineLevel="2">
      <x:c r="A112" s="0" t="s">
        <x:v>130</x:v>
      </x:c>
      <x:c r="B112" s="1" t="s">
        <x:v>357</x:v>
      </x:c>
      <x:c r="C112" s="0" t="s">
        <x:v>358</x:v>
      </x:c>
      <x:c r="D112" s="0" t="s">
        <x:v>359</x:v>
      </x:c>
      <x:c r="E112" s="2">
        <x:v>1</x:v>
      </x:c>
      <x:c r="F112" s="0" t="s">
        <x:v>133</x:v>
      </x:c>
      <x:c r="G112" s="3">
        <x:f>SUMPRODUCT((Kalkulation!A2:A50000=B112)*Kalkulation!D2:D50000)</x:f>
      </x:c>
      <x:c r="H112" s="3">
        <x:f>G112*E112</x:f>
      </x:c>
      <x:c r="I112" s="4"/>
      <x:c r="J112" s="3">
        <x:f>H112*(1-I112)</x:f>
      </x:c>
      <x:c r="K112" s="4">
        <x:f>B2</x:f>
      </x:c>
      <x:c r="L112" s="1" t="s">
        <x:v>355</x:v>
      </x:c>
      <x:c r="M112" s="0" t="s">
        <x:v>360</x:v>
      </x:c>
    </x:row>
    <x:row r="113" spans="1:13" outlineLevel="2">
      <x:c r="A113" s="0" t="s">
        <x:v>130</x:v>
      </x:c>
      <x:c r="B113" s="1" t="s">
        <x:v>361</x:v>
      </x:c>
      <x:c r="C113" s="0" t="s">
        <x:v>358</x:v>
      </x:c>
      <x:c r="D113" s="0" t="s">
        <x:v>362</x:v>
      </x:c>
      <x:c r="E113" s="2">
        <x:v>1</x:v>
      </x:c>
      <x:c r="F113" s="0" t="s">
        <x:v>133</x:v>
      </x:c>
      <x:c r="G113" s="3">
        <x:f>SUMPRODUCT((Kalkulation!A2:A50000=B113)*Kalkulation!D2:D50000)</x:f>
      </x:c>
      <x:c r="H113" s="3">
        <x:f>G113*E113</x:f>
      </x:c>
      <x:c r="I113" s="4"/>
      <x:c r="J113" s="3">
        <x:f>H113*(1-I113)</x:f>
      </x:c>
      <x:c r="K113" s="4">
        <x:f>B2</x:f>
      </x:c>
      <x:c r="L113" s="1" t="s">
        <x:v>355</x:v>
      </x:c>
      <x:c r="M113" s="0" t="s">
        <x:v>363</x:v>
      </x:c>
    </x:row>
    <x:row r="114" spans="1:13" outlineLevel="2">
      <x:c r="A114" s="0" t="s">
        <x:v>130</x:v>
      </x:c>
      <x:c r="B114" s="1" t="s">
        <x:v>364</x:v>
      </x:c>
      <x:c r="C114" s="0" t="s">
        <x:v>365</x:v>
      </x:c>
      <x:c r="D114" s="0" t="s">
        <x:v>366</x:v>
      </x:c>
      <x:c r="E114" s="2">
        <x:v>3</x:v>
      </x:c>
      <x:c r="F114" s="0" t="s">
        <x:v>174</x:v>
      </x:c>
      <x:c r="G114" s="3">
        <x:f>SUMPRODUCT((Kalkulation!A2:A50000=B114)*Kalkulation!D2:D50000)</x:f>
      </x:c>
      <x:c r="H114" s="3">
        <x:f>G114*E114</x:f>
      </x:c>
      <x:c r="I114" s="4"/>
      <x:c r="J114" s="3">
        <x:f>H114*(1-I114)</x:f>
      </x:c>
      <x:c r="K114" s="4">
        <x:f>B2</x:f>
      </x:c>
      <x:c r="L114" s="1" t="s">
        <x:v>355</x:v>
      </x:c>
      <x:c r="M114" s="0" t="s">
        <x:v>367</x:v>
      </x:c>
    </x:row>
    <x:row r="115" spans="1:13" outlineLevel="2">
      <x:c r="A115" s="0" t="s">
        <x:v>130</x:v>
      </x:c>
      <x:c r="B115" s="1" t="s">
        <x:v>368</x:v>
      </x:c>
      <x:c r="C115" s="0" t="s">
        <x:v>369</x:v>
      </x:c>
      <x:c r="D115" s="0" t="s">
        <x:v>370</x:v>
      </x:c>
      <x:c r="E115" s="2">
        <x:v>1</x:v>
      </x:c>
      <x:c r="F115" s="0" t="s">
        <x:v>133</x:v>
      </x:c>
      <x:c r="G115" s="3">
        <x:f>SUMPRODUCT((Kalkulation!A2:A50000=B115)*Kalkulation!D2:D50000)</x:f>
      </x:c>
      <x:c r="H115" s="3">
        <x:f>G115*E115</x:f>
      </x:c>
      <x:c r="I115" s="4"/>
      <x:c r="J115" s="3">
        <x:f>H115*(1-I115)</x:f>
      </x:c>
      <x:c r="K115" s="4">
        <x:f>B2</x:f>
      </x:c>
      <x:c r="L115" s="1" t="s">
        <x:v>355</x:v>
      </x:c>
      <x:c r="M115" s="0" t="s">
        <x:v>371</x:v>
      </x:c>
    </x:row>
    <x:row r="116" spans="1:13" outlineLevel="2">
      <x:c r="A116" s="0" t="s">
        <x:v>130</x:v>
      </x:c>
      <x:c r="B116" s="1" t="s">
        <x:v>372</x:v>
      </x:c>
      <x:c r="C116" s="0" t="s">
        <x:v>373</x:v>
      </x:c>
      <x:c r="D116" s="0" t="s">
        <x:v>374</x:v>
      </x:c>
      <x:c r="E116" s="2">
        <x:v>8</x:v>
      </x:c>
      <x:c r="F116" s="0" t="s">
        <x:v>174</x:v>
      </x:c>
      <x:c r="G116" s="3">
        <x:f>SUMPRODUCT((Kalkulation!A2:A50000=B116)*Kalkulation!D2:D50000)</x:f>
      </x:c>
      <x:c r="H116" s="3">
        <x:f>G116*E116</x:f>
      </x:c>
      <x:c r="I116" s="4"/>
      <x:c r="J116" s="3">
        <x:f>H116*(1-I116)</x:f>
      </x:c>
      <x:c r="K116" s="4">
        <x:f>B2</x:f>
      </x:c>
      <x:c r="L116" s="1" t="s">
        <x:v>355</x:v>
      </x:c>
      <x:c r="M116" s="0" t="s">
        <x:v>375</x:v>
      </x:c>
    </x:row>
    <x:row r="117" spans="1:13" outlineLevel="2">
      <x:c r="A117" s="0" t="s">
        <x:v>130</x:v>
      </x:c>
      <x:c r="B117" s="1" t="s">
        <x:v>376</x:v>
      </x:c>
      <x:c r="C117" s="0" t="s">
        <x:v>377</x:v>
      </x:c>
      <x:c r="D117" s="0" t="s">
        <x:v>378</x:v>
      </x:c>
      <x:c r="E117" s="2">
        <x:v>5</x:v>
      </x:c>
      <x:c r="F117" s="0" t="s">
        <x:v>379</x:v>
      </x:c>
      <x:c r="G117" s="3">
        <x:f>SUMPRODUCT((Kalkulation!A2:A50000=B117)*Kalkulation!D2:D50000)</x:f>
      </x:c>
      <x:c r="H117" s="3">
        <x:f>G117*E117</x:f>
      </x:c>
      <x:c r="I117" s="4"/>
      <x:c r="J117" s="3">
        <x:f>H117*(1-I117)</x:f>
      </x:c>
      <x:c r="K117" s="4">
        <x:f>B2</x:f>
      </x:c>
      <x:c r="L117" s="1" t="s">
        <x:v>355</x:v>
      </x:c>
      <x:c r="M117" s="0" t="s">
        <x:v>380</x:v>
      </x:c>
    </x:row>
    <x:row r="118" spans="1:13" outlineLevel="2">
      <x:c r="A118" s="0" t="s">
        <x:v>130</x:v>
      </x:c>
      <x:c r="B118" s="1" t="s">
        <x:v>381</x:v>
      </x:c>
      <x:c r="C118" s="0" t="s">
        <x:v>382</x:v>
      </x:c>
      <x:c r="D118" s="0" t="s">
        <x:v>383</x:v>
      </x:c>
      <x:c r="E118" s="2">
        <x:v>5</x:v>
      </x:c>
      <x:c r="F118" s="0" t="s">
        <x:v>379</x:v>
      </x:c>
      <x:c r="G118" s="3">
        <x:f>SUMPRODUCT((Kalkulation!A2:A50000=B118)*Kalkulation!D2:D50000)</x:f>
      </x:c>
      <x:c r="H118" s="3">
        <x:f>G118*E118</x:f>
      </x:c>
      <x:c r="I118" s="4"/>
      <x:c r="J118" s="3">
        <x:f>H118*(1-I118)</x:f>
      </x:c>
      <x:c r="K118" s="4">
        <x:f>B2</x:f>
      </x:c>
      <x:c r="L118" s="1" t="s">
        <x:v>355</x:v>
      </x:c>
      <x:c r="M118" s="0" t="s">
        <x:v>384</x:v>
      </x:c>
    </x:row>
    <x:row r="119" spans="1:13" outlineLevel="2">
      <x:c r="A119" s="0" t="s">
        <x:v>130</x:v>
      </x:c>
      <x:c r="B119" s="1" t="s">
        <x:v>385</x:v>
      </x:c>
      <x:c r="C119" s="0" t="s">
        <x:v>386</x:v>
      </x:c>
      <x:c r="D119" s="0" t="s">
        <x:v>387</x:v>
      </x:c>
      <x:c r="E119" s="2">
        <x:v>3</x:v>
      </x:c>
      <x:c r="F119" s="0" t="s">
        <x:v>379</x:v>
      </x:c>
      <x:c r="G119" s="3">
        <x:f>SUMPRODUCT((Kalkulation!A2:A50000=B119)*Kalkulation!D2:D50000)</x:f>
      </x:c>
      <x:c r="H119" s="3">
        <x:f>G119*E119</x:f>
      </x:c>
      <x:c r="I119" s="4"/>
      <x:c r="J119" s="3">
        <x:f>H119*(1-I119)</x:f>
      </x:c>
      <x:c r="K119" s="4">
        <x:f>B2</x:f>
      </x:c>
      <x:c r="L119" s="1" t="s">
        <x:v>355</x:v>
      </x:c>
      <x:c r="M119" s="0" t="s">
        <x:v>388</x:v>
      </x:c>
    </x:row>
    <x:row r="120" spans="1:13" s="5" customFormat="1" outlineLevel="1">
      <x:c r="A120" s="12" t="s">
        <x:v>156</x:v>
      </x:c>
      <x:c r="B120" s="13" t="s">
        <x:v>350</x:v>
      </x:c>
      <x:c r="C120" s="12" t="s">
        <x:v>351</x:v>
      </x:c>
      <x:c r="D120" s="12"/>
      <x:c r="E120" s="14"/>
      <x:c r="F120" s="12"/>
      <x:c r="G120" s="15"/>
      <x:c r="H120" s="15">
        <x:f>SUMIF(L:L,"fef303ad-1c7f-42ca-a3ca-a93404b157c4",J:J)</x:f>
      </x:c>
      <x:c r="I120" s="16"/>
      <x:c r="J120" s="15">
        <x:f>H120*(1-I120)</x:f>
      </x:c>
      <x:c r="K120" s="16"/>
      <x:c r="L120" s="6" t="s">
        <x:v>157</x:v>
      </x:c>
      <x:c r="M120" s="5" t="s">
        <x:v>355</x:v>
      </x:c>
    </x:row>
    <x:row r="121" spans="1:13" outlineLevel="2">
      <x:c r="A121" s="0" t="s">
        <x:v>14</x:v>
      </x:c>
      <x:c r="B121" s="1" t="s">
        <x:v>389</x:v>
      </x:c>
      <x:c r="C121" s="0" t="s">
        <x:v>262</x:v>
      </x:c>
      <x:c r="E121" s="2"/>
      <x:c r="G121" s="3"/>
      <x:c r="H121" s="3"/>
      <x:c r="I121" s="4"/>
      <x:c r="J121" s="3"/>
      <x:c r="K121" s="4">
        <x:f>""</x:f>
      </x:c>
      <x:c r="L121" s="1"/>
    </x:row>
    <x:row r="122" spans="1:13" outlineLevel="2">
      <x:c r="A122" s="0" t="s">
        <x:v>17</x:v>
      </x:c>
      <x:c r="B122" s="1"/>
      <x:c r="C122" s="0" t="s">
        <x:v>127</x:v>
      </x:c>
      <x:c r="D122" s="0" t="s">
        <x:v>390</x:v>
      </x:c>
      <x:c r="E122" s="2"/>
      <x:c r="G122" s="3"/>
      <x:c r="H122" s="3"/>
      <x:c r="I122" s="4"/>
      <x:c r="J122" s="3"/>
      <x:c r="K122" s="4">
        <x:f>""</x:f>
      </x:c>
      <x:c r="L122" s="1"/>
      <x:c r="M122" s="0" t="s">
        <x:v>391</x:v>
      </x:c>
    </x:row>
    <x:row r="123" spans="1:13" outlineLevel="2">
      <x:c r="A123" s="0" t="s">
        <x:v>130</x:v>
      </x:c>
      <x:c r="B123" s="1" t="s">
        <x:v>392</x:v>
      </x:c>
      <x:c r="C123" s="0" t="s">
        <x:v>267</x:v>
      </x:c>
      <x:c r="D123" s="0" t="s">
        <x:v>393</x:v>
      </x:c>
      <x:c r="E123" s="2">
        <x:v>5</x:v>
      </x:c>
      <x:c r="F123" s="0" t="s">
        <x:v>269</x:v>
      </x:c>
      <x:c r="G123" s="3">
        <x:f>SUMPRODUCT((Kalkulation!A2:A50000=B123)*Kalkulation!D2:D50000)</x:f>
      </x:c>
      <x:c r="H123" s="3">
        <x:f>G123*E123</x:f>
      </x:c>
      <x:c r="I123" s="4"/>
      <x:c r="J123" s="3">
        <x:f>H123*(1-I123)</x:f>
      </x:c>
      <x:c r="K123" s="4">
        <x:f>B2</x:f>
      </x:c>
      <x:c r="L123" s="1" t="s">
        <x:v>394</x:v>
      </x:c>
      <x:c r="M123" s="0" t="s">
        <x:v>395</x:v>
      </x:c>
    </x:row>
    <x:row r="124" spans="1:13" outlineLevel="2">
      <x:c r="A124" s="0" t="s">
        <x:v>130</x:v>
      </x:c>
      <x:c r="B124" s="1" t="s">
        <x:v>396</x:v>
      </x:c>
      <x:c r="C124" s="0" t="s">
        <x:v>273</x:v>
      </x:c>
      <x:c r="D124" s="0" t="s">
        <x:v>397</x:v>
      </x:c>
      <x:c r="E124" s="2">
        <x:v>10</x:v>
      </x:c>
      <x:c r="F124" s="0" t="s">
        <x:v>269</x:v>
      </x:c>
      <x:c r="G124" s="3">
        <x:f>SUMPRODUCT((Kalkulation!A2:A50000=B124)*Kalkulation!D2:D50000)</x:f>
      </x:c>
      <x:c r="H124" s="3">
        <x:f>G124*E124</x:f>
      </x:c>
      <x:c r="I124" s="4"/>
      <x:c r="J124" s="3">
        <x:f>H124*(1-I124)</x:f>
      </x:c>
      <x:c r="K124" s="4">
        <x:f>B2</x:f>
      </x:c>
      <x:c r="L124" s="1" t="s">
        <x:v>394</x:v>
      </x:c>
      <x:c r="M124" s="0" t="s">
        <x:v>398</x:v>
      </x:c>
    </x:row>
    <x:row r="125" spans="1:13" outlineLevel="2">
      <x:c r="A125" s="0" t="s">
        <x:v>130</x:v>
      </x:c>
      <x:c r="B125" s="1" t="s">
        <x:v>399</x:v>
      </x:c>
      <x:c r="C125" s="0" t="s">
        <x:v>400</x:v>
      </x:c>
      <x:c r="E125" s="2">
        <x:v>20</x:v>
      </x:c>
      <x:c r="F125" s="0" t="s">
        <x:v>269</x:v>
      </x:c>
      <x:c r="G125" s="3">
        <x:f>SUMPRODUCT((Kalkulation!A2:A50000=B125)*Kalkulation!D2:D50000)</x:f>
      </x:c>
      <x:c r="H125" s="3">
        <x:f>G125*E125</x:f>
      </x:c>
      <x:c r="I125" s="4"/>
      <x:c r="J125" s="3">
        <x:f>H125*(1-I125)</x:f>
      </x:c>
      <x:c r="K125" s="4">
        <x:f>B2</x:f>
      </x:c>
      <x:c r="L125" s="1" t="s">
        <x:v>394</x:v>
      </x:c>
      <x:c r="M125" s="0" t="s">
        <x:v>401</x:v>
      </x:c>
    </x:row>
    <x:row r="126" spans="1:13" outlineLevel="2">
      <x:c r="A126" s="0" t="s">
        <x:v>130</x:v>
      </x:c>
      <x:c r="B126" s="1" t="s">
        <x:v>402</x:v>
      </x:c>
      <x:c r="C126" s="0" t="s">
        <x:v>403</x:v>
      </x:c>
      <x:c r="D126" s="0" t="s">
        <x:v>404</x:v>
      </x:c>
      <x:c r="E126" s="2">
        <x:v>1</x:v>
      </x:c>
      <x:c r="F126" s="0" t="s">
        <x:v>405</x:v>
      </x:c>
      <x:c r="G126" s="3">
        <x:f>SUMPRODUCT((Kalkulation!A2:A50000=B126)*Kalkulation!D2:D50000)</x:f>
      </x:c>
      <x:c r="H126" s="3">
        <x:f>G126*E126</x:f>
      </x:c>
      <x:c r="I126" s="4"/>
      <x:c r="J126" s="3">
        <x:f>H126*(1-I126)</x:f>
      </x:c>
      <x:c r="K126" s="4">
        <x:f>B2</x:f>
      </x:c>
      <x:c r="L126" s="1" t="s">
        <x:v>394</x:v>
      </x:c>
      <x:c r="M126" s="0" t="s">
        <x:v>406</x:v>
      </x:c>
    </x:row>
    <x:row r="127" spans="1:13" outlineLevel="2">
      <x:c r="A127" s="0" t="s">
        <x:v>130</x:v>
      </x:c>
      <x:c r="B127" s="1" t="s">
        <x:v>407</x:v>
      </x:c>
      <x:c r="C127" s="0" t="s">
        <x:v>408</x:v>
      </x:c>
      <x:c r="D127" s="0" t="s">
        <x:v>404</x:v>
      </x:c>
      <x:c r="E127" s="2">
        <x:v>1</x:v>
      </x:c>
      <x:c r="F127" s="0" t="s">
        <x:v>405</x:v>
      </x:c>
      <x:c r="G127" s="3">
        <x:f>SUMPRODUCT((Kalkulation!A2:A50000=B127)*Kalkulation!D2:D50000)</x:f>
      </x:c>
      <x:c r="H127" s="3">
        <x:f>G127*E127</x:f>
      </x:c>
      <x:c r="I127" s="4"/>
      <x:c r="J127" s="3">
        <x:f>H127*(1-I127)</x:f>
      </x:c>
      <x:c r="K127" s="4">
        <x:f>B2</x:f>
      </x:c>
      <x:c r="L127" s="1" t="s">
        <x:v>394</x:v>
      </x:c>
      <x:c r="M127" s="0" t="s">
        <x:v>409</x:v>
      </x:c>
    </x:row>
    <x:row r="128" spans="1:13" outlineLevel="2">
      <x:c r="A128" s="0" t="s">
        <x:v>130</x:v>
      </x:c>
      <x:c r="B128" s="1" t="s">
        <x:v>410</x:v>
      </x:c>
      <x:c r="C128" s="0" t="s">
        <x:v>411</x:v>
      </x:c>
      <x:c r="D128" s="0" t="s">
        <x:v>412</x:v>
      </x:c>
      <x:c r="E128" s="2">
        <x:v>1</x:v>
      </x:c>
      <x:c r="F128" s="0" t="s">
        <x:v>405</x:v>
      </x:c>
      <x:c r="G128" s="3">
        <x:f>SUMPRODUCT((Kalkulation!A2:A50000=B128)*Kalkulation!D2:D50000)</x:f>
      </x:c>
      <x:c r="H128" s="3">
        <x:f>G128*E128</x:f>
      </x:c>
      <x:c r="I128" s="4"/>
      <x:c r="J128" s="3">
        <x:f>H128*(1-I128)</x:f>
      </x:c>
      <x:c r="K128" s="4">
        <x:f>B2</x:f>
      </x:c>
      <x:c r="L128" s="1" t="s">
        <x:v>394</x:v>
      </x:c>
      <x:c r="M128" s="0" t="s">
        <x:v>413</x:v>
      </x:c>
    </x:row>
    <x:row r="129" spans="1:13" outlineLevel="2">
      <x:c r="A129" s="0" t="s">
        <x:v>130</x:v>
      </x:c>
      <x:c r="B129" s="1" t="s">
        <x:v>414</x:v>
      </x:c>
      <x:c r="C129" s="0" t="s">
        <x:v>415</x:v>
      </x:c>
      <x:c r="D129" s="0" t="s">
        <x:v>404</x:v>
      </x:c>
      <x:c r="E129" s="2">
        <x:v>1</x:v>
      </x:c>
      <x:c r="F129" s="0" t="s">
        <x:v>405</x:v>
      </x:c>
      <x:c r="G129" s="3">
        <x:f>SUMPRODUCT((Kalkulation!A2:A50000=B129)*Kalkulation!D2:D50000)</x:f>
      </x:c>
      <x:c r="H129" s="3">
        <x:f>G129*E129</x:f>
      </x:c>
      <x:c r="I129" s="4"/>
      <x:c r="J129" s="3">
        <x:f>H129*(1-I129)</x:f>
      </x:c>
      <x:c r="K129" s="4">
        <x:f>B2</x:f>
      </x:c>
      <x:c r="L129" s="1" t="s">
        <x:v>394</x:v>
      </x:c>
      <x:c r="M129" s="0" t="s">
        <x:v>416</x:v>
      </x:c>
    </x:row>
    <x:row r="130" spans="1:13" s="5" customFormat="1" outlineLevel="1">
      <x:c r="A130" s="12" t="s">
        <x:v>156</x:v>
      </x:c>
      <x:c r="B130" s="13" t="s">
        <x:v>389</x:v>
      </x:c>
      <x:c r="C130" s="12" t="s">
        <x:v>262</x:v>
      </x:c>
      <x:c r="D130" s="12"/>
      <x:c r="E130" s="14"/>
      <x:c r="F130" s="12"/>
      <x:c r="G130" s="15"/>
      <x:c r="H130" s="15">
        <x:f>SUMIF(L:L,"9b509d6e-8541-477b-8863-39aaeb857342",J:J)</x:f>
      </x:c>
      <x:c r="I130" s="16"/>
      <x:c r="J130" s="15">
        <x:f>H130*(1-I130)</x:f>
      </x:c>
      <x:c r="K130" s="16"/>
      <x:c r="L130" s="6" t="s">
        <x:v>157</x:v>
      </x:c>
      <x:c r="M130" s="5" t="s">
        <x:v>394</x:v>
      </x:c>
    </x:row>
    <x:row r="131" spans="1:13" s="5" customFormat="1">
      <x:c r="A131" s="12" t="s">
        <x:v>156</x:v>
      </x:c>
      <x:c r="B131" s="13" t="s">
        <x:v>15</x:v>
      </x:c>
      <x:c r="C131" s="12" t="s">
        <x:v>16</x:v>
      </x:c>
      <x:c r="D131" s="12"/>
      <x:c r="E131" s="14"/>
      <x:c r="F131" s="12"/>
      <x:c r="G131" s="15"/>
      <x:c r="H131" s="15">
        <x:f>SUMIF(L:L,"7672c856-619c-46c3-9187-5677608e5522",J:J)</x:f>
      </x:c>
      <x:c r="I131" s="16"/>
      <x:c r="J131" s="15">
        <x:f>H131*(1-I131)</x:f>
      </x:c>
      <x:c r="K131" s="16"/>
      <x:c r="L131" s="6" t="s">
        <x:v>417</x:v>
      </x:c>
      <x:c r="M131" s="5" t="s">
        <x:v>157</x:v>
      </x:c>
    </x:row>
    <x:row r="132" spans="1:13" s="5" customFormat="1">
      <x:c r="A132" s="12" t="s">
        <x:v>418</x:v>
      </x:c>
      <x:c r="B132" s="13"/>
      <x:c r="C132" s="12"/>
      <x:c r="D132" s="12"/>
      <x:c r="E132" s="14"/>
      <x:c r="F132" s="12"/>
      <x:c r="G132" s="15"/>
      <x:c r="H132" s="15">
        <x:f>SUMIF(L:L,"dac0e5e1-1be5-4fb2-b3be-7ddb1537852a",J:J)</x:f>
      </x:c>
      <x:c r="I132" s="16"/>
      <x:c r="J132" s="15">
        <x:f>(1-I132)*H132</x:f>
      </x:c>
      <x:c r="K132" s="16"/>
      <x:c r="L132" s="6"/>
      <x:c r="M132" s="5" t="s">
        <x:v>417</x:v>
      </x:c>
    </x:row>
    <x:row r="133" spans="1:13">
      <x:c r="I133" s="4">
        <x:f>"MwSt. "&amp;$B$2*100&amp;"%"</x:f>
      </x:c>
      <x:c r="J133" s="3">
        <x:f>$B$2*J132</x:f>
      </x:c>
    </x:row>
    <x:row r="134" spans="1:13">
      <x:c r="I134" s="11" t="s">
        <x:v>419</x:v>
      </x:c>
      <x:c r="J134" s="10">
        <x:f>(1+$B$2)*J132</x:f>
      </x:c>
    </x:row>
  </x:sheetData>
  <x:mergeCells count="1">
    <x:mergeCell ref="B1:K1"/>
  </x:mergeCells>
  <x:printOptions horizontalCentered="0" verticalCentered="0" headings="0" gridLines="0"/>
  <x:pageMargins left="0.4" right="0.4" top="0.75" bottom="1" header="0.5" footer="0.75"/>
  <x:pageSetup paperSize="9" fitToHeight="0" pageOrder="downThenOver" orientation="landscape" blackAndWhite="0" draft="0" cellComments="none" errors="displayed"/>
  <x:headerFooter differentOddEven="0" differentFirst="0" scaleWithDoc="1" alignWithMargins="1">
    <x:oddHeader>&amp;CGAEB Export - 2140&amp;R&amp;D</x:oddHeader>
    <x:oddFooter>&amp;LDangl.AVA.Converter www.dangl-it.com V2.28.9 ©2026&amp;R&amp;P/&amp;N</x:oddFooter>
    <x:evenHeader>&amp;CGAEB Export - 2140&amp;R&amp;D</x:evenHeader>
    <x:evenFooter>&amp;LDangl.AVA.Converter www.dangl-it.com V2.28.9 ©2026&amp;R&amp;P/&amp;N</x:evenFooter>
    <x:firstHeader>&amp;CGAEB Export - 2140&amp;R&amp;D</x:firstHeader>
    <x:firstFooter>&amp;LDangl.AVA.Converter www.dangl-it.com V2.28.9 ©2026&amp;R&amp;P/&amp;N</x:firstFooter>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28"/>
  <x:sheetViews>
    <x:sheetView workbookViewId="0"/>
  </x:sheetViews>
  <x:sheetFormatPr defaultRowHeight="15"/>
  <x:cols>
    <x:col min="1" max="1" width="30.710625" style="0" customWidth="1"/>
    <x:col min="2" max="2" width="40.710625" style="0" customWidth="1"/>
  </x:cols>
  <x:sheetData>
    <x:row r="1" spans="1:2">
      <x:c r="A1" s="5" t="s">
        <x:v>0</x:v>
      </x:c>
      <x:c r="B1" s="0" t="s">
        <x:v>420</x:v>
      </x:c>
    </x:row>
    <x:row r="2" spans="1:2">
      <x:c r="A2" s="7" t="s">
        <x:v>421</x:v>
      </x:c>
      <x:c r="B2" s="7"/>
    </x:row>
    <x:row r="3" spans="1:2">
      <x:c r="A3" s="0" t="s">
        <x:v>422</x:v>
      </x:c>
      <x:c r="B3" s="0" t="s">
        <x:v>423</x:v>
      </x:c>
    </x:row>
    <x:row r="4" spans="1:2">
      <x:c r="A4" s="0" t="s">
        <x:v>424</x:v>
      </x:c>
      <x:c r="B4" s="0" t="s">
        <x:v>425</x:v>
      </x:c>
    </x:row>
    <x:row r="6" spans="1:2">
      <x:c r="A6" s="7" t="s">
        <x:v>426</x:v>
      </x:c>
      <x:c r="B6" s="7"/>
    </x:row>
    <x:row r="7" spans="1:2">
      <x:c r="A7" s="0" t="s">
        <x:v>427</x:v>
      </x:c>
      <x:c r="B7" s="0" t="s">
        <x:v>428</x:v>
      </x:c>
    </x:row>
    <x:row r="8" spans="1:2">
      <x:c r="A8" s="0" t="s">
        <x:v>429</x:v>
      </x:c>
      <x:c r="B8" s="0" t="s">
        <x:v>430</x:v>
      </x:c>
    </x:row>
    <x:row r="9" spans="1:2">
      <x:c r="A9" s="0" t="s">
        <x:v>431</x:v>
      </x:c>
      <x:c r="B9" s="0" t="s">
        <x:v>432</x:v>
      </x:c>
    </x:row>
    <x:row r="10" spans="1:2">
      <x:c r="A10" s="0" t="s">
        <x:v>433</x:v>
      </x:c>
      <x:c r="B10" s="0" t="s">
        <x:v>434</x:v>
      </x:c>
    </x:row>
    <x:row r="11" spans="1:2">
      <x:c r="A11" s="0" t="s">
        <x:v>435</x:v>
      </x:c>
      <x:c r="B11" s="0" t="s">
        <x:v>436</x:v>
      </x:c>
    </x:row>
    <x:row r="12" spans="1:2">
      <x:c r="A12" s="0" t="s">
        <x:v>437</x:v>
      </x:c>
    </x:row>
    <x:row r="13" spans="1:2">
      <x:c r="A13" s="0" t="s">
        <x:v>438</x:v>
      </x:c>
      <x:c r="B13" s="0" t="s">
        <x:v>439</x:v>
      </x:c>
    </x:row>
    <x:row r="14" spans="1:2">
      <x:c r="A14" s="0" t="s">
        <x:v>440</x:v>
      </x:c>
      <x:c r="B14" s="0" t="s">
        <x:v>441</x:v>
      </x:c>
    </x:row>
    <x:row r="17" spans="1:2">
      <x:c r="A17" s="7" t="s">
        <x:v>442</x:v>
      </x:c>
      <x:c r="B17" s="7"/>
    </x:row>
    <x:row r="18" spans="1:2">
      <x:c r="A18" s="0" t="s">
        <x:v>427</x:v>
      </x:c>
    </x:row>
    <x:row r="22" spans="1:2">
      <x:c r="A22" s="0" t="s">
        <x:v>429</x:v>
      </x:c>
    </x:row>
    <x:row r="23" spans="1:2">
      <x:c r="A23" s="0" t="s">
        <x:v>431</x:v>
      </x:c>
    </x:row>
    <x:row r="24" spans="1:2">
      <x:c r="A24" s="0" t="s">
        <x:v>433</x:v>
      </x:c>
    </x:row>
    <x:row r="25" spans="1:2">
      <x:c r="A25" s="0" t="s">
        <x:v>435</x:v>
      </x:c>
    </x:row>
    <x:row r="26" spans="1:2">
      <x:c r="A26" s="0" t="s">
        <x:v>437</x:v>
      </x:c>
    </x:row>
    <x:row r="27" spans="1:2">
      <x:c r="A27" s="0" t="s">
        <x:v>438</x:v>
      </x:c>
    </x:row>
    <x:row r="28" spans="1:2">
      <x:c r="A28" s="0" t="s">
        <x:v>440</x:v>
      </x:c>
    </x:row>
  </x:sheetData>
  <x:mergeCells count="3">
    <x:mergeCell ref="A2:B2"/>
    <x:mergeCell ref="A6:B6"/>
    <x:mergeCell ref="A17:B17"/>
  </x:mergeCells>
  <x:printOptions horizontalCentered="0" verticalCentered="0" headings="0" gridLines="0"/>
  <x:pageMargins left="0.75" right="0.75" top="0.75" bottom="0.5" header="0.5" footer="0.75"/>
  <x:pageSetup paperSize="9" scale="100" pageOrder="downThenOver" orientation="portrait" blackAndWhite="0" draft="0" cellComments="none" errors="displayed"/>
  <x:headerFooter differentOddEven="0" differentFirst="0" scaleWithDoc="1" alignWithMargins="1">
    <x:oddHeader>&amp;L&amp;P/&amp;N&amp;CProjektinfo - 2140&amp;R&amp;D</x:oddHeader>
    <x:oddFooter>&amp;LDangl.AVA.Converter www.dangl-it.com V2.28.9 ©2026</x:oddFooter>
    <x:evenHeader>&amp;L&amp;P/&amp;N&amp;CProjektinfo - 2140&amp;R&amp;D</x:evenHeader>
    <x:evenFooter>&amp;LDangl.AVA.Converter www.dangl-it.com V2.28.9 ©2026</x:evenFooter>
    <x:firstHeader>&amp;L&amp;P/&amp;N&amp;CProjektinfo - 2140&amp;R&amp;D</x:firstHeader>
    <x:firstFooter>&amp;LDangl.AVA.Converter www.dangl-it.com V2.28.9 ©2026</x:firstFooter>
  </x:headerFooter>
  <x:tableParts count="0"/>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62"/>
  <x:sheetViews>
    <x:sheetView workbookViewId="0">
      <x:pane xSplit="0" ySplit="1" topLeftCell="A2" activePane="bottomLeft" state="frozenSplit"/>
    </x:sheetView>
  </x:sheetViews>
  <x:sheetFormatPr defaultRowHeight="15"/>
  <x:cols>
    <x:col min="1" max="1" width="15.710625" style="1" customWidth="1"/>
    <x:col min="2" max="2" width="76.710625" style="0" customWidth="1"/>
    <x:col min="3" max="3" width="20.710625" style="0" customWidth="1"/>
    <x:col min="4" max="4" width="15.710625" style="17" customWidth="1"/>
    <x:col min="5" max="5" width="12.710625" style="18" customWidth="1"/>
    <x:col min="6" max="6" width="9.140625" style="0" hidden="1" customWidth="1"/>
  </x:cols>
  <x:sheetData>
    <x:row r="1" spans="1:6" s="19" customFormat="1">
      <x:c r="A1" s="20" t="s">
        <x:v>3</x:v>
      </x:c>
      <x:c r="B1" s="21" t="s">
        <x:v>443</x:v>
      </x:c>
      <x:c r="C1" s="21" t="s">
        <x:v>444</x:v>
      </x:c>
      <x:c r="D1" s="22" t="s">
        <x:v>445</x:v>
      </x:c>
      <x:c r="E1" s="21" t="s">
        <x:v>7</x:v>
      </x:c>
      <x:c r="F1" s="19" t="s">
        <x:v>131</x:v>
      </x:c>
    </x:row>
    <x:row r="2" spans="1:6">
      <x:c r="A2" s="1" t="s">
        <x:v>131</x:v>
      </x:c>
      <x:c r="E2" s="18">
        <x:f>IF(ISBLANK(A2),"",IF(ISNA(VLOOKUP(A2,'2140'!$B$4:$F$134,5,FALSE)),"",VLOOKUP(A2,'2140'!$B$4:$F$134,5,FALSE))&amp;"")</x:f>
      </x:c>
      <x:c r="F2" s="0" t="s">
        <x:v>136</x:v>
      </x:c>
    </x:row>
    <x:row r="3" spans="1:6">
      <x:c r="A3" s="1" t="s">
        <x:v>136</x:v>
      </x:c>
      <x:c r="E3" s="18">
        <x:f>IF(ISBLANK(A3),"",IF(ISNA(VLOOKUP(A3,'2140'!$B$4:$F$134,5,FALSE)),"",VLOOKUP(A3,'2140'!$B$4:$F$134,5,FALSE))&amp;"")</x:f>
      </x:c>
      <x:c r="F3" s="0" t="s">
        <x:v>140</x:v>
      </x:c>
    </x:row>
    <x:row r="4" spans="1:6">
      <x:c r="A4" s="1" t="s">
        <x:v>140</x:v>
      </x:c>
      <x:c r="E4" s="18">
        <x:f>IF(ISBLANK(A4),"",IF(ISNA(VLOOKUP(A4,'2140'!$B$4:$F$134,5,FALSE)),"",VLOOKUP(A4,'2140'!$B$4:$F$134,5,FALSE))&amp;"")</x:f>
      </x:c>
      <x:c r="F4" s="0" t="s">
        <x:v>144</x:v>
      </x:c>
    </x:row>
    <x:row r="5" spans="1:6">
      <x:c r="A5" s="1" t="s">
        <x:v>144</x:v>
      </x:c>
      <x:c r="E5" s="18">
        <x:f>IF(ISBLANK(A5),"",IF(ISNA(VLOOKUP(A5,'2140'!$B$4:$F$134,5,FALSE)),"",VLOOKUP(A5,'2140'!$B$4:$F$134,5,FALSE))&amp;"")</x:f>
      </x:c>
      <x:c r="F5" s="0" t="s">
        <x:v>149</x:v>
      </x:c>
    </x:row>
    <x:row r="6" spans="1:6">
      <x:c r="A6" s="1" t="s">
        <x:v>149</x:v>
      </x:c>
      <x:c r="E6" s="18">
        <x:f>IF(ISBLANK(A6),"",IF(ISNA(VLOOKUP(A6,'2140'!$B$4:$F$134,5,FALSE)),"",VLOOKUP(A6,'2140'!$B$4:$F$134,5,FALSE))&amp;"")</x:f>
      </x:c>
      <x:c r="F6" s="0" t="s">
        <x:v>153</x:v>
      </x:c>
    </x:row>
    <x:row r="7" spans="1:6">
      <x:c r="A7" s="1" t="s">
        <x:v>153</x:v>
      </x:c>
      <x:c r="E7" s="18">
        <x:f>IF(ISBLANK(A7),"",IF(ISNA(VLOOKUP(A7,'2140'!$B$4:$F$134,5,FALSE)),"",VLOOKUP(A7,'2140'!$B$4:$F$134,5,FALSE))&amp;"")</x:f>
      </x:c>
      <x:c r="F7" s="0" t="s">
        <x:v>161</x:v>
      </x:c>
    </x:row>
    <x:row r="8" spans="1:6">
      <x:c r="A8" s="1" t="s">
        <x:v>161</x:v>
      </x:c>
      <x:c r="E8" s="18">
        <x:f>IF(ISBLANK(A8),"",IF(ISNA(VLOOKUP(A8,'2140'!$B$4:$F$134,5,FALSE)),"",VLOOKUP(A8,'2140'!$B$4:$F$134,5,FALSE))&amp;"")</x:f>
      </x:c>
      <x:c r="F8" s="0" t="s">
        <x:v>167</x:v>
      </x:c>
    </x:row>
    <x:row r="9" spans="1:6">
      <x:c r="A9" s="1" t="s">
        <x:v>167</x:v>
      </x:c>
      <x:c r="E9" s="18">
        <x:f>IF(ISBLANK(A9),"",IF(ISNA(VLOOKUP(A9,'2140'!$B$4:$F$134,5,FALSE)),"",VLOOKUP(A9,'2140'!$B$4:$F$134,5,FALSE))&amp;"")</x:f>
      </x:c>
      <x:c r="F9" s="0" t="s">
        <x:v>171</x:v>
      </x:c>
    </x:row>
    <x:row r="10" spans="1:6">
      <x:c r="A10" s="1" t="s">
        <x:v>171</x:v>
      </x:c>
      <x:c r="E10" s="18">
        <x:f>IF(ISBLANK(A10),"",IF(ISNA(VLOOKUP(A10,'2140'!$B$4:$F$134,5,FALSE)),"",VLOOKUP(A10,'2140'!$B$4:$F$134,5,FALSE))&amp;"")</x:f>
      </x:c>
      <x:c r="F10" s="0" t="s">
        <x:v>176</x:v>
      </x:c>
    </x:row>
    <x:row r="11" spans="1:6">
      <x:c r="A11" s="1" t="s">
        <x:v>176</x:v>
      </x:c>
      <x:c r="E11" s="18">
        <x:f>IF(ISBLANK(A11),"",IF(ISNA(VLOOKUP(A11,'2140'!$B$4:$F$134,5,FALSE)),"",VLOOKUP(A11,'2140'!$B$4:$F$134,5,FALSE))&amp;"")</x:f>
      </x:c>
      <x:c r="F11" s="0" t="s">
        <x:v>180</x:v>
      </x:c>
    </x:row>
    <x:row r="12" spans="1:6">
      <x:c r="A12" s="1" t="s">
        <x:v>180</x:v>
      </x:c>
      <x:c r="E12" s="18">
        <x:f>IF(ISBLANK(A12),"",IF(ISNA(VLOOKUP(A12,'2140'!$B$4:$F$134,5,FALSE)),"",VLOOKUP(A12,'2140'!$B$4:$F$134,5,FALSE))&amp;"")</x:f>
      </x:c>
      <x:c r="F12" s="0" t="s">
        <x:v>184</x:v>
      </x:c>
    </x:row>
    <x:row r="13" spans="1:6">
      <x:c r="A13" s="1" t="s">
        <x:v>184</x:v>
      </x:c>
      <x:c r="E13" s="18">
        <x:f>IF(ISBLANK(A13),"",IF(ISNA(VLOOKUP(A13,'2140'!$B$4:$F$134,5,FALSE)),"",VLOOKUP(A13,'2140'!$B$4:$F$134,5,FALSE))&amp;"")</x:f>
      </x:c>
      <x:c r="F13" s="0" t="s">
        <x:v>188</x:v>
      </x:c>
    </x:row>
    <x:row r="14" spans="1:6">
      <x:c r="A14" s="1" t="s">
        <x:v>188</x:v>
      </x:c>
      <x:c r="E14" s="18">
        <x:f>IF(ISBLANK(A14),"",IF(ISNA(VLOOKUP(A14,'2140'!$B$4:$F$134,5,FALSE)),"",VLOOKUP(A14,'2140'!$B$4:$F$134,5,FALSE))&amp;"")</x:f>
      </x:c>
      <x:c r="F14" s="0" t="s">
        <x:v>192</x:v>
      </x:c>
    </x:row>
    <x:row r="15" spans="1:6">
      <x:c r="A15" s="1" t="s">
        <x:v>192</x:v>
      </x:c>
      <x:c r="E15" s="18">
        <x:f>IF(ISBLANK(A15),"",IF(ISNA(VLOOKUP(A15,'2140'!$B$4:$F$134,5,FALSE)),"",VLOOKUP(A15,'2140'!$B$4:$F$134,5,FALSE))&amp;"")</x:f>
      </x:c>
      <x:c r="F15" s="0" t="s">
        <x:v>196</x:v>
      </x:c>
    </x:row>
    <x:row r="16" spans="1:6">
      <x:c r="A16" s="1" t="s">
        <x:v>196</x:v>
      </x:c>
      <x:c r="E16" s="18">
        <x:f>IF(ISBLANK(A16),"",IF(ISNA(VLOOKUP(A16,'2140'!$B$4:$F$134,5,FALSE)),"",VLOOKUP(A16,'2140'!$B$4:$F$134,5,FALSE))&amp;"")</x:f>
      </x:c>
      <x:c r="F16" s="0" t="s">
        <x:v>200</x:v>
      </x:c>
    </x:row>
    <x:row r="17" spans="1:6">
      <x:c r="A17" s="1" t="s">
        <x:v>200</x:v>
      </x:c>
      <x:c r="E17" s="18">
        <x:f>IF(ISBLANK(A17),"",IF(ISNA(VLOOKUP(A17,'2140'!$B$4:$F$134,5,FALSE)),"",VLOOKUP(A17,'2140'!$B$4:$F$134,5,FALSE))&amp;"")</x:f>
      </x:c>
      <x:c r="F17" s="0" t="s">
        <x:v>204</x:v>
      </x:c>
    </x:row>
    <x:row r="18" spans="1:6">
      <x:c r="A18" s="1" t="s">
        <x:v>204</x:v>
      </x:c>
      <x:c r="E18" s="18">
        <x:f>IF(ISBLANK(A18),"",IF(ISNA(VLOOKUP(A18,'2140'!$B$4:$F$134,5,FALSE)),"",VLOOKUP(A18,'2140'!$B$4:$F$134,5,FALSE))&amp;"")</x:f>
      </x:c>
      <x:c r="F18" s="0" t="s">
        <x:v>208</x:v>
      </x:c>
    </x:row>
    <x:row r="19" spans="1:6">
      <x:c r="A19" s="1" t="s">
        <x:v>208</x:v>
      </x:c>
      <x:c r="E19" s="18">
        <x:f>IF(ISBLANK(A19),"",IF(ISNA(VLOOKUP(A19,'2140'!$B$4:$F$134,5,FALSE)),"",VLOOKUP(A19,'2140'!$B$4:$F$134,5,FALSE))&amp;"")</x:f>
      </x:c>
      <x:c r="F19" s="0" t="s">
        <x:v>212</x:v>
      </x:c>
    </x:row>
    <x:row r="20" spans="1:6">
      <x:c r="A20" s="1" t="s">
        <x:v>212</x:v>
      </x:c>
      <x:c r="E20" s="18">
        <x:f>IF(ISBLANK(A20),"",IF(ISNA(VLOOKUP(A20,'2140'!$B$4:$F$134,5,FALSE)),"",VLOOKUP(A20,'2140'!$B$4:$F$134,5,FALSE))&amp;"")</x:f>
      </x:c>
      <x:c r="F20" s="0" t="s">
        <x:v>216</x:v>
      </x:c>
    </x:row>
    <x:row r="21" spans="1:6">
      <x:c r="A21" s="1" t="s">
        <x:v>216</x:v>
      </x:c>
      <x:c r="E21" s="18">
        <x:f>IF(ISBLANK(A21),"",IF(ISNA(VLOOKUP(A21,'2140'!$B$4:$F$134,5,FALSE)),"",VLOOKUP(A21,'2140'!$B$4:$F$134,5,FALSE))&amp;"")</x:f>
      </x:c>
      <x:c r="F21" s="0" t="s">
        <x:v>220</x:v>
      </x:c>
    </x:row>
    <x:row r="22" spans="1:6">
      <x:c r="A22" s="1" t="s">
        <x:v>220</x:v>
      </x:c>
      <x:c r="E22" s="18">
        <x:f>IF(ISBLANK(A22),"",IF(ISNA(VLOOKUP(A22,'2140'!$B$4:$F$134,5,FALSE)),"",VLOOKUP(A22,'2140'!$B$4:$F$134,5,FALSE))&amp;"")</x:f>
      </x:c>
      <x:c r="F22" s="0" t="s">
        <x:v>223</x:v>
      </x:c>
    </x:row>
    <x:row r="23" spans="1:6">
      <x:c r="A23" s="1" t="s">
        <x:v>223</x:v>
      </x:c>
      <x:c r="E23" s="18">
        <x:f>IF(ISBLANK(A23),"",IF(ISNA(VLOOKUP(A23,'2140'!$B$4:$F$134,5,FALSE)),"",VLOOKUP(A23,'2140'!$B$4:$F$134,5,FALSE))&amp;"")</x:f>
      </x:c>
      <x:c r="F23" s="0" t="s">
        <x:v>227</x:v>
      </x:c>
    </x:row>
    <x:row r="24" spans="1:6">
      <x:c r="A24" s="1" t="s">
        <x:v>227</x:v>
      </x:c>
      <x:c r="E24" s="18">
        <x:f>IF(ISBLANK(A24),"",IF(ISNA(VLOOKUP(A24,'2140'!$B$4:$F$134,5,FALSE)),"",VLOOKUP(A24,'2140'!$B$4:$F$134,5,FALSE))&amp;"")</x:f>
      </x:c>
      <x:c r="F24" s="0" t="s">
        <x:v>231</x:v>
      </x:c>
    </x:row>
    <x:row r="25" spans="1:6">
      <x:c r="A25" s="1" t="s">
        <x:v>231</x:v>
      </x:c>
      <x:c r="E25" s="18">
        <x:f>IF(ISBLANK(A25),"",IF(ISNA(VLOOKUP(A25,'2140'!$B$4:$F$134,5,FALSE)),"",VLOOKUP(A25,'2140'!$B$4:$F$134,5,FALSE))&amp;"")</x:f>
      </x:c>
      <x:c r="F25" s="0" t="s">
        <x:v>235</x:v>
      </x:c>
    </x:row>
    <x:row r="26" spans="1:6">
      <x:c r="A26" s="1" t="s">
        <x:v>235</x:v>
      </x:c>
      <x:c r="E26" s="18">
        <x:f>IF(ISBLANK(A26),"",IF(ISNA(VLOOKUP(A26,'2140'!$B$4:$F$134,5,FALSE)),"",VLOOKUP(A26,'2140'!$B$4:$F$134,5,FALSE))&amp;"")</x:f>
      </x:c>
      <x:c r="F26" s="0" t="s">
        <x:v>239</x:v>
      </x:c>
    </x:row>
    <x:row r="27" spans="1:6">
      <x:c r="A27" s="1" t="s">
        <x:v>239</x:v>
      </x:c>
      <x:c r="E27" s="18">
        <x:f>IF(ISBLANK(A27),"",IF(ISNA(VLOOKUP(A27,'2140'!$B$4:$F$134,5,FALSE)),"",VLOOKUP(A27,'2140'!$B$4:$F$134,5,FALSE))&amp;"")</x:f>
      </x:c>
      <x:c r="F27" s="0" t="s">
        <x:v>243</x:v>
      </x:c>
    </x:row>
    <x:row r="28" spans="1:6">
      <x:c r="A28" s="1" t="s">
        <x:v>243</x:v>
      </x:c>
      <x:c r="E28" s="18">
        <x:f>IF(ISBLANK(A28),"",IF(ISNA(VLOOKUP(A28,'2140'!$B$4:$F$134,5,FALSE)),"",VLOOKUP(A28,'2140'!$B$4:$F$134,5,FALSE))&amp;"")</x:f>
      </x:c>
      <x:c r="F28" s="0" t="s">
        <x:v>247</x:v>
      </x:c>
    </x:row>
    <x:row r="29" spans="1:6">
      <x:c r="A29" s="1" t="s">
        <x:v>247</x:v>
      </x:c>
      <x:c r="E29" s="18">
        <x:f>IF(ISBLANK(A29),"",IF(ISNA(VLOOKUP(A29,'2140'!$B$4:$F$134,5,FALSE)),"",VLOOKUP(A29,'2140'!$B$4:$F$134,5,FALSE))&amp;"")</x:f>
      </x:c>
      <x:c r="F29" s="0" t="s">
        <x:v>251</x:v>
      </x:c>
    </x:row>
    <x:row r="30" spans="1:6">
      <x:c r="A30" s="1" t="s">
        <x:v>251</x:v>
      </x:c>
      <x:c r="E30" s="18">
        <x:f>IF(ISBLANK(A30),"",IF(ISNA(VLOOKUP(A30,'2140'!$B$4:$F$134,5,FALSE)),"",VLOOKUP(A30,'2140'!$B$4:$F$134,5,FALSE))&amp;"")</x:f>
      </x:c>
      <x:c r="F30" s="0" t="s">
        <x:v>255</x:v>
      </x:c>
    </x:row>
    <x:row r="31" spans="1:6">
      <x:c r="A31" s="1" t="s">
        <x:v>255</x:v>
      </x:c>
      <x:c r="E31" s="18">
        <x:f>IF(ISBLANK(A31),"",IF(ISNA(VLOOKUP(A31,'2140'!$B$4:$F$134,5,FALSE)),"",VLOOKUP(A31,'2140'!$B$4:$F$134,5,FALSE))&amp;"")</x:f>
      </x:c>
      <x:c r="F31" s="0" t="s">
        <x:v>266</x:v>
      </x:c>
    </x:row>
    <x:row r="32" spans="1:6">
      <x:c r="A32" s="1" t="s">
        <x:v>266</x:v>
      </x:c>
      <x:c r="E32" s="18">
        <x:f>IF(ISBLANK(A32),"",IF(ISNA(VLOOKUP(A32,'2140'!$B$4:$F$134,5,FALSE)),"",VLOOKUP(A32,'2140'!$B$4:$F$134,5,FALSE))&amp;"")</x:f>
      </x:c>
      <x:c r="F32" s="0" t="s">
        <x:v>272</x:v>
      </x:c>
    </x:row>
    <x:row r="33" spans="1:6">
      <x:c r="A33" s="1" t="s">
        <x:v>272</x:v>
      </x:c>
      <x:c r="E33" s="18">
        <x:f>IF(ISBLANK(A33),"",IF(ISNA(VLOOKUP(A33,'2140'!$B$4:$F$134,5,FALSE)),"",VLOOKUP(A33,'2140'!$B$4:$F$134,5,FALSE))&amp;"")</x:f>
      </x:c>
      <x:c r="F33" s="0" t="s">
        <x:v>276</x:v>
      </x:c>
    </x:row>
    <x:row r="34" spans="1:6">
      <x:c r="A34" s="1" t="s">
        <x:v>276</x:v>
      </x:c>
      <x:c r="E34" s="18">
        <x:f>IF(ISBLANK(A34),"",IF(ISNA(VLOOKUP(A34,'2140'!$B$4:$F$134,5,FALSE)),"",VLOOKUP(A34,'2140'!$B$4:$F$134,5,FALSE))&amp;"")</x:f>
      </x:c>
      <x:c r="F34" s="0" t="s">
        <x:v>280</x:v>
      </x:c>
    </x:row>
    <x:row r="35" spans="1:6">
      <x:c r="A35" s="1" t="s">
        <x:v>280</x:v>
      </x:c>
      <x:c r="E35" s="18">
        <x:f>IF(ISBLANK(A35),"",IF(ISNA(VLOOKUP(A35,'2140'!$B$4:$F$134,5,FALSE)),"",VLOOKUP(A35,'2140'!$B$4:$F$134,5,FALSE))&amp;"")</x:f>
      </x:c>
      <x:c r="F35" s="0" t="s">
        <x:v>287</x:v>
      </x:c>
    </x:row>
    <x:row r="36" spans="1:6">
      <x:c r="A36" s="1" t="s">
        <x:v>287</x:v>
      </x:c>
      <x:c r="E36" s="18">
        <x:f>IF(ISBLANK(A36),"",IF(ISNA(VLOOKUP(A36,'2140'!$B$4:$F$134,5,FALSE)),"",VLOOKUP(A36,'2140'!$B$4:$F$134,5,FALSE))&amp;"")</x:f>
      </x:c>
      <x:c r="F36" s="0" t="s">
        <x:v>292</x:v>
      </x:c>
    </x:row>
    <x:row r="37" spans="1:6">
      <x:c r="A37" s="1" t="s">
        <x:v>292</x:v>
      </x:c>
      <x:c r="E37" s="18">
        <x:f>IF(ISBLANK(A37),"",IF(ISNA(VLOOKUP(A37,'2140'!$B$4:$F$134,5,FALSE)),"",VLOOKUP(A37,'2140'!$B$4:$F$134,5,FALSE))&amp;"")</x:f>
      </x:c>
      <x:c r="F37" s="0" t="s">
        <x:v>300</x:v>
      </x:c>
    </x:row>
    <x:row r="38" spans="1:6">
      <x:c r="A38" s="1" t="s">
        <x:v>300</x:v>
      </x:c>
      <x:c r="E38" s="18">
        <x:f>IF(ISBLANK(A38),"",IF(ISNA(VLOOKUP(A38,'2140'!$B$4:$F$134,5,FALSE)),"",VLOOKUP(A38,'2140'!$B$4:$F$134,5,FALSE))&amp;"")</x:f>
      </x:c>
      <x:c r="F38" s="0" t="s">
        <x:v>305</x:v>
      </x:c>
    </x:row>
    <x:row r="39" spans="1:6">
      <x:c r="A39" s="1" t="s">
        <x:v>305</x:v>
      </x:c>
      <x:c r="E39" s="18">
        <x:f>IF(ISBLANK(A39),"",IF(ISNA(VLOOKUP(A39,'2140'!$B$4:$F$134,5,FALSE)),"",VLOOKUP(A39,'2140'!$B$4:$F$134,5,FALSE))&amp;"")</x:f>
      </x:c>
      <x:c r="F39" s="0" t="s">
        <x:v>309</x:v>
      </x:c>
    </x:row>
    <x:row r="40" spans="1:6">
      <x:c r="A40" s="1" t="s">
        <x:v>309</x:v>
      </x:c>
      <x:c r="E40" s="18">
        <x:f>IF(ISBLANK(A40),"",IF(ISNA(VLOOKUP(A40,'2140'!$B$4:$F$134,5,FALSE)),"",VLOOKUP(A40,'2140'!$B$4:$F$134,5,FALSE))&amp;"")</x:f>
      </x:c>
      <x:c r="F40" s="0" t="s">
        <x:v>321</x:v>
      </x:c>
    </x:row>
    <x:row r="41" spans="1:6">
      <x:c r="A41" s="1" t="s">
        <x:v>321</x:v>
      </x:c>
      <x:c r="E41" s="18">
        <x:f>IF(ISBLANK(A41),"",IF(ISNA(VLOOKUP(A41,'2140'!$B$4:$F$134,5,FALSE)),"",VLOOKUP(A41,'2140'!$B$4:$F$134,5,FALSE))&amp;"")</x:f>
      </x:c>
      <x:c r="F41" s="0" t="s">
        <x:v>326</x:v>
      </x:c>
    </x:row>
    <x:row r="42" spans="1:6">
      <x:c r="A42" s="1" t="s">
        <x:v>326</x:v>
      </x:c>
      <x:c r="E42" s="18">
        <x:f>IF(ISBLANK(A42),"",IF(ISNA(VLOOKUP(A42,'2140'!$B$4:$F$134,5,FALSE)),"",VLOOKUP(A42,'2140'!$B$4:$F$134,5,FALSE))&amp;"")</x:f>
      </x:c>
      <x:c r="F42" s="0" t="s">
        <x:v>333</x:v>
      </x:c>
    </x:row>
    <x:row r="43" spans="1:6">
      <x:c r="A43" s="1" t="s">
        <x:v>333</x:v>
      </x:c>
      <x:c r="E43" s="18">
        <x:f>IF(ISBLANK(A43),"",IF(ISNA(VLOOKUP(A43,'2140'!$B$4:$F$134,5,FALSE)),"",VLOOKUP(A43,'2140'!$B$4:$F$134,5,FALSE))&amp;"")</x:f>
      </x:c>
      <x:c r="F43" s="0" t="s">
        <x:v>337</x:v>
      </x:c>
    </x:row>
    <x:row r="44" spans="1:6">
      <x:c r="A44" s="1" t="s">
        <x:v>337</x:v>
      </x:c>
      <x:c r="E44" s="18">
        <x:f>IF(ISBLANK(A44),"",IF(ISNA(VLOOKUP(A44,'2140'!$B$4:$F$134,5,FALSE)),"",VLOOKUP(A44,'2140'!$B$4:$F$134,5,FALSE))&amp;"")</x:f>
      </x:c>
      <x:c r="F44" s="0" t="s">
        <x:v>341</x:v>
      </x:c>
    </x:row>
    <x:row r="45" spans="1:6">
      <x:c r="A45" s="1" t="s">
        <x:v>341</x:v>
      </x:c>
      <x:c r="E45" s="18">
        <x:f>IF(ISBLANK(A45),"",IF(ISNA(VLOOKUP(A45,'2140'!$B$4:$F$134,5,FALSE)),"",VLOOKUP(A45,'2140'!$B$4:$F$134,5,FALSE))&amp;"")</x:f>
      </x:c>
      <x:c r="F45" s="0" t="s">
        <x:v>345</x:v>
      </x:c>
    </x:row>
    <x:row r="46" spans="1:6">
      <x:c r="A46" s="1" t="s">
        <x:v>345</x:v>
      </x:c>
      <x:c r="E46" s="18">
        <x:f>IF(ISBLANK(A46),"",IF(ISNA(VLOOKUP(A46,'2140'!$B$4:$F$134,5,FALSE)),"",VLOOKUP(A46,'2140'!$B$4:$F$134,5,FALSE))&amp;"")</x:f>
      </x:c>
      <x:c r="F46" s="0" t="s">
        <x:v>352</x:v>
      </x:c>
    </x:row>
    <x:row r="47" spans="1:6">
      <x:c r="A47" s="1" t="s">
        <x:v>352</x:v>
      </x:c>
      <x:c r="E47" s="18">
        <x:f>IF(ISBLANK(A47),"",IF(ISNA(VLOOKUP(A47,'2140'!$B$4:$F$134,5,FALSE)),"",VLOOKUP(A47,'2140'!$B$4:$F$134,5,FALSE))&amp;"")</x:f>
      </x:c>
      <x:c r="F47" s="0" t="s">
        <x:v>357</x:v>
      </x:c>
    </x:row>
    <x:row r="48" spans="1:6">
      <x:c r="A48" s="1" t="s">
        <x:v>357</x:v>
      </x:c>
      <x:c r="E48" s="18">
        <x:f>IF(ISBLANK(A48),"",IF(ISNA(VLOOKUP(A48,'2140'!$B$4:$F$134,5,FALSE)),"",VLOOKUP(A48,'2140'!$B$4:$F$134,5,FALSE))&amp;"")</x:f>
      </x:c>
      <x:c r="F48" s="0" t="s">
        <x:v>361</x:v>
      </x:c>
    </x:row>
    <x:row r="49" spans="1:6">
      <x:c r="A49" s="1" t="s">
        <x:v>361</x:v>
      </x:c>
      <x:c r="E49" s="18">
        <x:f>IF(ISBLANK(A49),"",IF(ISNA(VLOOKUP(A49,'2140'!$B$4:$F$134,5,FALSE)),"",VLOOKUP(A49,'2140'!$B$4:$F$134,5,FALSE))&amp;"")</x:f>
      </x:c>
      <x:c r="F49" s="0" t="s">
        <x:v>364</x:v>
      </x:c>
    </x:row>
    <x:row r="50" spans="1:6">
      <x:c r="A50" s="1" t="s">
        <x:v>364</x:v>
      </x:c>
      <x:c r="E50" s="18">
        <x:f>IF(ISBLANK(A50),"",IF(ISNA(VLOOKUP(A50,'2140'!$B$4:$F$134,5,FALSE)),"",VLOOKUP(A50,'2140'!$B$4:$F$134,5,FALSE))&amp;"")</x:f>
      </x:c>
      <x:c r="F50" s="0" t="s">
        <x:v>368</x:v>
      </x:c>
    </x:row>
    <x:row r="51" spans="1:6">
      <x:c r="A51" s="1" t="s">
        <x:v>368</x:v>
      </x:c>
      <x:c r="E51" s="18">
        <x:f>IF(ISBLANK(A51),"",IF(ISNA(VLOOKUP(A51,'2140'!$B$4:$F$134,5,FALSE)),"",VLOOKUP(A51,'2140'!$B$4:$F$134,5,FALSE))&amp;"")</x:f>
      </x:c>
      <x:c r="F51" s="0" t="s">
        <x:v>372</x:v>
      </x:c>
    </x:row>
    <x:row r="52" spans="1:6">
      <x:c r="A52" s="1" t="s">
        <x:v>372</x:v>
      </x:c>
      <x:c r="E52" s="18">
        <x:f>IF(ISBLANK(A52),"",IF(ISNA(VLOOKUP(A52,'2140'!$B$4:$F$134,5,FALSE)),"",VLOOKUP(A52,'2140'!$B$4:$F$134,5,FALSE))&amp;"")</x:f>
      </x:c>
      <x:c r="F52" s="0" t="s">
        <x:v>376</x:v>
      </x:c>
    </x:row>
    <x:row r="53" spans="1:6">
      <x:c r="A53" s="1" t="s">
        <x:v>376</x:v>
      </x:c>
      <x:c r="E53" s="18">
        <x:f>IF(ISBLANK(A53),"",IF(ISNA(VLOOKUP(A53,'2140'!$B$4:$F$134,5,FALSE)),"",VLOOKUP(A53,'2140'!$B$4:$F$134,5,FALSE))&amp;"")</x:f>
      </x:c>
      <x:c r="F53" s="0" t="s">
        <x:v>381</x:v>
      </x:c>
    </x:row>
    <x:row r="54" spans="1:6">
      <x:c r="A54" s="1" t="s">
        <x:v>381</x:v>
      </x:c>
      <x:c r="E54" s="18">
        <x:f>IF(ISBLANK(A54),"",IF(ISNA(VLOOKUP(A54,'2140'!$B$4:$F$134,5,FALSE)),"",VLOOKUP(A54,'2140'!$B$4:$F$134,5,FALSE))&amp;"")</x:f>
      </x:c>
      <x:c r="F54" s="0" t="s">
        <x:v>385</x:v>
      </x:c>
    </x:row>
    <x:row r="55" spans="1:6">
      <x:c r="A55" s="1" t="s">
        <x:v>385</x:v>
      </x:c>
      <x:c r="E55" s="18">
        <x:f>IF(ISBLANK(A55),"",IF(ISNA(VLOOKUP(A55,'2140'!$B$4:$F$134,5,FALSE)),"",VLOOKUP(A55,'2140'!$B$4:$F$134,5,FALSE))&amp;"")</x:f>
      </x:c>
      <x:c r="F55" s="0" t="s">
        <x:v>392</x:v>
      </x:c>
    </x:row>
    <x:row r="56" spans="1:6">
      <x:c r="A56" s="1" t="s">
        <x:v>392</x:v>
      </x:c>
      <x:c r="E56" s="18">
        <x:f>IF(ISBLANK(A56),"",IF(ISNA(VLOOKUP(A56,'2140'!$B$4:$F$134,5,FALSE)),"",VLOOKUP(A56,'2140'!$B$4:$F$134,5,FALSE))&amp;"")</x:f>
      </x:c>
      <x:c r="F56" s="0" t="s">
        <x:v>396</x:v>
      </x:c>
    </x:row>
    <x:row r="57" spans="1:6">
      <x:c r="A57" s="1" t="s">
        <x:v>396</x:v>
      </x:c>
      <x:c r="E57" s="18">
        <x:f>IF(ISBLANK(A57),"",IF(ISNA(VLOOKUP(A57,'2140'!$B$4:$F$134,5,FALSE)),"",VLOOKUP(A57,'2140'!$B$4:$F$134,5,FALSE))&amp;"")</x:f>
      </x:c>
      <x:c r="F57" s="0" t="s">
        <x:v>399</x:v>
      </x:c>
    </x:row>
    <x:row r="58" spans="1:6">
      <x:c r="A58" s="1" t="s">
        <x:v>399</x:v>
      </x:c>
      <x:c r="E58" s="18">
        <x:f>IF(ISBLANK(A58),"",IF(ISNA(VLOOKUP(A58,'2140'!$B$4:$F$134,5,FALSE)),"",VLOOKUP(A58,'2140'!$B$4:$F$134,5,FALSE))&amp;"")</x:f>
      </x:c>
      <x:c r="F58" s="0" t="s">
        <x:v>402</x:v>
      </x:c>
    </x:row>
    <x:row r="59" spans="1:6">
      <x:c r="A59" s="1" t="s">
        <x:v>402</x:v>
      </x:c>
      <x:c r="E59" s="18">
        <x:f>IF(ISBLANK(A59),"",IF(ISNA(VLOOKUP(A59,'2140'!$B$4:$F$134,5,FALSE)),"",VLOOKUP(A59,'2140'!$B$4:$F$134,5,FALSE))&amp;"")</x:f>
      </x:c>
      <x:c r="F59" s="0" t="s">
        <x:v>407</x:v>
      </x:c>
    </x:row>
    <x:row r="60" spans="1:6">
      <x:c r="A60" s="1" t="s">
        <x:v>407</x:v>
      </x:c>
      <x:c r="E60" s="18">
        <x:f>IF(ISBLANK(A60),"",IF(ISNA(VLOOKUP(A60,'2140'!$B$4:$F$134,5,FALSE)),"",VLOOKUP(A60,'2140'!$B$4:$F$134,5,FALSE))&amp;"")</x:f>
      </x:c>
      <x:c r="F60" s="0" t="s">
        <x:v>410</x:v>
      </x:c>
    </x:row>
    <x:row r="61" spans="1:6">
      <x:c r="A61" s="1" t="s">
        <x:v>410</x:v>
      </x:c>
      <x:c r="E61" s="18">
        <x:f>IF(ISBLANK(A61),"",IF(ISNA(VLOOKUP(A61,'2140'!$B$4:$F$134,5,FALSE)),"",VLOOKUP(A61,'2140'!$B$4:$F$134,5,FALSE))&amp;"")</x:f>
      </x:c>
      <x:c r="F61" s="0" t="s">
        <x:v>414</x:v>
      </x:c>
    </x:row>
    <x:row r="62" spans="1:6">
      <x:c r="A62" s="1" t="s">
        <x:v>414</x:v>
      </x:c>
      <x:c r="E62" s="18">
        <x:f>IF(ISBLANK(A62),"",IF(ISNA(VLOOKUP(A62,'2140'!$B$4:$F$134,5,FALSE)),"",VLOOKUP(A62,'2140'!$B$4:$F$134,5,FALSE))&amp;"")</x:f>
      </x:c>
    </x:row>
  </x:sheetData>
  <x:conditionalFormatting sqref="A2:A1000000">
    <x:cfRule type="expression" dxfId="0" priority="1" operator="equal">
      <x:formula>AND(NOT(ISBLANK(A2)),SUMPRODUCT(('2140'!$B$4:$B$134=A2)*1)&lt;1)</x:formula>
    </x:cfRule>
  </x:conditionalFormatting>
  <x:dataValidations count="1">
    <x:dataValidation type="list" errorStyle="stop" operator="between" allowBlank="1" showDropDown="0" showInputMessage="1" showErrorMessage="1" errorTitle="" error="" promptTitle="" prompt="" sqref="A2:A10000">
      <x:formula1>$F$1:$F$61</x:formula1>
      <x:formula2/>
    </x:dataValidation>
  </x:dataValidations>
  <x:printOptions horizontalCentered="0" verticalCentered="0" headings="0" gridLines="0"/>
  <x:pageMargins left="0.4" right="0.4" top="0.75" bottom="1" header="0.5" footer="0.75"/>
  <x:pageSetup paperSize="9" scale="100" pageOrder="downThenOver" orientation="landscape" blackAndWhite="0" draft="0" cellComments="none" errors="displayed"/>
  <x:headerFooter differentOddEven="0" differentFirst="0" scaleWithDoc="1" alignWithMargins="1">
    <x:oddHeader>&amp;CKalkulation - 2140&amp;R&amp;D</x:oddHeader>
    <x:oddFooter>&amp;LDangl.AVA.Converter www.dangl-it.com V2.28.9 ©2026&amp;R&amp;P/&amp;N</x:oddFooter>
    <x:evenHeader>&amp;CKalkulation - 2140&amp;R&amp;D</x:evenHeader>
    <x:evenFooter>&amp;LDangl.AVA.Converter www.dangl-it.com V2.28.9 ©2026&amp;R&amp;P/&amp;N</x:evenFooter>
    <x:firstHeader>&amp;CKalkulation - 2140&amp;R&amp;D</x:firstHeader>
    <x:firstFooter>&amp;LDangl.AVA.Converter www.dangl-it.com V2.28.9 ©2026&amp;R&amp;P/&amp;N</x:firstFooter>
  </x:headerFooter>
  <x:tableParts count="0"/>
  <x:extLst>
    <x:ext xmlns:x14="http://schemas.microsoft.com/office/spreadsheetml/2009/9/main" uri="{CCE6A557-97BC-4b89-ADB6-D9C93CAAB3DF}">
      <x14:dataValidations xmlns:xm="http://schemas.microsoft.com/office/excel/2006/main" count="1">
        <x14:dataValidation type="list" errorStyle="stop" operator="between" allowBlank="1" showDropDown="0" showInputMessage="1" showErrorMessage="1" errorTitle="" error="" promptTitle="" prompt="">
          <x14:formula1>
            <xm:f>'Projektinfo'!$B$3:$B$5</xm:f>
          </x14:formula1>
          <xm:sqref>C2:C10000</xm:sqref>
        </x14:dataValidation>
      </x14:dataValidations>
    </x:ext>
  </x:extLst>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14"/>
  <x:sheetViews>
    <x:sheetView workbookViewId="0"/>
  </x:sheetViews>
  <x:sheetFormatPr defaultRowHeight="15"/>
  <x:cols>
    <x:col min="1" max="1" width="120.710625" style="0" customWidth="1"/>
  </x:cols>
  <x:sheetData>
    <x:row r="1" spans="1:2">
      <x:c r="A1" s="0" t="s">
        <x:v>446</x:v>
      </x:c>
      <x:c r="B1" s="0">
        <x:v>2</x:v>
      </x:c>
    </x:row>
    <x:row r="2" spans="1:2">
      <x:c r="A2" s="0" t="s">
        <x:v>447</x:v>
      </x:c>
      <x:c r="B2" s="0">
        <x:v>0</x:v>
      </x:c>
    </x:row>
    <x:row r="3" spans="1:2">
      <x:c r="A3" s="0" t="s">
        <x:v>453</x:v>
      </x:c>
    </x:row>
    <x:row r="4" spans="1:2">
      <x:c r="A4" s="0" t="s">
        <x:v>448</x:v>
      </x:c>
      <x:c r="B4" s="0" t="s">
        <x:v>420</x:v>
      </x:c>
    </x:row>
    <x:row r="5" spans="1:2">
      <x:c r="A5" s="0" t="s">
        <x:v>449</x:v>
      </x:c>
      <x:c r="B5" s="0" t="s">
        <x:v>450</x:v>
      </x:c>
    </x:row>
    <x:row r="6" spans="1:2">
      <x:c r="A6" s="0" t="s">
        <x:v>451</x:v>
      </x:c>
      <x:c r="B6" s="0" t="s">
        <x:v>452</x:v>
      </x:c>
    </x:row>
    <x:row r="7" spans="1:2">
      <x:c r="A7" s="0" t="s">
        <x:v>455</x:v>
      </x:c>
    </x:row>
    <x:row r="8" spans="1:2">
      <x:c r="A8" s="0" t="s">
        <x:v>454</x:v>
      </x:c>
    </x:row>
    <x:row r="9" spans="1:2">
      <x:c r="A9" s="0" t="s">
        <x:v>456</x:v>
      </x:c>
      <x:c r="B9" s="23">
        <x:v>46036.7573824074</x:v>
      </x:c>
    </x:row>
    <x:row r="11" spans="1:2">
      <x:c r="A11" s="0" t="s">
        <x:v>457</x:v>
      </x:c>
    </x:row>
    <x:row r="12" spans="1:2">
      <x:c r="A12" s="0" t="s">
        <x:v>458</x:v>
      </x:c>
    </x:row>
    <x:row r="13" spans="1:2">
      <x:c r="A13" s="0" t="s">
        <x:v>459</x:v>
      </x:c>
    </x:row>
    <x:row r="14" spans="1:2">
      <x:c r="A14" s="0" t="s">
        <x:v>460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2">
      <vt:lpstr>2140</vt:lpstr>
      <vt:lpstr>Projektinfo</vt:lpstr>
      <vt:lpstr>Kalkulation</vt:lpstr>
      <vt:lpstr>Config</vt:lpstr>
      <vt:lpstr>2140!Print_Area</vt:lpstr>
      <vt:lpstr>2140!Print_Titles</vt:lpstr>
      <vt:lpstr>Projektinfo!Print_Area</vt:lpstr>
      <vt:lpstr>Projektinfo!Print_Titles</vt:lpstr>
      <vt:lpstr>Kalkulation!Print_Area</vt:lpstr>
      <vt:lpstr>Kalkulation!Print_Titles</vt:lpstr>
      <vt:lpstr>Config!Print_Area</vt:lpstr>
      <vt:lpstr>Config!Print_Titles</vt:lpstr>
    </vt:vector>
  </ap:TitlesOfParts>
  <ap:HeadingPairs>
    <vt:vector baseType="variant" size="4">
      <vt:variant>
        <vt:lpstr>Worksheets</vt:lpstr>
      </vt:variant>
      <vt:variant>
        <vt:i4>4</vt:i4>
      </vt:variant>
      <vt:variant>
        <vt:lpstr>Named Ranges</vt:lpstr>
      </vt:variant>
      <vt:variant>
        <vt:i4>8</vt:i4>
      </vt:variant>
    </vt:vector>
  </ap:HeadingPairs>
  <ap:DocSecurity>0</ap:DocSecurity>
  <ap:ScaleCrop>false</ap:ScaleCrop>
</ap:Properties>
</file>