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b66f2c04144025" /><Relationship Type="http://schemas.openxmlformats.org/officeDocument/2006/relationships/extended-properties" Target="/docProps/app.xml" Id="rId1" /><Relationship Type="http://schemas.openxmlformats.org/package/2006/relationships/metadata/core-properties" Target="/package/services/metadata/core-properties/f8d59ece0bde405db96f2c714622f15c.psmdcp" Id="R364dd6c498a94b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5194" sheetId="1" r:id="rId2"/>
    <x:sheet name="Projektinfo" sheetId="2" r:id="rId3"/>
    <x:sheet name="Kalkulation" sheetId="3" r:id="rId4"/>
    <x:sheet name="Config" sheetId="4" state="veryHidden" r:id="rId5"/>
  </x:sheets>
  <x:definedNames>
    <x:definedName name="_xlnm.Print_Titles" localSheetId="0">'2025194'!1:3</x:definedName>
  </x:definedNames>
  <x:calcPr calcId="125725"/>
</x:workbook>
</file>

<file path=xl/calcChain.xml><?xml version="1.0" encoding="utf-8"?>
<x:calcChain xmlns:x="http://schemas.openxmlformats.org/spreadsheetml/2006/main">
  <x:c r="B1" i="1"/>
  <x:c r="K5" i="1"/>
  <x:c r="K6" i="1"/>
  <x:c r="K7" i="1"/>
  <x:c r="K8" i="1"/>
  <x:c r="K9" i="1"/>
  <x:c r="K10" i="1"/>
  <x:c r="K11" i="1"/>
  <x:c r="K12" i="1"/>
  <x:c r="K13" i="1"/>
  <x:c r="K14" i="1"/>
  <x:c r="K15" i="1"/>
  <x:c r="K16" i="1"/>
  <x:c r="K17" i="1"/>
  <x:c r="K18" i="1"/>
  <x:c r="K19" i="1"/>
  <x:c r="K20" i="1"/>
  <x:c r="K21" i="1"/>
  <x:c r="K22" i="1"/>
  <x:c r="K23" i="1"/>
  <x:c r="K24" i="1"/>
  <x:c r="K25" i="1"/>
  <x:c r="K26" i="1"/>
  <x:c r="K27" i="1"/>
  <x:c r="K28" i="1"/>
  <x:c r="K29" i="1"/>
  <x:c r="K30" i="1"/>
  <x:c r="K31" i="1"/>
  <x:c r="G32" i="1"/>
  <x:c r="H32" i="1"/>
  <x:c r="J32" i="1"/>
  <x:c r="K32" i="1"/>
  <x:c r="G33" i="1"/>
  <x:c r="H33" i="1"/>
  <x:c r="J33" i="1"/>
  <x:c r="K33" i="1"/>
  <x:c r="G34" i="1"/>
  <x:c r="H34" i="1"/>
  <x:c r="J34" i="1"/>
  <x:c r="K34" i="1"/>
  <x:c r="G35" i="1"/>
  <x:c r="H35" i="1"/>
  <x:c r="J35" i="1"/>
  <x:c r="K35" i="1"/>
  <x:c r="G36" i="1"/>
  <x:c r="H36" i="1"/>
  <x:c r="J36" i="1"/>
  <x:c r="K36" i="1"/>
  <x:c r="G37" i="1"/>
  <x:c r="H37" i="1"/>
  <x:c r="J37" i="1"/>
  <x:c r="K37" i="1"/>
  <x:c r="K38" i="1"/>
  <x:c r="G39" i="1"/>
  <x:c r="H39" i="1"/>
  <x:c r="J39" i="1"/>
  <x:c r="K39" i="1"/>
  <x:c r="G40" i="1"/>
  <x:c r="H40" i="1"/>
  <x:c r="J40" i="1"/>
  <x:c r="K40" i="1"/>
  <x:c r="G41" i="1"/>
  <x:c r="H41" i="1"/>
  <x:c r="J41" i="1"/>
  <x:c r="K41" i="1"/>
  <x:c r="G42" i="1"/>
  <x:c r="H42" i="1"/>
  <x:c r="J42" i="1"/>
  <x:c r="K42" i="1"/>
  <x:c r="G43" i="1"/>
  <x:c r="H43" i="1"/>
  <x:c r="J43" i="1"/>
  <x:c r="K43" i="1"/>
  <x:c r="G44" i="1"/>
  <x:c r="H44" i="1"/>
  <x:c r="J44" i="1"/>
  <x:c r="K44" i="1"/>
  <x:c r="G45" i="1"/>
  <x:c r="H45" i="1"/>
  <x:c r="J45" i="1"/>
  <x:c r="K45" i="1"/>
  <x:c r="H46" i="1"/>
  <x:c r="J46" i="1"/>
  <x:c r="K47" i="1"/>
  <x:c r="G48" i="1"/>
  <x:c r="H48" i="1"/>
  <x:c r="J48" i="1"/>
  <x:c r="K48" i="1"/>
  <x:c r="G49" i="1"/>
  <x:c r="H49" i="1"/>
  <x:c r="J49" i="1"/>
  <x:c r="K49" i="1"/>
  <x:c r="G50" i="1"/>
  <x:c r="H50" i="1"/>
  <x:c r="J50" i="1"/>
  <x:c r="K50" i="1"/>
  <x:c r="G51" i="1"/>
  <x:c r="H51" i="1"/>
  <x:c r="J51" i="1"/>
  <x:c r="K51" i="1"/>
  <x:c r="G52" i="1"/>
  <x:c r="H52" i="1"/>
  <x:c r="J52" i="1"/>
  <x:c r="K52" i="1"/>
  <x:c r="G53" i="1"/>
  <x:c r="H53" i="1"/>
  <x:c r="J53" i="1"/>
  <x:c r="K53" i="1"/>
  <x:c r="G54" i="1"/>
  <x:c r="H54" i="1"/>
  <x:c r="J54" i="1"/>
  <x:c r="K54" i="1"/>
  <x:c r="G55" i="1"/>
  <x:c r="H55" i="1"/>
  <x:c r="J55" i="1"/>
  <x:c r="K55" i="1"/>
  <x:c r="G56" i="1"/>
  <x:c r="H56" i="1"/>
  <x:c r="J56" i="1"/>
  <x:c r="K56" i="1"/>
  <x:c r="G57" i="1"/>
  <x:c r="H57" i="1"/>
  <x:c r="J57" i="1"/>
  <x:c r="K57" i="1"/>
  <x:c r="G58" i="1"/>
  <x:c r="H58" i="1"/>
  <x:c r="J58" i="1"/>
  <x:c r="K58" i="1"/>
  <x:c r="G59" i="1"/>
  <x:c r="H59" i="1"/>
  <x:c r="J59" i="1"/>
  <x:c r="K59" i="1"/>
  <x:c r="G60" i="1"/>
  <x:c r="H60" i="1"/>
  <x:c r="J60" i="1"/>
  <x:c r="K60" i="1"/>
  <x:c r="G61" i="1"/>
  <x:c r="H61" i="1"/>
  <x:c r="J61" i="1"/>
  <x:c r="K61" i="1"/>
  <x:c r="G62" i="1"/>
  <x:c r="H62" i="1"/>
  <x:c r="J62" i="1"/>
  <x:c r="K62" i="1"/>
  <x:c r="G63" i="1"/>
  <x:c r="H63" i="1"/>
  <x:c r="J63" i="1"/>
  <x:c r="K63" i="1"/>
  <x:c r="G64" i="1"/>
  <x:c r="H64" i="1"/>
  <x:c r="J64" i="1"/>
  <x:c r="K64" i="1"/>
  <x:c r="G65" i="1"/>
  <x:c r="H65" i="1"/>
  <x:c r="J65" i="1"/>
  <x:c r="K65" i="1"/>
  <x:c r="G66" i="1"/>
  <x:c r="H66" i="1"/>
  <x:c r="J66" i="1"/>
  <x:c r="K66" i="1"/>
  <x:c r="G67" i="1"/>
  <x:c r="H67" i="1"/>
  <x:c r="J67" i="1"/>
  <x:c r="K67" i="1"/>
  <x:c r="H68" i="1"/>
  <x:c r="J68" i="1"/>
  <x:c r="K69" i="1"/>
  <x:c r="K70" i="1"/>
  <x:c r="K71" i="1"/>
  <x:c r="K72" i="1"/>
  <x:c r="K73" i="1"/>
  <x:c r="K74" i="1"/>
  <x:c r="K75" i="1"/>
  <x:c r="G76" i="1"/>
  <x:c r="H76" i="1"/>
  <x:c r="J76" i="1"/>
  <x:c r="K76" i="1"/>
  <x:c r="G77" i="1"/>
  <x:c r="H77" i="1"/>
  <x:c r="J77" i="1"/>
  <x:c r="K77" i="1"/>
  <x:c r="G78" i="1"/>
  <x:c r="H78" i="1"/>
  <x:c r="J78" i="1"/>
  <x:c r="K78" i="1"/>
  <x:c r="G79" i="1"/>
  <x:c r="H79" i="1"/>
  <x:c r="J79" i="1"/>
  <x:c r="K79" i="1"/>
  <x:c r="G80" i="1"/>
  <x:c r="H80" i="1"/>
  <x:c r="J80" i="1"/>
  <x:c r="K80" i="1"/>
  <x:c r="G81" i="1"/>
  <x:c r="H81" i="1"/>
  <x:c r="J81" i="1"/>
  <x:c r="K81" i="1"/>
  <x:c r="G82" i="1"/>
  <x:c r="H82" i="1"/>
  <x:c r="J82" i="1"/>
  <x:c r="K82" i="1"/>
  <x:c r="G83" i="1"/>
  <x:c r="H83" i="1"/>
  <x:c r="J83" i="1"/>
  <x:c r="K83" i="1"/>
  <x:c r="G84" i="1"/>
  <x:c r="H84" i="1"/>
  <x:c r="J84" i="1"/>
  <x:c r="K84" i="1"/>
  <x:c r="G85" i="1"/>
  <x:c r="H85" i="1"/>
  <x:c r="J85" i="1"/>
  <x:c r="K85" i="1"/>
  <x:c r="G86" i="1"/>
  <x:c r="H86" i="1"/>
  <x:c r="J86" i="1"/>
  <x:c r="K86" i="1"/>
  <x:c r="G87" i="1"/>
  <x:c r="H87" i="1"/>
  <x:c r="J87" i="1"/>
  <x:c r="K87" i="1"/>
  <x:c r="G88" i="1"/>
  <x:c r="H88" i="1"/>
  <x:c r="J88" i="1"/>
  <x:c r="K88" i="1"/>
  <x:c r="G89" i="1"/>
  <x:c r="H89" i="1"/>
  <x:c r="J89" i="1"/>
  <x:c r="K89" i="1"/>
  <x:c r="G90" i="1"/>
  <x:c r="H90" i="1"/>
  <x:c r="J90" i="1"/>
  <x:c r="K90" i="1"/>
  <x:c r="G91" i="1"/>
  <x:c r="H91" i="1"/>
  <x:c r="J91" i="1"/>
  <x:c r="K91" i="1"/>
  <x:c r="G92" i="1"/>
  <x:c r="H92" i="1"/>
  <x:c r="J92" i="1"/>
  <x:c r="K92" i="1"/>
  <x:c r="K93" i="1"/>
  <x:c r="G94" i="1"/>
  <x:c r="H94" i="1"/>
  <x:c r="J94" i="1"/>
  <x:c r="K94" i="1"/>
  <x:c r="H95" i="1"/>
  <x:c r="J95" i="1"/>
  <x:c r="K96" i="1"/>
  <x:c r="G97" i="1"/>
  <x:c r="H97" i="1"/>
  <x:c r="J97" i="1"/>
  <x:c r="K97" i="1"/>
  <x:c r="G98" i="1"/>
  <x:c r="H98" i="1"/>
  <x:c r="J98" i="1"/>
  <x:c r="K98" i="1"/>
  <x:c r="G99" i="1"/>
  <x:c r="H99" i="1"/>
  <x:c r="J99" i="1"/>
  <x:c r="K99" i="1"/>
  <x:c r="G100" i="1"/>
  <x:c r="H100" i="1"/>
  <x:c r="J100" i="1"/>
  <x:c r="K100" i="1"/>
  <x:c r="K101" i="1"/>
  <x:c r="K102" i="1"/>
  <x:c r="G103" i="1"/>
  <x:c r="H103" i="1"/>
  <x:c r="J103" i="1"/>
  <x:c r="K103" i="1"/>
  <x:c r="G104" i="1"/>
  <x:c r="H104" i="1"/>
  <x:c r="J104" i="1"/>
  <x:c r="K104" i="1"/>
  <x:c r="G105" i="1"/>
  <x:c r="H105" i="1"/>
  <x:c r="J105" i="1"/>
  <x:c r="K105" i="1"/>
  <x:c r="G106" i="1"/>
  <x:c r="H106" i="1"/>
  <x:c r="J106" i="1"/>
  <x:c r="K106" i="1"/>
  <x:c r="G107" i="1"/>
  <x:c r="H107" i="1"/>
  <x:c r="J107" i="1"/>
  <x:c r="K107" i="1"/>
  <x:c r="G108" i="1"/>
  <x:c r="H108" i="1"/>
  <x:c r="J108" i="1"/>
  <x:c r="K108" i="1"/>
  <x:c r="G109" i="1"/>
  <x:c r="H109" i="1"/>
  <x:c r="J109" i="1"/>
  <x:c r="K109" i="1"/>
  <x:c r="G110" i="1"/>
  <x:c r="H110" i="1"/>
  <x:c r="J110" i="1"/>
  <x:c r="K110" i="1"/>
  <x:c r="G111" i="1"/>
  <x:c r="H111" i="1"/>
  <x:c r="J111" i="1"/>
  <x:c r="K111" i="1"/>
  <x:c r="G112" i="1"/>
  <x:c r="H112" i="1"/>
  <x:c r="J112" i="1"/>
  <x:c r="K112" i="1"/>
  <x:c r="G113" i="1"/>
  <x:c r="H113" i="1"/>
  <x:c r="J113" i="1"/>
  <x:c r="K113" i="1"/>
  <x:c r="G114" i="1"/>
  <x:c r="H114" i="1"/>
  <x:c r="J114" i="1"/>
  <x:c r="K114" i="1"/>
  <x:c r="G115" i="1"/>
  <x:c r="H115" i="1"/>
  <x:c r="J115" i="1"/>
  <x:c r="K115" i="1"/>
  <x:c r="G116" i="1"/>
  <x:c r="H116" i="1"/>
  <x:c r="J116" i="1"/>
  <x:c r="K116" i="1"/>
  <x:c r="G117" i="1"/>
  <x:c r="H117" i="1"/>
  <x:c r="J117" i="1"/>
  <x:c r="K117" i="1"/>
  <x:c r="G118" i="1"/>
  <x:c r="H118" i="1"/>
  <x:c r="J118" i="1"/>
  <x:c r="K118" i="1"/>
  <x:c r="G119" i="1"/>
  <x:c r="H119" i="1"/>
  <x:c r="J119" i="1"/>
  <x:c r="K119" i="1"/>
  <x:c r="G120" i="1"/>
  <x:c r="H120" i="1"/>
  <x:c r="J120" i="1"/>
  <x:c r="K120" i="1"/>
  <x:c r="G121" i="1"/>
  <x:c r="H121" i="1"/>
  <x:c r="J121" i="1"/>
  <x:c r="K121" i="1"/>
  <x:c r="H122" i="1"/>
  <x:c r="J122" i="1"/>
  <x:c r="K123" i="1"/>
  <x:c r="K124" i="1"/>
  <x:c r="G125" i="1"/>
  <x:c r="H125" i="1"/>
  <x:c r="J125" i="1"/>
  <x:c r="K125" i="1"/>
  <x:c r="G126" i="1"/>
  <x:c r="H126" i="1"/>
  <x:c r="J126" i="1"/>
  <x:c r="K126" i="1"/>
  <x:c r="G127" i="1"/>
  <x:c r="H127" i="1"/>
  <x:c r="J127" i="1"/>
  <x:c r="K127" i="1"/>
  <x:c r="G128" i="1"/>
  <x:c r="H128" i="1"/>
  <x:c r="J128" i="1"/>
  <x:c r="K128" i="1"/>
  <x:c r="G129" i="1"/>
  <x:c r="H129" i="1"/>
  <x:c r="J129" i="1"/>
  <x:c r="K129" i="1"/>
  <x:c r="G130" i="1"/>
  <x:c r="H130" i="1"/>
  <x:c r="J130" i="1"/>
  <x:c r="K130" i="1"/>
  <x:c r="G131" i="1"/>
  <x:c r="H131" i="1"/>
  <x:c r="J131" i="1"/>
  <x:c r="K131" i="1"/>
  <x:c r="G132" i="1"/>
  <x:c r="H132" i="1"/>
  <x:c r="J132" i="1"/>
  <x:c r="K132" i="1"/>
  <x:c r="G133" i="1"/>
  <x:c r="H133" i="1"/>
  <x:c r="J133" i="1"/>
  <x:c r="K133" i="1"/>
  <x:c r="G134" i="1"/>
  <x:c r="H134" i="1"/>
  <x:c r="J134" i="1"/>
  <x:c r="K134" i="1"/>
  <x:c r="G135" i="1"/>
  <x:c r="H135" i="1"/>
  <x:c r="J135" i="1"/>
  <x:c r="K135" i="1"/>
  <x:c r="G136" i="1"/>
  <x:c r="H136" i="1"/>
  <x:c r="J136" i="1"/>
  <x:c r="K136" i="1"/>
  <x:c r="G137" i="1"/>
  <x:c r="H137" i="1"/>
  <x:c r="J137" i="1"/>
  <x:c r="K137" i="1"/>
  <x:c r="G138" i="1"/>
  <x:c r="H138" i="1"/>
  <x:c r="J138" i="1"/>
  <x:c r="K138" i="1"/>
  <x:c r="G139" i="1"/>
  <x:c r="H139" i="1"/>
  <x:c r="J139" i="1"/>
  <x:c r="K139" i="1"/>
  <x:c r="G140" i="1"/>
  <x:c r="H140" i="1"/>
  <x:c r="J140" i="1"/>
  <x:c r="K140" i="1"/>
  <x:c r="G141" i="1"/>
  <x:c r="H141" i="1"/>
  <x:c r="J141" i="1"/>
  <x:c r="K141" i="1"/>
  <x:c r="G142" i="1"/>
  <x:c r="H142" i="1"/>
  <x:c r="J142" i="1"/>
  <x:c r="K142" i="1"/>
  <x:c r="G143" i="1"/>
  <x:c r="H143" i="1"/>
  <x:c r="J143" i="1"/>
  <x:c r="K143" i="1"/>
  <x:c r="K144" i="1"/>
  <x:c r="K145" i="1"/>
  <x:c r="G146" i="1"/>
  <x:c r="H146" i="1"/>
  <x:c r="J146" i="1"/>
  <x:c r="K146" i="1"/>
  <x:c r="G147" i="1"/>
  <x:c r="H147" i="1"/>
  <x:c r="J147" i="1"/>
  <x:c r="K147" i="1"/>
  <x:c r="G148" i="1"/>
  <x:c r="H148" i="1"/>
  <x:c r="J148" i="1"/>
  <x:c r="K148" i="1"/>
  <x:c r="G149" i="1"/>
  <x:c r="H149" i="1"/>
  <x:c r="J149" i="1"/>
  <x:c r="K149" i="1"/>
  <x:c r="G150" i="1"/>
  <x:c r="H150" i="1"/>
  <x:c r="J150" i="1"/>
  <x:c r="K150" i="1"/>
  <x:c r="G151" i="1"/>
  <x:c r="H151" i="1"/>
  <x:c r="J151" i="1"/>
  <x:c r="K151" i="1"/>
  <x:c r="G152" i="1"/>
  <x:c r="H152" i="1"/>
  <x:c r="J152" i="1"/>
  <x:c r="K152" i="1"/>
  <x:c r="G153" i="1"/>
  <x:c r="H153" i="1"/>
  <x:c r="J153" i="1"/>
  <x:c r="K153" i="1"/>
  <x:c r="G154" i="1"/>
  <x:c r="H154" i="1"/>
  <x:c r="J154" i="1"/>
  <x:c r="K154" i="1"/>
  <x:c r="G155" i="1"/>
  <x:c r="H155" i="1"/>
  <x:c r="J155" i="1"/>
  <x:c r="K155" i="1"/>
  <x:c r="G156" i="1"/>
  <x:c r="H156" i="1"/>
  <x:c r="J156" i="1"/>
  <x:c r="K156" i="1"/>
  <x:c r="G157" i="1"/>
  <x:c r="H157" i="1"/>
  <x:c r="J157" i="1"/>
  <x:c r="K157" i="1"/>
  <x:c r="G158" i="1"/>
  <x:c r="H158" i="1"/>
  <x:c r="J158" i="1"/>
  <x:c r="K158" i="1"/>
  <x:c r="G159" i="1"/>
  <x:c r="H159" i="1"/>
  <x:c r="J159" i="1"/>
  <x:c r="K159" i="1"/>
  <x:c r="G160" i="1"/>
  <x:c r="H160" i="1"/>
  <x:c r="J160" i="1"/>
  <x:c r="K160" i="1"/>
  <x:c r="G161" i="1"/>
  <x:c r="H161" i="1"/>
  <x:c r="J161" i="1"/>
  <x:c r="K161" i="1"/>
  <x:c r="G162" i="1"/>
  <x:c r="H162" i="1"/>
  <x:c r="J162" i="1"/>
  <x:c r="K162" i="1"/>
  <x:c r="G163" i="1"/>
  <x:c r="H163" i="1"/>
  <x:c r="J163" i="1"/>
  <x:c r="K163" i="1"/>
  <x:c r="G164" i="1"/>
  <x:c r="H164" i="1"/>
  <x:c r="J164" i="1"/>
  <x:c r="K164" i="1"/>
  <x:c r="G165" i="1"/>
  <x:c r="H165" i="1"/>
  <x:c r="J165" i="1"/>
  <x:c r="K165" i="1"/>
  <x:c r="G166" i="1"/>
  <x:c r="H166" i="1"/>
  <x:c r="J166" i="1"/>
  <x:c r="K166" i="1"/>
  <x:c r="K167" i="1"/>
  <x:c r="G168" i="1"/>
  <x:c r="H168" i="1"/>
  <x:c r="J168" i="1"/>
  <x:c r="K168" i="1"/>
  <x:c r="G169" i="1"/>
  <x:c r="H169" i="1"/>
  <x:c r="J169" i="1"/>
  <x:c r="K169" i="1"/>
  <x:c r="G170" i="1"/>
  <x:c r="H170" i="1"/>
  <x:c r="J170" i="1"/>
  <x:c r="K170" i="1"/>
  <x:c r="G171" i="1"/>
  <x:c r="H171" i="1"/>
  <x:c r="J171" i="1"/>
  <x:c r="K171" i="1"/>
  <x:c r="H172" i="1"/>
  <x:c r="J172" i="1"/>
  <x:c r="K173" i="1"/>
  <x:c r="G174" i="1"/>
  <x:c r="H174" i="1"/>
  <x:c r="J174" i="1"/>
  <x:c r="K174" i="1"/>
  <x:c r="G175" i="1"/>
  <x:c r="H175" i="1"/>
  <x:c r="J175" i="1"/>
  <x:c r="K175" i="1"/>
  <x:c r="G176" i="1"/>
  <x:c r="H176" i="1"/>
  <x:c r="J176" i="1"/>
  <x:c r="K176" i="1"/>
  <x:c r="G177" i="1"/>
  <x:c r="H177" i="1"/>
  <x:c r="J177" i="1"/>
  <x:c r="K177" i="1"/>
  <x:c r="G178" i="1"/>
  <x:c r="H178" i="1"/>
  <x:c r="J178" i="1"/>
  <x:c r="K178" i="1"/>
  <x:c r="H179" i="1"/>
  <x:c r="J179" i="1"/>
  <x:c r="K180" i="1"/>
  <x:c r="K181" i="1"/>
  <x:c r="K182" i="1"/>
  <x:c r="G183" i="1"/>
  <x:c r="K183" i="1"/>
  <x:c r="G184" i="1"/>
  <x:c r="K184" i="1"/>
  <x:c r="G185" i="1"/>
  <x:c r="K185" i="1"/>
  <x:c r="G186" i="1"/>
  <x:c r="K186" i="1"/>
  <x:c r="G187" i="1"/>
  <x:c r="K187" i="1"/>
  <x:c r="G188" i="1"/>
  <x:c r="K188" i="1"/>
  <x:c r="G189" i="1"/>
  <x:c r="K189" i="1"/>
  <x:c r="G190" i="1"/>
  <x:c r="K190" i="1"/>
  <x:c r="G191" i="1"/>
  <x:c r="K191" i="1"/>
  <x:c r="H192" i="1"/>
  <x:c r="J192" i="1"/>
  <x:c r="K193" i="1"/>
  <x:c r="K194" i="1"/>
  <x:c r="G195" i="1"/>
  <x:c r="H195" i="1"/>
  <x:c r="J195" i="1"/>
  <x:c r="K195" i="1"/>
  <x:c r="G196" i="1"/>
  <x:c r="H196" i="1"/>
  <x:c r="J196" i="1"/>
  <x:c r="K196" i="1"/>
  <x:c r="G197" i="1"/>
  <x:c r="H197" i="1"/>
  <x:c r="J197" i="1"/>
  <x:c r="K197" i="1"/>
  <x:c r="G198" i="1"/>
  <x:c r="H198" i="1"/>
  <x:c r="J198" i="1"/>
  <x:c r="K198" i="1"/>
  <x:c r="G199" i="1"/>
  <x:c r="H199" i="1"/>
  <x:c r="J199" i="1"/>
  <x:c r="K199" i="1"/>
  <x:c r="G200" i="1"/>
  <x:c r="H200" i="1"/>
  <x:c r="J200" i="1"/>
  <x:c r="K200" i="1"/>
  <x:c r="G201" i="1"/>
  <x:c r="H201" i="1"/>
  <x:c r="J201" i="1"/>
  <x:c r="K201" i="1"/>
  <x:c r="H202" i="1"/>
  <x:c r="J202" i="1"/>
  <x:c r="H203" i="1"/>
  <x:c r="J203" i="1"/>
  <x:c r="K204" i="1"/>
  <x:c r="H205" i="1"/>
  <x:c r="J205" i="1"/>
  <x:c r="I206" i="1"/>
  <x:c r="J206" i="1"/>
  <x:c r="J207" i="1"/>
  <x:c r="E2" i="3"/>
  <x:c r="E3" i="3"/>
  <x:c r="E4" i="3"/>
  <x:c r="E5" i="3"/>
  <x:c r="E6" i="3"/>
  <x:c r="E7" i="3"/>
  <x:c r="E8" i="3"/>
  <x:c r="E9" i="3"/>
  <x:c r="E10" i="3"/>
  <x:c r="E11" i="3"/>
  <x:c r="E12" i="3"/>
  <x:c r="E13" i="3"/>
  <x:c r="E14" i="3"/>
  <x:c r="E15" i="3"/>
  <x:c r="E16" i="3"/>
  <x:c r="E17" i="3"/>
  <x:c r="E18" i="3"/>
  <x:c r="E19" i="3"/>
  <x:c r="E20" i="3"/>
  <x:c r="E21" i="3"/>
  <x:c r="E22" i="3"/>
  <x:c r="E23" i="3"/>
  <x:c r="E24" i="3"/>
  <x:c r="E25" i="3"/>
  <x:c r="E26" i="3"/>
  <x:c r="E27" i="3"/>
  <x:c r="E28" i="3"/>
  <x:c r="E29" i="3"/>
  <x:c r="E30" i="3"/>
  <x:c r="E31" i="3"/>
  <x:c r="E32" i="3"/>
  <x:c r="E33" i="3"/>
  <x:c r="E34" i="3"/>
  <x:c r="E35" i="3"/>
  <x:c r="E36" i="3"/>
  <x:c r="E37" i="3"/>
  <x:c r="E38" i="3"/>
  <x:c r="E39" i="3"/>
  <x:c r="E40" i="3"/>
  <x:c r="E41" i="3"/>
  <x:c r="E42" i="3"/>
  <x:c r="E43" i="3"/>
  <x:c r="E44" i="3"/>
  <x:c r="E45" i="3"/>
  <x:c r="E46" i="3"/>
  <x:c r="E47" i="3"/>
  <x:c r="E48" i="3"/>
  <x:c r="E49" i="3"/>
  <x:c r="E50" i="3"/>
  <x:c r="E51" i="3"/>
  <x:c r="E52" i="3"/>
  <x:c r="E53" i="3"/>
  <x:c r="E54" i="3"/>
  <x:c r="E55" i="3"/>
  <x:c r="E56" i="3"/>
  <x:c r="E57" i="3"/>
  <x:c r="E58" i="3"/>
  <x:c r="E59" i="3"/>
  <x:c r="E60" i="3"/>
  <x:c r="E61" i="3"/>
  <x:c r="E62" i="3"/>
  <x:c r="E63" i="3"/>
  <x:c r="E64" i="3"/>
  <x:c r="E65" i="3"/>
  <x:c r="E66" i="3"/>
  <x:c r="E67" i="3"/>
  <x:c r="E68" i="3"/>
  <x:c r="E69" i="3"/>
  <x:c r="E70" i="3"/>
  <x:c r="E71" i="3"/>
  <x:c r="E72" i="3"/>
  <x:c r="E73" i="3"/>
  <x:c r="E74" i="3"/>
  <x:c r="E75" i="3"/>
  <x:c r="E76" i="3"/>
  <x:c r="E77" i="3"/>
  <x:c r="E78" i="3"/>
  <x:c r="E79" i="3"/>
  <x:c r="E80" i="3"/>
  <x:c r="E81" i="3"/>
  <x:c r="E82" i="3"/>
  <x:c r="E83" i="3"/>
  <x:c r="E84" i="3"/>
  <x:c r="E85" i="3"/>
  <x:c r="E86" i="3"/>
  <x:c r="E87" i="3"/>
  <x:c r="E88" i="3"/>
  <x:c r="E89" i="3"/>
  <x:c r="E90" i="3"/>
  <x:c r="E91" i="3"/>
  <x:c r="E92" i="3"/>
  <x:c r="E93" i="3"/>
  <x:c r="E94" i="3"/>
  <x:c r="E95" i="3"/>
  <x:c r="E96" i="3"/>
  <x:c r="E97" i="3"/>
  <x:c r="E98" i="3"/>
  <x:c r="E99" i="3"/>
  <x:c r="E100" i="3"/>
  <x:c r="E101" i="3"/>
  <x:c r="E102" i="3"/>
  <x:c r="E103" i="3"/>
  <x:c r="E104" i="3"/>
  <x:c r="E105" i="3"/>
  <x:c r="E106" i="3"/>
  <x:c r="E107" i="3"/>
  <x:c r="E108" i="3"/>
  <x:c r="E109" i="3"/>
  <x:c r="E110" i="3"/>
  <x:c r="E111" i="3"/>
  <x:c r="E112" i="3"/>
  <x:c r="E113" i="3"/>
  <x:c r="E114" i="3"/>
  <x:c r="E115" i="3"/>
  <x:c r="E116" i="3"/>
  <x:c r="E117" i="3"/>
  <x:c r="E118" i="3"/>
  <x:c r="E119" i="3"/>
  <x:c r="E120" i="3"/>
  <x:c r="E121" i="3"/>
  <x:c r="E122" i="3"/>
  <x:c r="E123" i="3"/>
  <x:c r="E124" i="3"/>
  <x:c r="E125" i="3"/>
  <x:c r="E126" i="3"/>
  <x:c r="E127" i="3"/>
  <x:c r="E128" i="3"/>
  <x:c r="E129" i="3"/>
  <x:c r="E130" i="3"/>
  <x:c r="E131" i="3"/>
  <x:c r="E132" i="3"/>
  <x:c r="E133" i="3"/>
  <x:c r="E134" i="3"/>
  <x:c r="E135" i="3"/>
  <x:c r="E136" i="3"/>
  <x:c r="E137" i="3"/>
  <x:c r="E138" i="3"/>
  <x:c r="E139" i="3"/>
  <x:c r="E140" i="3"/>
</x:calcChain>
</file>

<file path=xl/sharedStrings.xml><?xml version="1.0" encoding="utf-8"?>
<x:sst xmlns:x="http://schemas.openxmlformats.org/spreadsheetml/2006/main">
  <x:si>
    <x:t>Projektname</x:t>
  </x:si>
  <x:si>
    <x:t>MwSt.</x:t>
  </x:si>
  <x:si>
    <x:t>Typ</x:t>
  </x:si>
  <x:si>
    <x:t>Ordnungszahl</x:t>
  </x:si>
  <x:si>
    <x:t>Kurztext</x:t>
  </x:si>
  <x:si>
    <x:t>Langtext</x:t>
  </x:si>
  <x:si>
    <x:t>Menge</x:t>
  </x:si>
  <x:si>
    <x:t>Einheit</x:t>
  </x:si>
  <x:si>
    <x:t>Einheitspreis</x:t>
  </x:si>
  <x:si>
    <x:t>Nachlass</x:t>
  </x:si>
  <x:si>
    <x:t>Gesamtpreis</x:t>
  </x:si>
  <x:si>
    <x:t>Preis nach Nachlass</x:t>
  </x:si>
  <x:si>
    <x:t>Leistungsbeschreibung</x:t>
  </x:si>
  <x:si>
    <x:t>Straßenausbau "Herbstmühle"</x:t>
  </x:si>
  <x:si>
    <x:t>Hinweistext</x:t>
  </x:si>
  <x:si>
    <x:t>Bauherrschaft</x:t>
  </x:si>
  <x:si>
    <x:t>Bauherrschaft:
Hansestadt Wipperfürth
Marktplatz 1
51688 Wipperfürth
Bauoberleitung und Örtliche Bauüberwachung:
FISCHER TEAMPLAN Ingenieurbüro GmbH
Holzdamm 8
50374 Erftstadt-Liblar
Tel.: 02235 - 402-0
L  E  I  S  T  U  N  G  S  B  E  S  C  H  R  E  I  B  U  N  G
für den
Straßenausbau der Herbstmühle
in Wipperfürth</x:t>
  </x:si>
  <x:si>
    <x:t>2d8ee436-4b97-4248-807d-7a08155566f0</x:t>
  </x:si>
  <x:si>
    <x:t>VORBEMERKUNGEN ZUM LEISTUNGSVERZEICHNIS</x:t>
  </x:si>
  <x:si>
    <x:t>VORBEMERKUNGEN ZUM LEISTUNGSVERZEICHNIS
Abkürzungen :	AG   	Auftraggeber
AN   	Auftragnehmer
BL   	Bauleitung des AG: vertreten durch FISCHER TEAMPLAN GmbH</x:t>
  </x:si>
  <x:si>
    <x:t>9b502124-b7d5-406a-96d7-d20e8cadc91a</x:t>
  </x:si>
  <x:si>
    <x:t>0.  Allgemeines</x:t>
  </x:si>
  <x:si>
    <x:t>0. Allgemeines
Die Stadt Wipperfürth beabsichtigt den Straßenausbau der Herbstmühle zwischen L 284 (Gaulstr.) und Sonnenweg in Wipperfürth durchzuführen. Die Straße wird im Trennsystem ausgebaut. Die Fahrbahnbefestigung erfolgt in Asphaltbauweise, die Gehwege werden gepflastert. Die Neugestaltung erfolgt im Vollausbau.</x:t>
  </x:si>
  <x:si>
    <x:t>89bd3015-2582-4a1f-8223-743fc8fcf49e</x:t>
  </x:si>
  <x:si>
    <x:t>1.  Lage der Baustelle</x:t>
  </x:si>
  <x:si>
    <x:t>1. Lage der Baustelle
Der auszubauende Straßenabschnitt der Herbstmühle  befindet sich im Südosten der Hansestadt Wipperfürth. Im Westen grenzt die L 284 (Gaulstraße) an die Herbstmühle, im Osten der Sonnenweg. Die Straße liegt innerhalb eines durch Anliegerverkehr geprägten Wohngebietes, darüber hinaus ist das Firmengelände der BEW im Ausbaubereich ansässig.
Überregional ist die Herbstmühle von Norden kommend über die B 237 und L 284 erreichbar.</x:t>
  </x:si>
  <x:si>
    <x:t>ef3b6065-f0cf-4e5a-9236-f6f510092da1</x:t>
  </x:si>
  <x:si>
    <x:t>2.  Beschreibung der Arbeiten</x:t>
  </x:si>
  <x:si>
    <x:t>2. Beschreibung der Arbeiten
Der Ausbau des westlichen Teilabschnittes der Straße erfolgt im Trennsystem, die Fahrbahn wird in Asphaltbauweise erstellt, die Gehwege werden gepflastert.
Die derzeit vorhandene bituminöse Befestigung in der Fahrbahn, sowie die vorhandenen Bordanlagen und die Gehwegbefestigungen sind aufzunehmen. Der Straßenausbau erfolgt als Vollausbau in einer Gesamtaufbaustärke von insgesamt 55 cm und einer Regelbreite der Fahrbahn von 5,00 m. Der Straßenausbau hat in 2 Bauabschnitten (BA1: Teil West, BA 2: Teil Ost) zu erfolgen, um die Zufahrtsmöglichkeit zum Firmengelände der BEW dauerhaft aufrecht zu erhalten.
Neben den Straßenbauarbeiten wird ebenfalls die Straßenbeleuchtung im Ausbaubereich erneuert. Die Ausschreibung umfasst nur die Aufbruch- und Erdarbeiten. Die Installation der Straßenbeleuchtung erfolgt durch die BEW.
Erst nach Freigabe eines Bauabschnittes für den Anliegerverkehr kann im nächsten Bauabschnitt begonnen werden.Beide Bauabschnitte können unter Vollsperrung (Anlieger frei) ausgebaut werden.
Innerhalb eines Bauabschnittes sind zunächst die Aufbruch- und Erdarbeiten vorzunehmen. Hiernach werden die Straßenabläufe gesetzt, sowie Rinnen- und Bordeinfassungen erstellt, sowie Anpassungsarbeiten an den Bestandszufahrten etc. vorgenommen. Im Nachgang werden die Gehwege gepflastert, sowie die bituminösen Fahrbahnschichten eingebracht.</x:t>
  </x:si>
  <x:si>
    <x:t>757af1fc-574d-4413-9ad4-b68ae8565fff</x:t>
  </x:si>
  <x:si>
    <x:t>3.  Besonderheiten</x:t>
  </x:si>
  <x:si>
    <x:t>3. Besonderheiten
Den Anwohnern in Baustellennähe ist der Zugang bzw. die Zufahrt zu ihren Gebäuden und Grundstücken während der Baumaßnahme zu gewährleisten und nach Abstimmung mit der BL herzustellen.
Der Auftragnehmer hat sich vor Angebotsabgabe ausreichend über die Örtlichkeit zu informieren. Mehrkosten, die aufgrund der Unkenntnis der Örtlichkeit entstehen, werden nicht vergütet.
Lagerplätze sind vom AN selber zu beschaffen, Kosten für Transporte von dort bzw. dorthin sind in die Einheitspreise einzurechnen.
Sämtliche Arbeiten und Arbeitsvorgänge sind unter Beachtung des BimSchG durchzuführen. Die Belästigung von Anwohnern und Passanten im Baustellenbereich und auf den Zufahrtsstraßen durch Lärm, Geräusche, Staubentwicklung o. ä. ist auf ein Mindestmaß zu beschränken.
Es sind Geräte einzusetzen, die möglichst erschütterungsarm arbeiten und dem Stand der Technik entsprechen.
Zur Ausführung der Bauarbeiten sind die zum Einsatz kommenden Geräte auf die örtlichen Gegebenheiten und Verhältnisse (angrenzende Bebauung und Straße) anzupassen.
Es ist dem AN untersagt, die öffentlichen Verkehrsflächen mit kettenbetriebenen Geräten (Hydraulikbaggern u. dgl. zu befahren).
Im gesamten Baustellenbereich ist mit beengten Verhältnissen zu rechnen. Ein entsprechenden Geräteauswahl ist vorzusehen. Hinsichtlich der Verdichtungsgeräte sind aufgrund der nahe liegenden Bebauung nur schwingungsarme Geräte einzusetzen.
Es ist vorgesehen, in insgesamt 2 Bauabschnitten innerhalb der Straße zu arbeiten und erst nach Fertigstellung aller Arbeiten von einem Bereich in den Anderen zu wechseln.
Die Erschwernisse/Mehraufwendungen durch die vorhandenen örtlichen Rahmenbedingungen  und das Ausführen in 2 Bauabschnitten sind für alle auszuführenden Arbeiten in die Einheitspreise einzurechnen.
Erschwernisse bei den Straßenausbauarbeiten durch vorhandene Einbauten, Schiebergestänge, Schächte, Hydranten usw. sowie entlang vorhandener Grundstückseinfriedungen sind ebenfalls in die Einheitspreise einzukalkulieren und werden nicht gesondert vergütet.
Um einen möglichst reibungslosen und kontinuierlichen Bauablauf gewährleisten zu können, werden alle Beteiligten vor Baubeginn zu einem Koordinations- bzw. Startgespräch eingeladen. Hierbei wird der erforderliche Bauablauf aufeinander abgestimmt.</x:t>
  </x:si>
  <x:si>
    <x:t>6a0051eb-4e8c-40d8-a615-418305c34a6b</x:t>
  </x:si>
  <x:si>
    <x:t>4.  Aushub / Deponien</x:t>
  </x:si>
  <x:si>
    <x:t>4. Aushub / Deponien
Sofern in den Positionen nicht ausdrücklich anders ausgeschrieben, bedeutet Entsorgen, dass die betreffenden Stoffe, Materialien und Gegenstände aufzuladen, von der Baustelle zu entfernen und der stofflichen Verwertung zuzuführen sind.
Transportkosten zur Verwertungsanlage und Gebühren der Verwertung werden vom AN übernommen; sie sind in die Einheitspreise einzukalkulieren und werden nicht gesondert vergütet.
Sofern erforderlich, sind Entsorgungsnachweise vorzulegen.</x:t>
  </x:si>
  <x:si>
    <x:t>4c59addc-97b7-4e2c-aadb-c56653613933</x:t>
  </x:si>
  <x:si>
    <x:t>5.  Bauzeitenplan</x:t>
  </x:si>
  <x:si>
    <x:t>5. Bauzeitenplan
Der AN reicht vor Baubeginn einen Bauzeitenplan ein, der nach Zustimmung durch den AG verbindlicher Vertragsbestandteil wird.
Der AN hat den Bauzeitenplan während der Baudurchführung durch Eintragung des IST-Verlaufs fortzuschreiben und auf Verlangen der BL dieser ein Exemplar des fortgeschriebenen Plans auszuhändigen. Aus dem Zeitplan muss die Reihenfolge der einzelnen Arbeiten und der vom Bieter vorgesehene Zeitbedarf für die Folge der einzelnen Arbeiten sowie der geplante Personaleinsatz ersichtlich sein.</x:t>
  </x:si>
  <x:si>
    <x:t>24bc9622-f805-436b-90dd-a15d8999640a</x:t>
  </x:si>
  <x:si>
    <x:t>6.  Nachtragsangebote, Urkalkulation</x:t>
  </x:si>
  <x:si>
    <x:t>6. Nachtragsangebote, Urkalkulation
Nachtragsangebote sind entsprechend dem Hauptangebot zu kalkulieren. Dem Nachtragsangebot ist eine Kalkulation beizufügen, die auf der Grundlage der Urkalkulation aufgestellt sein muss. Die Nachträge sind in dreifacher Ausfertigung einzureichen.</x:t>
  </x:si>
  <x:si>
    <x:t>e3a85ed8-2db2-4f11-bcce-36688ec7b2bc</x:t>
  </x:si>
  <x:si>
    <x:t>7.  Aufmaß und Abrechnung</x:t>
  </x:si>
  <x:si>
    <x:t>7. Aufmaß und Abrechnung
Zur Rechnungslegung werden die geleisteten Arbeiten vom AG und vom AN gemeinsam abgenommen und bestätigt. Die Abrechnung der Leistungen erfolgt aufgrund eines gemeinsamen Aufmaßes.
Über die eingebauten Massen kann zusätzlich ein Nachweis durch Wiegekarten bzw. Lieferscheine verlangt werden. Nicht anerkannte Wiegekarten bzw. Lieferscheine werden bei der Abrechnung nicht vergütet.
Rechnungen ohne zugehörige Massenberechnung werden nicht angenommen. Die Massenberechnungen sind fortzuschreiben.
Abschlagszahlungen und Massenberechnungen müssen alle zum jeweiligen Abrechnungsgebiet gehörenden Massen und Kosten - getrennt nach Positionen des LV - enthalten.
Zur Schlussrechnung sind vom AN Abrechnungsunterlagen (Lagepläne, Längenschnitte) kostenlos in 4-facher Ausfertigung dem AG zu übergeben.</x:t>
  </x:si>
  <x:si>
    <x:t>fc202a70-3e6c-4ac7-93a2-403810496b2a</x:t>
  </x:si>
  <x:si>
    <x:t>8. Verkehrssicherung, Unfallverhütung - Haftung</x:t>
  </x:si>
  <x:si>
    <x:t>8. Verkehrssicherung, Unfallverhütung - Haftung
Baustellen an oder in öffentlichen Verkehrsflächen sind durch stabile, entsprechend der Straßenverkehrsordnung rot-weiß gestrichene Schutzgitter oder Absperrschranken von ca. 1,2 m Höhe abzusichern.
Die Schutzgitter müssen die Baustelle gegenüber dem öffentlichen Verkehr ständig dicht abschirmen und sind standfest auszuführen bzw. zu verankern, ausreichend zu beleuchten und bei Bedarf zu reinigen.
Baugruben sind durch geeignete Geländer gegen den Absturz von Personen zu sichern. Die Absperrung von Baugruben nur durch "Flatterband" ist nicht zugelassen!
Die Kosten für vorgenannte Maßnahmen sind in die entsprechenden Einheitspreise einzurechnen. Eine besondere Vergütung erfolgt nicht.
Alle für den AN tätigen Fahrzeug- und Geräteführer sind zur besonderen Vorsicht und Rücksicht auf allen Zufahrtswegen und im Randbereich der Baustelle zu ermahnen.</x:t>
  </x:si>
  <x:si>
    <x:t>b3068e08-0eda-4022-8930-7d5f59e7cb4f</x:t>
  </x:si>
  <x:si>
    <x:t>9. Schutz der Landschaft</x:t>
  </x:si>
  <x:si>
    <x:t>9. Schutz der Landschaft
Der AN ist verpflichtet, bei den Bauarbeiten und Transporten auf die Erhaltung des Landschaftsbildes zu achten und Rücksicht zu nehmen - insbesondere auf Landschaftsschutzgebiete, unter Denkmalschutz stehende Anlagen und Einrichtungen.
Bäume und Anpflanzungen dürfen nur mit ausdrücklicher Zustimmung des AG bzw. der BL gefällt oder entfernt werden. Erhaltenswerte Bäume und Pflanzungen sind vor Beschädigungen durch den Baubetrieb zu schützen. Die Kosten hierfür sind in die Einheitspreise einzurechnen, sofern im LV hierfür keine Positionen vorgesehen sind.</x:t>
  </x:si>
  <x:si>
    <x:t>e988210a-552c-430f-82a0-43559ab75e99</x:t>
  </x:si>
  <x:si>
    <x:t>10. Vermessungsarbeiten</x:t>
  </x:si>
  <x:si>
    <x:t>10. Vermessungsarbeiten
Der AG übergibt dem AN vor Baubeginn die Grenzsteine der Grundstücksgrenzen einschließlich Höhenfestpunkt. Lagestatus: UTM.
Alle weiteren, zur Abwicklung der ausgeschriebenen Leistungen erforderlichen Vermessungs- und Absteckungsarbeiten sind Sache des AN und werden von diesem in eigener Verantwortung ausgeführt. Sie sind in die Einheitspreise einzukalkulieren und werden nicht gesondert vergütet.
Der AN haftet allein für die Richtigkeit seiner Absteckungen und Messungen; vom AG durchgeführte Kontrollmessungen entbinden ihn nicht von seiner Verantwortung.
Vor Beginn der Arbeiten hat der AN die ihm vom AG übergebenen Angaben zu übertragen und die Höhenfestpunkte örtlich zu überprüfen.
Für den dauerhaften Schutz der ihm übergebenen Messpunkte ist der AN verantwortlich.
Der AG ist berechtigt, alle Absteckberechnungen, Absteckungen und Messungen des AN jederzeit einzusehen und zu prüfen, sowie eigene Kontrollmessungen durchzuführen.</x:t>
  </x:si>
  <x:si>
    <x:t>97a71fd3-59ee-4c78-a764-076e0ff513c6</x:t>
  </x:si>
  <x:si>
    <x:t>11. Grenzherstellung und Grenzsicherung</x:t>
  </x:si>
  <x:si>
    <x:t>11. Grenzherstellung und Grenzsicherung
Die Grenzsteine werden vor Baubeginn vom AG dem AN übergeben. Von diesem Zeitpunkt an haftet der AN bis zur Endabnahme für die Vermarkung der Grenzsteine.
Diese Sicherung wird über die entsprechende Position vergütet.
Grenzsteine, die im Zuge der Baumaßnahme im Aushubbereich liegen, dürfen nur mit Zustimmung der BL entfernt werden. Die Kosten der Wiederherstellung der Grenzsteine durch einen ÖBVI trägt der AG.</x:t>
  </x:si>
  <x:si>
    <x:t>13cdc4ad-c563-4f9b-8a32-4979900f13b4</x:t>
  </x:si>
  <x:si>
    <x:t>12. DIN-Normen und Vorschriften</x:t>
  </x:si>
  <x:si>
    <x:t>12. DIN-Normen und Vorschriften
Für die Ausführung nachstehender Leistungen gelten:
die Zusätzlichen Technischen Vertragsbedingungen und Richtlinien für Erdarbeiten im Straßenbau (ZTVE-StB)
die Zusätzliche Technische Vertragsbedingungen und Richtlinien für den Bau von Verkehrsflächenbefestigungen aus Asphalt (ZTV Asphalt-StB)
die Zusätzlichen Technischen Vertragsbedingungen und Richtlinien für Aufgrabungen in Verkehrsflächen (ZTVA-StB)
die Zusätzlichen Technischen Vertragsbedingungen und Richtlinien für den Bau von Schichten ohne Bindemittel im Straßenbau (ZTV SoB-StB)
die Zusätzliche Technische Vertragsbedingungen und Richtlinien für den Bau von Verkehrsflächen mit Pflasterdecken (ZTV Pflaster StB)
Technische Lieferbedingungen für Asphaltmischgut für den Bau von Verkehrsflächenbefestigungen (TL Asphalt-StB)
Technische Lieferbedingungen für Mineralstoffe im Straßenbau (TL Gestein-StB 04/2007)
Technische Lieferbedingungen für Baustoffgemische und Böden zur Herstellung von Schichten ohne Bindemittel im Straßenbau (TL SoB-StB)
jeweils in Ihrer aktuellsten Fassung.</x:t>
  </x:si>
  <x:si>
    <x:t>7152cb2b-5560-4b0e-88ca-e2570d92408c</x:t>
  </x:si>
  <x:si>
    <x:t>13. Hinweise, Planunterlagen, Abkürzungen</x:t>
  </x:si>
  <x:si>
    <x:t>13.  Hinweise, Planunterlagen, Abkürzungen</x:t>
  </x:si>
  <x:si>
    <x:t>708a43a2-ce20-4464-aa6c-943adf9979b8</x:t>
  </x:si>
  <x:si>
    <x:t>Hinweis</x:t>
  </x:si>
  <x:si>
    <x:t>Hinweis
Mit den im Leistungsverzeichnis enthaltenen Angaben über Bauart, Bauteile, Baustoffe und Abmessungen gelten auch für den Herstellungsvorgang und -ablauf bis zur fertigen Leistung - unter Zugrundelegung der anerkannten Regeln der Technik und der gesetzlichen und behördlichen Vorschriften - als beschrieben.
Hierbei bedeutet "Bauart" das Herstellen durch Zusammenfügen der Stoffe und Bauteile bis zur fertigen Leistung.</x:t>
  </x:si>
  <x:si>
    <x:t>be08ebab-1c1f-4539-8cb0-6e5a00fb4222</x:t>
  </x:si>
  <x:si>
    <x:t>Hinweis !
Alle Leistungen umfassen auch die Lieferung der dazugehörenden Stoffe und Bauteile einschl. Abladen und Lagern auf der Baustelle, wenn in der Leistungsbeschreibung nichts anderes vorgeschrieben ist.</x:t>
  </x:si>
  <x:si>
    <x:t>ff4d212e-7f98-4e84-9345-db330ce91bf4</x:t>
  </x:si>
  <x:si>
    <x:t>Hinweis !
Stoffe, Bauteile und Bauelemente der nachfolgenden Positionen müssen ungebraucht sein.</x:t>
  </x:si>
  <x:si>
    <x:t>420d2d9a-6d0b-40fd-9054-c8e084be7560</x:t>
  </x:si>
  <x:si>
    <x:t>Hinweis !
Stoffe und Bauteile, die der AN vorzuhalten hat, können gebraucht sein.</x:t>
  </x:si>
  <x:si>
    <x:t>573ec375-43c3-4742-b09a-2fda48629562</x:t>
  </x:si>
  <x:si>
    <x:t>Hinweis zu den Anschlussmöglichkeiten für Strom und Wasser</x:t>
  </x:si>
  <x:si>
    <x:t>Hinweis !
Anschlussmöglichkeiten für Strom und Wasser werden vom AG nicht zur Verfügung gestellt. Die Kosten für die Erstellung der Anschlüsse sind in die Einheitspreise einzukalkulieren und werden nicht gesondert vergütet.</x:t>
  </x:si>
  <x:si>
    <x:t>975d9958-81b3-4f26-9699-0296a7b73015</x:t>
  </x:si>
  <x:si>
    <x:t>Planungsunterlagen</x:t>
  </x:si>
  <x:si>
    <x:t>Planungsunterlagen
Folgende, dem Leistungsverzeichnis zugrunde liegende Planungsunterlagen sind den Unterlagen beigefügt.
Lageplan  		Blatt Nr. 1
Höhenplan 		Blatt Nr. 2
Straßenquerschnitt 	Blatt Nr. 3</x:t>
  </x:si>
  <x:si>
    <x:t>152b88f0-901d-4fcb-8d76-c182ef356a51</x:t>
  </x:si>
  <x:si>
    <x:t>Hauptmassen</x:t>
  </x:si>
  <x:si>
    <x:t>Hauptmassen
Die Ausschreibung beinhaltet folgende Hauptmassen:
ca. 1.200 m² bituminöse und teerhaltige Befestigung aufbrechenca. 250 m² Pflaster- und Plattenbeläge aufnehmenca. 430 m Bordsteine aufnehmenca. 650 m³ Bodenaushub für Verkehrsflächenca. 550 m³ Schottertragschicht herstellenca. 7 St Straßenabläufe inkl. Ablaufleitungenca. 700 m Bordsteine HB/ RB/ FB/ TB versetzenca. 380 m Rinne 1 bis 3-zeilig versetzenca. 840 m² Asphalttrag- und -deckschicht herstellenca. 580 m² Pflasterbelag 10/20/10 verlegen</x:t>
  </x:si>
  <x:si>
    <x:t>98f59eb5-309d-4236-bb19-4aeaa67f8824</x:t>
  </x:si>
  <x:si>
    <x:t>Abkürzungen im Leistungsverzeichnis</x:t>
  </x:si>
  <x:si>
    <x:t>Abkürzungen im Leistungsverzeichnis
für Abrechnungseinheiten (Einh)
d	= 	Tag
h	= 	Stunde
Jr	= 	Jahr
kg	= 	Kilogramm
km	= 	Kilometer
km2	= 	Quadratkilometer
l	= 	Liter
m	= 	Meter
m2	= 	Quadratmeter
m3	= 	Kubikmeter
Mt	= 	Monat
psch	= 	pauschal
St	= 	Stück
t	= 	Tonne
Wo	= 	Woche
für kombinierte Abrechnungseinheiten (Einh).
Bei Vorhaltung oder Instandhaltung ist die Abrechnungs-
einheit das Produkt aus Mengen- und Zeiteinheit
mMt	= 	Meter x Monate
mWo	= 	Meter x Wochen
md	= 	Meter x Tage
m2Mt	= 	Quadratmeter x Monate
m2Wo	= 	Quadratmeter x Wochen
m2d	= 	Quadratmeter x Tage
m3Mt	= 	Kubikmeter x Monate
m3Wo	= 	Kubikmeter x Wochen
m3d	= 	Kubikmeter x Tage
StMt	= 	Stück x Monate
StWo	= 	Stück x Wochen
Std	= 	Stück x Tage
Sth	= 	Stück x Stunden</x:t>
  </x:si>
  <x:si>
    <x:t>8d84bf56-8d0f-4796-8c24-1f5f2aa97b01</x:t>
  </x:si>
  <x:si>
    <x:t>Gruppe</x:t>
  </x:si>
  <x:si>
    <x:t>1.</x:t>
  </x:si>
  <x:si>
    <x:t>STRASSENAUSBAU HERBSTMUEHLE</x:t>
  </x:si>
  <x:si>
    <x:t>1.1.</x:t>
  </x:si>
  <x:si>
    <x:t>BAUSTELLENEINRICHTUNG</x:t>
  </x:si>
  <x:si>
    <x:t>Hinweis Baustelleneinrichtung</x:t>
  </x:si>
  <x:si>
    <x:t>Hinweis Baustelleneinrichtung
Für die Baustelleneinrichtung können nur im Baugebiet begrenzt öffentliche Flächen zur Verfügung gestellt werden.
Lagerflächen für Material stehen ebenso nur begrenzt zur Verfügung. Die Beschaffung notwendiger Flächen ist ausschließlich Sache des AN. Die Kosten hierfür sind in die Einheitspreise einzurechnen.
Alle erforderlichen Bauzäune und Sicherungseinrichtungen der Baustelleneinrichtung des AN sind in die Position der Baustelleneinrichtung einzukalkulieren und werden nicht gesondert vergütet.</x:t>
  </x:si>
  <x:si>
    <x:t>cacb84cb-c341-4286-b848-35e4df2ce27a</x:t>
  </x:si>
  <x:si>
    <x:t>Position</x:t>
  </x:si>
  <x:si>
    <x:t>1.1.01</x:t>
  </x:si>
  <x:si>
    <x:t>Baustelle einrichten und räumen</x:t>
  </x:si>
  <x:si>
    <x:t>Einrichten und Räumen der Baustelle,
Vorhalten der Baustelleneinrichtung
für den Straßenausbau der Herbstmühle.
Eingeschlossen sind die für die Durchführung der vertraglichen Leistungen erforderlichen Lager- und Arbeitsplätze.
WICHTIG: Die Vorhaltung aller erforderlichen Geräte zur Baudurchführung ist in die Einheitspreise der entsprechenden Position einzurechnen.
Vergütung
a)  30 % nach Einrichten der Baustelle mit der ersten
Abschlagsrechnung
b)  Rest im Zuge der Fertigstellung der Bauarbeiten
auf der Grundlage der erstellten Leistungen, ohne
die Baustelleneinrichtung.</x:t>
  </x:si>
  <x:si>
    <x:t>psch</x:t>
  </x:si>
  <x:si>
    <x:t>382845b3-2bf1-4a0d-864c-e54fb01ead4d</x:t>
  </x:si>
  <x:si>
    <x:t>71815ab5-83b3-4714-b519-4854e4dd9a2c</x:t>
  </x:si>
  <x:si>
    <x:t>1.1.02</x:t>
  </x:si>
  <x:si>
    <x:t>Transport von Hausmüllbehältern</x:t>
  </x:si>
  <x:si>
    <x:t>Transport von Hausmüllbehältern An- und Abtransport von Hausmüll Behältern bis 240 Liter Füllvolumen und gelben Säcken zur zentralen Anfahrstelle der öffentlichen Abfallentsorgung, während der Dauer der gesamten Arbeiten entsprechend der Erfordernis und dem jeweiligen Bauablauf (Erreichbarkeit durch Müllfahrzeuge).
Der An- und Abtransport hat zeitgerecht und in Abstimmung auf die jeweiligen Entsorgungstermine der öffentlichen Müllabfuhr, sowie mit den betroffenen Anliegern zu erfolgen.
Förderweg entsprechend dem Baufortschritt bis zu 100 m.</x:t>
  </x:si>
  <x:si>
    <x:t>20382386-e3d9-4217-8037-888196a89822</x:t>
  </x:si>
  <x:si>
    <x:t>1.1.03</x:t>
  </x:si>
  <x:si>
    <x:t>Fotodokumentation der Baustelle</x:t>
  </x:si>
  <x:si>
    <x:t>Zur Dokumentation der ausgeführten Leistungen hat der AN geeignete Fotos (i.M. ca. 10  Stück pro Tag. Digitalfotos mit einer Mindestauflösung von 3 Megapixel) ergänzend zum örtlichen Aufmaß anzufertigen.
Die Fotos sind gesammelt auf einem geeigneten Speichermedium (USB-Stick) zu übergeben. Der AN hat dem AG die Fotos auf Anforderung, spätestens jedoch mit der Abrechnung zur Verfügung zu stellen. Die Fotos müssen nummeriert und durch eine Bildunterschrift eine eindeutige Zuordnung zur jeweiligen Leistung ermöglichen.</x:t>
  </x:si>
  <x:si>
    <x:t>a27ba2dc-5285-4c42-95ab-8cab0d8a91e7</x:t>
  </x:si>
  <x:si>
    <x:t>1.1.04</x:t>
  </x:si>
  <x:si>
    <x:t>Bestandsaufnahme</x:t>
  </x:si>
  <x:si>
    <x:t>Erstellung einer digitalen Fotodokumentation über den Zustand der angrenzenden privaten Gebäude, Einfriedungen, Oberflächenbefestigungen im Bereich der Herbstmühle.
Es sind ca. 200 Fotos zu erstellen, die alle Arten und Zustand der Pflasterungen, Einfassungen und Aufbauten wiedergibt.
Die Fotos sind nach Hausnummern zu ordnen und mit digitaler Datumsangabe zu versehen. Abgabe der Fotodokumentation vor Beginn der Bauarbeiten auf geeignetem Speichermedium (USB-Speicherstick).</x:t>
  </x:si>
  <x:si>
    <x:t>2906c0db-a870-452b-b62f-a7ee994c6172</x:t>
  </x:si>
  <x:si>
    <x:t>1.1.05</x:t>
  </x:si>
  <x:si>
    <x:t>Zuwegung zu den Grundstücken</x:t>
  </x:si>
  <x:si>
    <x:t>Zuwegung zu allen Grundstücken mittels Fußgängerbrücken oder glw. verkehrssicher herstellen, einschl. der erf. Auflagerausbildung, für die Dauer der Bauzeit in erforderlicher Anzahl vorhalten und nach gewähltem Bauablauf ggf. täglich umsetzten und beseitigen.Insgesamt ist mit ca. 5 Zuwegungen zu Privatgrundstücken zu rechnen.
Pauschale gilt für alle Bauabschnitte innerhalb der Herbstmühle.</x:t>
  </x:si>
  <x:si>
    <x:t>375b1534-c988-497e-855a-41f20a165b40</x:t>
  </x:si>
  <x:si>
    <x:t>1.1.06</x:t>
  </x:si>
  <x:si>
    <x:t>Zufahrten zu den Grundstücken</x:t>
  </x:si>
  <x:si>
    <x:t>Zufahrten zu allen Grundstücken, mittels Schotterrampen oder für PKW befahrbare, rutschfeste Stahlplatten oder glw. verkehrssicher herstellen, einschl. der erf. Auflagerausbildung, für die Dauer der Bauzeit in erforderlicher Anzahl vorhalten und nach gewähltem Bauablauf ggf. täglich umsetzten und beseitigen.
Insgesamt ist mit ca. 15 Zufahrten zu Privatgrundstücken/ Parkplätzen zu rechnen.
Pauschale gilt für beide Bauabschnitte innerhalb der Herbstmühle</x:t>
  </x:si>
  <x:si>
    <x:t>56478369-8f72-4973-b069-1a2879843e16</x:t>
  </x:si>
  <x:si>
    <x:t>Hinweis !
Die nachbeschriebenen Verkehrslenkungsmaßnahmen sind mit der Straßenverkehrsbehörde der Stadt Wipperfürth abzustimmen. Mindestens 2-3 Wochen vor Baubeginn und Einrichtung müssen die geplanten Verkehrslenkungsmaßnahmen / Regelpläne mit den zuständigen Behörden - Straßenverkehrsbehörde Stadt Wipperfürth
FeuerwehrPolizeiMüllabfuhr
vom AN abgestimmt werden.
In den Positionen sind alle Leistungen für die Sicherung, Absperrung und Beschilderung gemäß RSA ausgeschrieben.
Für die verkehrstechnischen Sicherungen von Arbeitsstellen wird die ZTV-SA 97 sowie die RSA in der jeweils gültigen Fassung Vertragsbestandteil.
Alle erforderlichen Genehmigungen sind einzuholen. Auflagen sind zu berücksichtigen. Diese Leistungen obliegen dem AN. Die Kosten hierfür werden nicht gesondert vergütet und sind in die Einheitspreise einzukalkulieren.</x:t>
  </x:si>
  <x:si>
    <x:t>40a4c167-fb04-44be-bbc5-cfd44914e4a9</x:t>
  </x:si>
  <x:si>
    <x:t>1.1.07</x:t>
  </x:si>
  <x:si>
    <x:t>Verkehrsgenehmigung einholen</x:t>
  </x:si>
  <x:si>
    <x:t>Einholen aller Verkehrsgenehmigungen bei der örtlich zuständigen Straßenverkehrsbehörde (einschl. Entrichtung der Gebühr) für die Baumaßnahmen in der Herbstmühle.
In die Position einzurechnen sind alle hierfür erforderlichen Termine mit Ordnungsamt, Polizei, Feuerwehr, Bauleitung etc., bei deren Sitz oder im
Rahmen von einzelnen oder mehreren Ortsbesichtigungen.
Im Zuge der Baumaßnahme erforderliche Ergänzungen zur ursprünglich erteilten Genehmigung werden nicht gesondert vergütet.</x:t>
  </x:si>
  <x:si>
    <x:t>b922af05-fb11-4936-8397-dc9a18f6b2e4</x:t>
  </x:si>
  <x:si>
    <x:t>1.1.08</x:t>
  </x:si>
  <x:si>
    <x:t>Sicherungseinrichtung für Straßenbau</x:t>
  </x:si>
  <x:si>
    <x:t>Sicherungseinrichtung für die verkehrssichere Beschilderung der Baustelle für Straßenbau gemäß Regelplan B I-15 gem. RSA 2021 (Vollsperrung mit Anlieger frei), Absperrung und Beleuchtung, sowie für das durch den Baufortgang und der verschiedenen einzelnen Bauabschnitte evtl. erforderlich werdende Umsetzung dieser Anlagen.
Einschließlich Überwachen, auch an Tagen ohne Baueinsatz. Unterhaltung und die spätere Beseitigung der gesamten Sicherungseinrichtung. Die Pauschale gilt für die gesamte Bauzeit und umfasst alle hierfür erforderlichen Lieferungen, Vorhalten und Leistungen in allen Bauabschnitten.
Die Vergütung erfolgt prozentual gemäß Baufortschritt.</x:t>
  </x:si>
  <x:si>
    <x:t>609bef92-6f33-4eae-8f95-53e3cf77edf9</x:t>
  </x:si>
  <x:si>
    <x:t>1.1.09</x:t>
  </x:si>
  <x:si>
    <x:t>Baustellensignalanlage Zufahrt BEW</x:t>
  </x:si>
  <x:si>
    <x:t>Baustellensignalanlage mit  Lichtsignalgebern für die Regelung des Straßenverkehrs (Zufahrt BEW) während der gesamten ArbeitenAusführung mit automatischer Steuerung.
2 Stück Fahrzeugsignalgebern,
liefern, aufbauen und abbauen, einschl. Programmierung, Synchronisierung,
24-h-Rufbereitschaft und täglicher Kontrolle,
Wartung, Stromkosten und Ersatz defekter Teile und
Einrichtungen, Abstand der Signale'bis 30 m'.Ausführung in Bauphase 2 während der Fahrbahnerneuerung.</x:t>
  </x:si>
  <x:si>
    <x:t>St</x:t>
  </x:si>
  <x:si>
    <x:t>20a8fcc1-902c-487e-b386-f5272072cba8</x:t>
  </x:si>
  <x:si>
    <x:t>1.1.10</x:t>
  </x:si>
  <x:si>
    <x:t>Ampelanlage vorhalten und betreiben</x:t>
  </x:si>
  <x:si>
    <x:t>Baustellensignalanlage für Straßenverkehr wie vor,
mit bedarfsgeregelter Steuerung,
nach DIN 57 832 und VDE 0832
für die Dauer de Arbeiten vorhalten und betreiben.
Abrechnung nach Stück x Vorhaltedauer in Tagen.</x:t>
  </x:si>
  <x:si>
    <x:t>d</x:t>
  </x:si>
  <x:si>
    <x:t>ca1743c3-ae1d-4f01-a9aa-d64b14e13031</x:t>
  </x:si>
  <x:si>
    <x:t>1.1.11</x:t>
  </x:si>
  <x:si>
    <x:t>Zusätzliche Verkehrszeichen aufstellen</x:t>
  </x:si>
  <x:si>
    <x:t>Zusätzliche Verkehrszeichen aller Art mit versetzbarem Pfahl
'aufstellen, für die Dauer der vertraglichen Ausführungsfrist vorhalten,
entsprechend Baufortschritt umsetzen und beseitigen'.
Ausführung 'voll rückstrahlend, nur auf besondere Anordnung'
Für die Beschilderung der jeweiligen Umleitungen.</x:t>
  </x:si>
  <x:si>
    <x:t>8c2dfbc0-48c3-44e2-9f08-d7bd3ae50958</x:t>
  </x:si>
  <x:si>
    <x:t>1.1.12</x:t>
  </x:si>
  <x:si>
    <x:t>Zusätzliche Absperrungen aufstellen</x:t>
  </x:si>
  <x:si>
    <x:t>Zeichen 'Absperrschranken, -baken'
mit versetzbarem Pfahl
'aufstellen, für die Dauer der vertraglichen
Ausführungsfrist vorhalten,
entsprechend Baufortschritt umsetzen und beseitigen'.
Ausführung 'voll rückstrahlend. Nur auf besondere Anordnung'.</x:t>
  </x:si>
  <x:si>
    <x:t>def37425-1922-47e5-ad53-1abca1eed0a3</x:t>
  </x:si>
  <x:si>
    <x:t>1.1.13</x:t>
  </x:si>
  <x:si>
    <x:t>Straßenbestandsplan</x:t>
  </x:si>
  <x:si>
    <x:t>Straßenbestandsplan erstellen.
Bestandsplan der neu hergestellten Straßenoberfläche mit folgenden Angaben:
-     Höhenangabe Straßenoberfläche
Lage- und Höhenangabe Schachtdeckel AbwasserkanäleLage- und Höhenangabe aller Einbauten der Versorgungsträger (Schieber, Hydranten, Versorgungsschächte)Eintragung der Straßenbeleuchtung, BeschilderungEintragung des Stadtmobiliars (Bänke, Papierkörbe, Fahrradständer etc.)Lage- und Höhenangabe StraßenabläufeBordstein-/RinnenverläufeArt der Oberflächenbefestigungprivate Zufahrten und Darstellung der angrenzenden Grundstückseinfassungen (Zäune, Mauern, etc.) mit Angabe der Art der Einfassung
Bestandsplan digital Übergabe der Daten möglichst als GEOGRAF-Projekt mit eindeutiger Ebenen-, Layerstruktur (Punkte/Symbole, Linie o. Beschriftung in jeweils eigenen Ebene/Layern) und lizenzfreien Muster-Katalogen!</x:t>
  </x:si>
  <x:si>
    <x:t>796881d6-35b5-4142-94e1-41860e0016f4</x:t>
  </x:si>
  <x:si>
    <x:t>Summe Gruppe</x:t>
  </x:si>
  <x:si>
    <x:t>6dfb037f-d914-4a62-94dd-fcdbb61badd0</x:t>
  </x:si>
  <x:si>
    <x:t>1.2.</x:t>
  </x:si>
  <x:si>
    <x:t>VORBEREITENDE ARBEITEN</x:t>
  </x:si>
  <x:si>
    <x:t>1.2.01</x:t>
  </x:si>
  <x:si>
    <x:t>Baugelände abräumen</x:t>
  </x:si>
  <x:si>
    <x:t>Baugelände abräumen,
von Aufwuchs, (Hecken, Strauchwerk, usw.)',
einschl. Wurzelwerk
das abgeräumte Material getrennt nach Stoffen laden.
Abfuhr und Entsorgung sind einzurechnen.
Gilt für neue Gehwegflächen Bereich Grünfläche Gaulstr. im Bereich der Arbeitsräume und neuen Wegeflächen.
Bewuchshöhe i.M. 0,50 m</x:t>
  </x:si>
  <x:si>
    <x:t>m2</x:t>
  </x:si>
  <x:si>
    <x:t>047d746f-d0af-4d84-81bc-7a3a7d3a37de</x:t>
  </x:si>
  <x:si>
    <x:t>526d68a2-74a9-4c9e-b9bd-1c69fe1e62e7</x:t>
  </x:si>
  <x:si>
    <x:t>1.2.02</x:t>
  </x:si>
  <x:si>
    <x:t>Betonabbruch in Kleinmengen</x:t>
  </x:si>
  <x:si>
    <x:t>Betonabbruch in Kleinmengen,
z.B. Mauerfundamente, Betonanrampungen
unbewehrter Beton in unterschiedlicher Stärke
Betongüte bis C20/25
anfallende Stoffe entsorgen, einschl. Entsorgungskosten.</x:t>
  </x:si>
  <x:si>
    <x:t>m3</x:t>
  </x:si>
  <x:si>
    <x:t>483e3138-49e7-45af-accf-a359a7d6aca0</x:t>
  </x:si>
  <x:si>
    <x:t>1.2.03</x:t>
  </x:si>
  <x:si>
    <x:t>Verkehrsschilder aufnehmen und seitlich lagern, wieder versetzen</x:t>
  </x:si>
  <x:si>
    <x:t>Vorhandene Verkehrs- und Hinweisschilder,
einschließlich Rohrpfosten und Betonfundament ausbauen, abbrechen.
Anfallende Stoffe sind fachgerecht zu entsorgen,
einschließlich der Deponiegebühren.
Schilder sind seitlich zu lagern und in gleicher Weise wieder zu versetzen.</x:t>
  </x:si>
  <x:si>
    <x:t>c2f0c961-d299-4936-ac87-1b74ab67360b</x:t>
  </x:si>
  <x:si>
    <x:t>1.2.04</x:t>
  </x:si>
  <x:si>
    <x:t>Grenzsteine sichern</x:t>
  </x:si>
  <x:si>
    <x:t>Grenzsteine / Grenzmarkierungen so sichern,
dass sie während der gesamten Bauzeit
sichtbar und unverrückbar bleiben.
Werden dennoch Grenzsteine /- Markierungen berührt und
müssen entfernt werden, so hat der AN sie nach Fertigstellung
der Arbeiten durch einen öffentlich bestellten
Vermessungsingenieur neu einmessen und setzen zu lassen.
Wichtiger HINWEIS:
Die Genehmigung zum Entfernen von Grenzsteinen / -Markierungen ist vorher zwingend beim AG bzw. der BL des AG einzuholen.</x:t>
  </x:si>
  <x:si>
    <x:t>5a75bf27-92f0-4601-88c0-ecb090d1b299</x:t>
  </x:si>
  <x:si>
    <x:t>1.2.05</x:t>
  </x:si>
  <x:si>
    <x:t>Bit.Oberbau senkr. schneiden D 3 cm</x:t>
  </x:si>
  <x:si>
    <x:t>Bituminöse Befestigung in Verkehrsflächen,
Längsriss Brückenbelag Gaulbach
senkrecht entlang des Rissverlaufes schneiden,
Schnitttiefe = 3 cm
Ausführung mit Fugenschneidegerät.
Anfallende Stoffe entsorgen, einschl. Entsorgungskosten.</x:t>
  </x:si>
  <x:si>
    <x:t>m</x:t>
  </x:si>
  <x:si>
    <x:t>aa5f945e-4880-4643-8528-f66b498d1646</x:t>
  </x:si>
  <x:si>
    <x:t>1.2.06</x:t>
  </x:si>
  <x:si>
    <x:t>Bit.Oberbau senkr. schneiden D 10-20 cm</x:t>
  </x:si>
  <x:si>
    <x:t>Bituminöse Befestigung in Verkehrsflächen,
Anschlussbereiche Altbestände Sonnenweg, Zufahrt BEW, Brücke Gaulbach,
Dicke der bituminösen Befestigung 10 bis 20 cm
Ausführung mit Fugenschneidegerät.
Anfallende Stoffe entsorgen, einschl. Entsorgungskosten.</x:t>
  </x:si>
  <x:si>
    <x:t>52c1d019-7681-4ee4-b095-5c935091a547</x:t>
  </x:si>
  <x:si>
    <x:t>1.2.07</x:t>
  </x:si>
  <x:si>
    <x:t>&gt;20-30 cm</x:t>
  </x:si>
  <x:si>
    <x:t>&gt;20-30 cm entlang L 284</x:t>
  </x:si>
  <x:si>
    <x:t>51ba2b64-dfaf-4dbb-8b74-86dc83453a67</x:t>
  </x:si>
  <x:si>
    <x:t>1.2.08</x:t>
  </x:si>
  <x:si>
    <x:t>Teerhaltige Befestigung.aufbrech.aufn.Fahrbahn D bis 25 cm, &lt; 1000 mg/kg, VK B,C</x:t>
  </x:si>
  <x:si>
    <x:t>Teerhaltige Befestigung aufbrechen und aufnehmen,
in Verkehrsflächen,
Dicke der bituminösen Befestigung bis 25 cm,
PAK &lt; 1000 mg/kg,
gem. RuVA-Stb01, Verwertungsklasse B oder C,
AVV-Nr. 170302,
anfallende Stoffe fachgerecht entsorgen,
Abgerechnet wird als Zulage zu den Aushubpositionen.</x:t>
  </x:si>
  <x:si>
    <x:t>5bf26eae-5b56-47e9-9379-6d16dce5b2ce</x:t>
  </x:si>
  <x:si>
    <x:t>1.2.09</x:t>
  </x:si>
  <x:si>
    <x:t>Teerhaltige (schadstoffhaltige) Befestigung &gt;1000 mg/kg  als Zulage</x:t>
  </x:si>
  <x:si>
    <x:t>Bituminöse (schadstoffhaltige) PAK-belastete Straßenbefestigung fachgerecht entsorgen.
Eingeschlossen sind die Kosten für die Separierung des
Materials von der ungebundenen Tragschicht und einer
eventuellen fachgerechten gekapselten Zwischenlagerung.
Vergütet werden lediglich die teerhaltigen Massen.
Für die Annahmefähigkeit der teerhaltigen Massen
(überwachungsbedürftig im Sinne der AVV, Abfall zur
Beseitigung)  an der Beseitigungsstelle sind die jeweils
gültige Betriebs- und Benutzungsordnung und die
Anlieferungsbedingungen einzuhalten.
PAK-Gehalt &gt;1000 bis 4000 mg/kg. Das Material
ist, entsprechend den Richtlinien für die
umweltverträgliche Verwertung von Ausbaustoffen mit
teerhaltigen/pechtypischen Bestandteilen (RuVA-StB 01),
der Verwertungsklasse B oder C zugeordnet.
AVV-Nr. 170301,
In den Einheitspreis sind alle Kosten für die Beseitigung sowie Transport- und Wiegekosten und Kosten für die Abfallnachweisführung einzurechnen.
Die Abrechnung erfolgt nach Wiegekarte der Annahmestelle
und Abfahrkontrolle auf der Baustelle.
Bei Aufnahme des Materials geht dieses in Eigentum des AN über, dieser wird somit Abfallerzeuger.
Als Zulage zur Vorposition</x:t>
  </x:si>
  <x:si>
    <x:t>t</x:t>
  </x:si>
  <x:si>
    <x:t>1de18dd2-398d-4d21-a3a7-f190d99202f9</x:t>
  </x:si>
  <x:si>
    <x:t>1.2.10</x:t>
  </x:si>
  <x:si>
    <x:t>Bit.aufbrech.aufn Gehweg D -15 cm</x:t>
  </x:si>
  <x:si>
    <x:t>Bituminöse Befestigung in Gehwegflächen,
aufbrechen und aufnehmen,
Dicke der bituminösen Befestigung bis 15 cm,
anfallende Stoffe entsorgen, einschl. Entsorgungskosten.
Abgerechnet wird als Zulage zu den Aushubpositionen.</x:t>
  </x:si>
  <x:si>
    <x:t>51f0d87a-c9b3-4faf-9903-a9939b6bd4a9</x:t>
  </x:si>
  <x:si>
    <x:t>1.2.11</x:t>
  </x:si>
  <x:si>
    <x:t>Decke kaltfräsen Asphaltbeton T 35-40 mm</x:t>
  </x:si>
  <x:si>
    <x:t>Bitumenhaltige Decke kaltfräsen
in Fahrbahnen
aus Asphaltbeton,
in Streifen und Kleinflächen
im Übergangsbereich zum Altbestand und auf Brückenbauwerk Gaulbach
Tiefe über 35 bis 40 mm,
Ränder senkrecht abkanten und an Einbauten nacharbeiten,
Flächen reinigen, nicht festhaftende Schichten lösen.
Anfallende Stoffe laden und fachgerecht entsorgen.</x:t>
  </x:si>
  <x:si>
    <x:t>ee6e53aa-37eb-4310-8795-4014efc3d00e</x:t>
  </x:si>
  <x:si>
    <x:t>1.2.12</x:t>
  </x:si>
  <x:si>
    <x:t>Platten-/ Pflasterbelag aufnehmen, entsorgen</x:t>
  </x:si>
  <x:si>
    <x:t>Verbundsteinpflaster oder Plattenbelag aus Betonsteinen aufnehmen, bis 10 cm dick einschl. Bettung aus Mörtelbett oder Sandbett, verschiedene Größen (10/20 cm bis 20/40 cm) anfallende Stoffe laden und fachgerecht entsorgen,
einschl. der Entsorgungskosten.
Aufbruch in mehreren Teilflächen
Abgerechnet wird als Zulage zu den Aushubpositionen.</x:t>
  </x:si>
  <x:si>
    <x:t>cfba1171-dc01-44b2-96a4-3a2de3ed41d3</x:t>
  </x:si>
  <x:si>
    <x:t>1.2.13</x:t>
  </x:si>
  <x:si>
    <x:t>Rasengittersteine aufnehmen, entsorgen</x:t>
  </x:si>
  <x:si>
    <x:t>Rasengittersteine aus Betonsteinen inklusive Erdfüllung aufnehmen, bis
10 cm dick einschl. Bettung aus Mörtelbett oder Sandbett, anfallende Stoffe laden und fachgerecht entsorgen, einschl. der Entsorgungskosten.
Abgerechnet wird als Zulage zu den Aushubpositionen.</x:t>
  </x:si>
  <x:si>
    <x:t>2ac14769-5e39-4cad-af55-97fd7c5710af</x:t>
  </x:si>
  <x:si>
    <x:t>1.2.14</x:t>
  </x:si>
  <x:si>
    <x:t>Pflaster-/ Platten Umlage Privatgrundstücke</x:t>
  </x:si>
  <x:si>
    <x:t>Pflaster-/ Platten Umlage im Übergang zu den Privatgrundstücken,
Pflaster- oder Plattenbelag aus Beton umsetzen, in verschiedenen Abmessungen, in Bettung aus Mörtel oder Sand liegend aufnehmen, reinigen, seitlich lagern und in gleicher Weise wieder verlegen.
Höhenänderung bis +/- 5 cm
Vorhandene Tragschicht ist je nach Höhenänderung abzuschachten bzw. mit geeignetem Material zu erhöhen, inklusive Nachverdichtung und Herstellung des Planums, Lieferung und Einbau von Bettungsmaterial und Einsanden der Fugen.
Nicht wiederverwendbare bzw. überschüssige Materialien fachgerecht entsorgen, einschl. der Entsorgungskosten.
Für die Anpassungsarbeiten an den befestigten Privatflächen, in mehreren Teilflächen.</x:t>
  </x:si>
  <x:si>
    <x:t>c922c8d6-45d9-46a3-a1ce-c4b0d614420c</x:t>
  </x:si>
  <x:si>
    <x:t>1.2.15</x:t>
  </x:si>
  <x:si>
    <x:t>Bordstein Beton aufnehmen Rasenbord mit Fundament Beton</x:t>
  </x:si>
  <x:si>
    <x:t>Bordstein aus Beton aufnehmen,
Rasenbord 8-10/20-25 cm
einschl. Fundament und einseitiger Rückenstütze aus Beton, Dicke bis 25 cm,
anfallende Stoffe laden und fachgerecht entsorgen.</x:t>
  </x:si>
  <x:si>
    <x:t>2dd3dc8d-09fe-4826-9741-18798caa26eb</x:t>
  </x:si>
  <x:si>
    <x:t>1.2.16</x:t>
  </x:si>
  <x:si>
    <x:t>Bordstein Beton aufnehmen Hoch-, Rundbord mit Fundament Beton</x:t>
  </x:si>
  <x:si>
    <x:t>Bordstein aus Beton aufnehmen,
Hoch-/Rundbord, ca. 15/25 cm
einschl. Fundament und einseitiger Rückenstütze aus Beton, Dicke bis 25 cm,
anfallende Stoffe laden und fachgerecht entsorgen.</x:t>
  </x:si>
  <x:si>
    <x:t>120acb96-cccb-48a6-a0d2-b8e55a2f04e3</x:t>
  </x:si>
  <x:si>
    <x:t>1.2.17</x:t>
  </x:si>
  <x:si>
    <x:t>Rinne 1-zeilig aus Beton aufnehmen, entsorgen</x:t>
  </x:si>
  <x:si>
    <x:t>Rinne aus Betonsteinen als 1-zeilige Pflasterrinne, Basamentstein 16/24 cm, Dicke bis 14 cm einschl. Fundament und aus Beton, Fundamentbeton bis 25 cm dick, anfallende Stoffe laden und fachgerecht entsorgen, einschl. der Entsorgungskosten.</x:t>
  </x:si>
  <x:si>
    <x:t>61c0c11b-1e50-42b1-99dd-d791220dfa7c</x:t>
  </x:si>
  <x:si>
    <x:t>1.2.18</x:t>
  </x:si>
  <x:si>
    <x:t>Strassenablauf aufnehmen, entsorgen</x:t>
  </x:si>
  <x:si>
    <x:t>Straßenablauf aufnehmen, aus Beton, Tiefe bis 100 cm,
einschl. Rostabdeckung, ca. 30*50 bzw. 50*50 cm.
'Das Abbruchmaterial ist fachgerecht zu entsorgen,
einschl. Entsorgungskosten.',
Ausführung 'als Zulage zu den Aushubpositionen'.
Vorhandene Ablaufleitung mit Deckel fachgerecht verschließen.</x:t>
  </x:si>
  <x:si>
    <x:t>137a17d8-8885-4535-9a64-acdd5d446c1a</x:t>
  </x:si>
  <x:si>
    <x:t>1.2.19</x:t>
  </x:si>
  <x:si>
    <x:t>Schachtabdeckung aufnehmen, entsorgen</x:t>
  </x:si>
  <x:si>
    <x:t>Schachtabdeckung aufnehmen, inklusive eventueller Schachtausgleichsring aus Beton/Guss,
'Das Abbruchmaterial ist fachgerecht zu entsorgen,
einschl. Entsorgungskosten.',
Ausführung 'als Zulage zu den Aushubpositionen'.
Schacht bis zum Neueinbau der Schachtabdeckung fachgerecht verschließen.</x:t>
  </x:si>
  <x:si>
    <x:t>c2177f0a-e80d-475b-9be6-bfde41446d5f</x:t>
  </x:si>
  <x:si>
    <x:t>1.2.20</x:t>
  </x:si>
  <x:si>
    <x:t>Beleuchtungsmast bis Lph 6,0 m mit Leuchtmittel demontieren, laden, lagern</x:t>
  </x:si>
  <x:si>
    <x:t>Stahlmast mit Aufsatzleuchte, LPH bis 6,00 m inklusive Leuchtmittel fachgerecht demontieren,
die vorhandenen Erdkabel und Zuleitungen
zu den Leuchten in ca. 2 m Höhe am Kabelübergangskasten
fachgerecht abtrennen und den im Erdreich gegründeten
Mast sorgfältig aufnehmen, einschließlich aller Erdarbeiten und Abbruch der Fundamentierung.
Mast und Leuchte laden und seitlich lagern.
Restliches Aufbruchmaterial ist fachgerecht zu entsorgen, einschl. Entsorgungskosten. Die Außerbetriebnahme des Straßenbeleuchtungsnetzes im Ausbaubereich erfolgt durch den Netzbetreiber.</x:t>
  </x:si>
  <x:si>
    <x:t>58e599c3-2549-4a93-8a26-b4e68da58a75</x:t>
  </x:si>
  <x:si>
    <x:t>1.3.</x:t>
  </x:si>
  <x:si>
    <x:t>ERDARBEITEN</x:t>
  </x:si>
  <x:si>
    <x:t>Allgemeiner Hinweis</x:t>
  </x:si>
  <x:si>
    <x:t>Allgemeiner Hinweis
Bei allen Erdarbeiten des Bauvorhabens ist mit beengten Platzverhältnissen zu rechnen. Innerhalb der einzelnen Bauphasen sind die Rangiermöglichkeiten für Transportfahrzeuge und Aushubgeräte eingeschränkt.
Alle Arbeiten sind als Vor-Kopf-Arbeit auszuführen.
Der Geräteeinsatz ist den Örtlichkeiten anzupassen. Alle aus den beengten Verhältnissen entstehende Erschwernisse sind einzukalkulieren und werden nicht gesondert vergütet.</x:t>
  </x:si>
  <x:si>
    <x:t>6da923de-8ca8-43b2-888a-44860215f8f8</x:t>
  </x:si>
  <x:si>
    <x:t>HINWEIS</x:t>
  </x:si>
  <x:si>
    <x:t>HINWEIS
Die Mengenermittlung für die Abrechnung der Bodenbewegungen erfolgt nach Aufmaß an der Entnahmestelle vor dem Abtrag. Mengen, die nach dem Längen- und/oder Flächenmaß abzurechnen sind, werden durch horizontale Messung ermittelt.</x:t>
  </x:si>
  <x:si>
    <x:t>6e769977-c0ae-41d0-8534-f7150a8511da</x:t>
  </x:si>
  <x:si>
    <x:t>HINWEIS
Der Schutz und die Befahrbarkeit des Erdbauplanums sowie die schadlose Ableitung des Oberflächenwassers während der Baumaßnahme ist ausschließlich Sache des AN.
Die betreffenden Leistungen sind in die Einheitspreise einzukalkulieren und werden nicht gesondert vergütet.
Die in Anspruch genommenen Flächen sind nach Bauende wieder in den Urzustand zurück zu versetzen.</x:t>
  </x:si>
  <x:si>
    <x:t>24e65301-a6b9-40f9-8566-e7537f72c76c</x:t>
  </x:si>
  <x:si>
    <x:t>Hinweise zur Mantelverordnung</x:t>
  </x:si>
  <x:si>
    <x:t>Hinweise zur Mantelverordnung
Mit der Mantelverordnung sind ab dem 01.08.2023 die Einführung einer Ersatzbaustoffverordnung und die Neufassung der Bundes-Bodenschutz- und Altlastenverordnung bundeseinheitlich geregelt. Im Zusammenhang sind damit auch die Deponieverordnung und die Gewerbeabfallverordnung geändert worden.
Die Anforderungen an den Schutz von Mensch, Boden und Grundwasser für die Verwertungswege mineralischer Abfälle (Bauschutt und Bodenaushub),  sind bundeseinheitlich, konkret und rechtsverbindlich geregelt. Die bekannten Länderregelungen, z.B. LAGA M20 sind entfallen.
Die Ersatzbaustoff-Verordnung (EBV) und die Bundes-Bodenschutz- und Altlastenverordnung (BBodSchV) verbindet dabei ein einheitliches umweltfachliches Konzept für den Einbau von mineralischen Ersatzbaustoffen in technische Bauwerke (Geltungsbereich EBV) und das Auf- oder Einbringen von Materialien auf oder in den Boden (Geltungsbereich BBodSchV) bei dem übergeordneten Ziel der ordnungsgemäßen und schadlosen Abfallverwertung im Hinblick auf Boden- und Wasserschutz (§ 7 Abs. 3 KrWG).
Der Mantelverordnung übergeordnet und allein rechtlich bindend ist das Kreislaufabfallwirtschaftsgesetz.</x:t>
  </x:si>
  <x:si>
    <x:t>f2aa9918-ee3e-4324-b5bf-209a13c242de</x:t>
  </x:si>
  <x:si>
    <x:t>Hinweis zum Geltungsbereich</x:t>
  </x:si>
  <x:si>
    <x:t>Hinweis zum Geltungsbereich
Es handelt sich um eine Baumaßnahme, bei der unaufbereitetes Bodenmaterial in ein technisches Bauwerk eingehen und damit im Geltungsbereich der Ersatzbaustoffverordnung (EBV) liegt.</x:t>
  </x:si>
  <x:si>
    <x:t>4e94abad-4e65-4a16-919d-fd84a0f8c77e</x:t>
  </x:si>
  <x:si>
    <x:t>Gleichwertigkeit Materialklassen</x:t>
  </x:si>
  <x:si>
    <x:t>Gleichwertigkeit Materialklassen
Mit der Erlass des Ministerium für Umwelt, Naturschutz und Verkehr des Landes Nordrhein-Westfalen vom 26.10.2022 sind Übergangsregelungen- und fristen gemäß § 27 EBV geschaffen worden.
In der Anlage 3 wird die Gleichwertigkeit von Materialklassen (früher: Zuordnungswert gem. LAGA) nach den Regelungen der EBV zu den Materialklassen nach den bisherigen NRW-Erlassen dargestellt.</x:t>
  </x:si>
  <x:si>
    <x:t>1338ea6c-5f5e-47e7-9d32-844d0aef90fe</x:t>
  </x:si>
  <x:si>
    <x:t>1.3.01</x:t>
  </x:si>
  <x:si>
    <x:t>Probenahme Bodenmaterial n. EBV</x:t>
  </x:si>
  <x:si>
    <x:t>Probenahme und Probenaufbereitung von auf der Baustelle angefallenen Bodenmaterial nach § 8 der Ersatzbaustoffverordnung (EBV), einschl. Protokollierung.
Das Protokoll ist in digitaler und in Papier-Ausfertigung vorzulegen.</x:t>
  </x:si>
  <x:si>
    <x:t>0c2818bf-ece2-412d-bbf6-78473771457d</x:t>
  </x:si>
  <x:si>
    <x:t>0d0da0ff-12a1-4d0d-b962-c332c5d628ab</x:t>
  </x:si>
  <x:si>
    <x:t>1.3.02</x:t>
  </x:si>
  <x:si>
    <x:t>Laboruntersuchung, Bewertung Bodenmaterial n. EBV</x:t>
  </x:si>
  <x:si>
    <x:t>Laboruntersuchung von auf der Baustelle angefallenen Bodenmaterial
nach §14 der Ersatzbaustoffverordnung (EBV)
durchführen und eine Bewertung nach §15 u. §16 mit Zuordnung in eine Materialklasse der EBV vornehmen.
Die Proben sind hinsichtlich aller relevanten Stoffe und Parameter zu untersuchen.
Einschl. der Dokumentation nach § 17, in digitaler und in Papier-Ausfertigung vorlegen.</x:t>
  </x:si>
  <x:si>
    <x:t>885de7ba-b9ad-46f2-9d66-c6d2a50d77dd</x:t>
  </x:si>
  <x:si>
    <x:t>1.3.03</x:t>
  </x:si>
  <x:si>
    <x:t>Suchgraben ausheben, Aushub 1,25 m, B 0,6 m</x:t>
  </x:si>
  <x:si>
    <x:t>Boden für Suchgraben ausheben, zur Freilegung von Kabeln und Leitungen,
nach Abtrag des Oberbodens bzw. der Oberflächenbefestigung.
Aushub seitlich lagern,
Aushubtiefe bis 1,25 m,
Sohlenbreite bis 0,60 m,
Herstellung in den  Böden gemäß Bodengutachten (Homogenbereich 1A),
weitere Angaben und Kennwerte gemäß Bodengutachten,
Einstufung gemäß LAGA Boden/ Bauschutt bis Z 1.1.</x:t>
  </x:si>
  <x:si>
    <x:t>e8edfcea-86a5-48ab-b8a6-4c045e5cb748</x:t>
  </x:si>
  <x:si>
    <x:t>1.3.04</x:t>
  </x:si>
  <x:si>
    <x:t>Suchgraben verfüllen, verdichten, Aushub 1,25 m, B 0,6 m</x:t>
  </x:si>
  <x:si>
    <x:t>Boden für Suchgraben verfüllen und verdichten, nach Freilegung von Kabeln und Leitungen.
Einsanden und Abdecken der Kabel/Leitungen bei der Rückverfüllung
nach den Anweisungen der Leitungsträger oder des Auftraggebers,
einschließlich der Lieferung des Sandes zum Einsanden der Kabel/Leitungen.
Seitlich lagernden Aushub laden, verfüllen und verdichten,
Tiefe bis 1,25 m,
Sohlenbreite bis 0,60 m,
Verdrängungsboden ist fachgerecht zu entsorgen, einschl. Entsorgungskosten.</x:t>
  </x:si>
  <x:si>
    <x:t>1f866968-55f9-4a6e-87d4-9f24ac60dd26</x:t>
  </x:si>
  <x:si>
    <x:t>1.3.05</x:t>
  </x:si>
  <x:si>
    <x:t>Suchgraben ausheben. einschl. Verbau Aushub bis 2,5 m, B 0,8 m</x:t>
  </x:si>
  <x:si>
    <x:t>mit Verbau gemäß DIN 4025
Aushubtiefe bis 2,5 m,
Sohlenbreite bis 0,80 m.</x:t>
  </x:si>
  <x:si>
    <x:t>687d2c7e-082a-48d8-a084-5edafc9f4520</x:t>
  </x:si>
  <x:si>
    <x:t>1.3.06</x:t>
  </x:si>
  <x:si>
    <x:t>Suchgraben verfüllen, verdichten, Aushub 2,5 m, B 0,8 m</x:t>
  </x:si>
  <x:si>
    <x:t>6ab15271-5f5f-42f9-af4e-3b58b89703d6</x:t>
  </x:si>
  <x:si>
    <x:t>1.3.07</x:t>
  </x:si>
  <x:si>
    <x:t>Boden der Verkehrsfläche ausheben,laden, entsorgen bis 0,70 m</x:t>
  </x:si>
  <x:si>
    <x:t>Boden für Verkehrsflächen profilgerecht lösen,
nach der Beseitigung der Oberflächenbefestigung,
Boden ist fachgerecht zu entsorgen, einschl. der Entsorgungskosten.
Herstellung in den  Böden gemäß Bodengutachten (Homogenbereich 1A/ 1B),
weitere Angaben und Kennwerte gemäß Bodengutachten,
Bodenmaterial: Materialklasse BM-F2/F3 bzw. DK 0 nach DepV
Abtragtiefe in m: bis 0,70,
mit Behinderungen durch vorhandene Ver- und Entsorgungsleitungen,
Mengenermittlung nach örtlichem Aufmaß vor und nach den Aushubarbeiten.</x:t>
  </x:si>
  <x:si>
    <x:t>73b184b3-289d-4706-8286-262d2004445a</x:t>
  </x:si>
  <x:si>
    <x:t>1.3.08</x:t>
  </x:si>
  <x:si>
    <x:t>Saugbagger/ Handschachtung Zulage</x:t>
  </x:si>
  <x:si>
    <x:t>Ausheben Saugbagger/ Handschachtung Zulage im Wurzelbereich der vorhandenen privaten Hecken als Zulage zu den Aushubpositionen.
Ausführung nur nach besonderer Anordnung der BL,
Nicht ausdrücklich mit der BL abgestimmte Leistungen
werden grundsätzlich nicht vergütet.</x:t>
  </x:si>
  <x:si>
    <x:t>dce0a272-ce41-4a15-bd9d-734be8e80278</x:t>
  </x:si>
  <x:si>
    <x:t>1.3.09</x:t>
  </x:si>
  <x:si>
    <x:t>Erschwerniszulage Arbeiten an privaten Einfriedungen und Grundstücksflächen in Handschachtung/ Saugbagger</x:t>
  </x:si>
  <x:si>
    <x:t>Erschwerniszulage für die Aufbruch- und Ausschachtungsarbeiten unmittelbar an den Grundstücksmauern und Einfriedungen der Privatgrundstücke entlang der kompletten Straße,
Ausführung der Arbeiten an ca. 250 m angrenzender Privatflächen in maschinenunterstützter Handarbeit/ Saugbagger.</x:t>
  </x:si>
  <x:si>
    <x:t>f8bc7454-0541-4440-81a1-f101f29e2de2</x:t>
  </x:si>
  <x:si>
    <x:t>1.3.10</x:t>
  </x:si>
  <x:si>
    <x:t>Ungebundene Tragschicht Fahrbahn, laden, lagern bis  0,30 m</x:t>
  </x:si>
  <x:si>
    <x:t>Boden für Verkehrsflächen (vorhandene ungebundene Tragschicht) profilgerecht lösen,
nach Beseitigung der Oberflächenbefestigung.
Boden laden, fördern und zur Wiederverfüllung im Bereich von notwendigem Bodenaustausch unterhalb des Planums wie folgt innerhalb der Baustelle zwischenlagern:
Boden lagenweise einbauen und verdichten,
Oberfläche mit ausreichend Gefälle so profilieren und
glatt walzen, dass keine abflusslosen Mulden entstehen.
Herstellung in den Böden gemäß Bodengutachten
(Homogenbereich 1A, Tragschicht),
weitere Angaben und Kennwerte gemäß Bodengutachten,
Abtragtiefe in m: bis 0,30,
mit Behinderungen durch vorhandene Ver- und Entsorgungsleitungen,
Mengenermittlung nach örtlichem Aufmaß vor und nach den Aushubarbeiten.</x:t>
  </x:si>
  <x:si>
    <x:t>908ba77f-03d9-4754-8290-4d566df01940</x:t>
  </x:si>
  <x:si>
    <x:t>1.3.11</x:t>
  </x:si>
  <x:si>
    <x:t>Boden der Verkehrsfläche ausheben, laden, entsorgen Bodenaustausch, bis 0,20m unter Planum</x:t>
  </x:si>
  <x:si>
    <x:t>Boden für Verkehrsflächen profilgerecht lösen,
unterhalb des Erdbauplanums in Bereichen Erdbauplanum &lt;45 MPa
Boden ist fachgerecht zu entsorgen, einschl. der Entsorgungskosten.
Herstellung in den  Böden gemäß Bodengutachten (Homogenbereich 1B),
weitere Angaben und Kennwerte gemäß Bodengutachten,
Bodenmaterial: Materialklasse BM-F2/F3 bzw. DK II nach DepV
Abtragtiefe in m: bis 0,20,
mit Behinderungen durch vorhandene Ver- und Entsorgungsleitungen,
Mengenermittlung nach örtlichem Aufmaß vor und nach den Aushubarbeiten.</x:t>
  </x:si>
  <x:si>
    <x:t>129d7d27-601d-494e-abde-47b7371dbddc</x:t>
  </x:si>
  <x:si>
    <x:t>1.3.12</x:t>
  </x:si>
  <x:si>
    <x:t>Bodenaustausch</x:t>
  </x:si>
  <x:si>
    <x:t>Schottertragschicht ZTV SoB-StB,
in Fahrbahnen,
aus Natursteinschotter, Grauwacke oder Basalt 0 / 45 mm liefern, im Bereich nicht tragfähiger Ausbaubereiche einbauen und verdichten,
Verformungsmodul EV2 mind. 45 MPa,
Schichtdicke: bis 20 cm.
Zusätzliche Anforderungen an die profilgerechte
Lage und Ebenheit Oberflächengenauigkeit +/- 2 cm.
Einbau in mehreren Teilflächen.</x:t>
  </x:si>
  <x:si>
    <x:t>c7534e5b-2f0a-4ab3-aaf4-c5f0d384c480</x:t>
  </x:si>
  <x:si>
    <x:t>1.3.13</x:t>
  </x:si>
  <x:si>
    <x:t>Planum herstellen</x:t>
  </x:si>
  <x:si>
    <x:t>Planum herstellen,
für Fahrbahn-, Fahrbahnnebenflächen,
gemäß ZTVE-StB,
zulässige Abweichung von der Nennhöhe +- 2 cm.
Ausführung einschl. Nachverdichtung,
Verformungsmodul EV2 mind. 45 MPa.</x:t>
  </x:si>
  <x:si>
    <x:t>6b8b4520-44d3-4d9d-9913-c20c2c5217c7</x:t>
  </x:si>
  <x:si>
    <x:t>1.3.14</x:t>
  </x:si>
  <x:si>
    <x:t>Schottertragschicht</x:t>
  </x:si>
  <x:si>
    <x:t>Schottertragschicht ZTV SoB-StB,
in Fahrbahnen, Verformungsmodul EV2
auf der Oberfläche mind. 120 MPa
aus Natursteinschotter, Grauwacke oder Basalt 0 / 45 mm,
Schichtdicken bis  52 cm
liefern, einbauen und verdichten.</x:t>
  </x:si>
  <x:si>
    <x:t>b5a9abe7-5f33-414c-8626-d52865ba38e6</x:t>
  </x:si>
  <x:si>
    <x:t>1.3.15</x:t>
  </x:si>
  <x:si>
    <x:t>Oberboden, liefern, profilgerecht auftragen, 30 cm</x:t>
  </x:si>
  <x:si>
    <x:t>Oberboden, steinfrei, liefern, profilgerecht auftragen,
Oberboden DIN 18320, Auftragsdicke bis 30 cm,
Abrechnung nach Flächenaufmaß mit den entsprechenden Aushubtiefen.
In mehreren Teilbereichen der bestehenden und neuen Grünflächen.</x:t>
  </x:si>
  <x:si>
    <x:t>7818834f-6f41-4439-9da0-c933547128d5</x:t>
  </x:si>
  <x:si>
    <x:t>1.3.16</x:t>
  </x:si>
  <x:si>
    <x:t>Teilabbruch Fertigteilschacht</x:t>
  </x:si>
  <x:si>
    <x:t>Teilabbruch
des Schachtes aus Betonfertigteilen
Aus Beton, Mauerwerk und Fertigteilen,
Querschnitt bis DN 1500,
durch Abbruch Schachtabdeckung, evtl. Ausgleichsringe und Konus/Abdeckplatte,
einschl. aller dafür erforderlichen zusätzlichen Erdarbeiten, Verfüllung
nach evtl. Verdämmung des Schachtes bis OK Erdplanum Straßenbau.
Anfallendes Material ist fachgerecht zu entsorgen,
einschl. der Deponiegebühren.</x:t>
  </x:si>
  <x:si>
    <x:t>8ed39e44-909d-4807-8383-1cadfe56b71b</x:t>
  </x:si>
  <x:si>
    <x:t>1.3.17</x:t>
  </x:si>
  <x:si>
    <x:t>Abmauern Kanal bis DN 300</x:t>
  </x:si>
  <x:si>
    <x:t>Kanalanschluss im Schachtbauwerk  bis DN 300 mit 24 cm dickem Mauerwerk aus Kanalklinkern wasserdicht abmauern,
einschl. Reinigung der Leitung im Bereich der Abmauerungsstelle.
Position gilt für zusätzliche Anschlüsse außerhalb der Verdämmhaltungen.</x:t>
  </x:si>
  <x:si>
    <x:t>a2b3e58b-d589-4cb1-9fe7-74483be64e79</x:t>
  </x:si>
  <x:si>
    <x:t>Stillgelegte Kanäle verfüllen</x:t>
  </x:si>
  <x:si>
    <x:t>18a0e3a6-ff23-44f8-865e-9c47a2eccca5</x:t>
  </x:si>
  <x:si>
    <x:t>1.3.18</x:t>
  </x:si>
  <x:si>
    <x:t>Stillgelegten Kanal verfüllen DN 300-500</x:t>
  </x:si>
  <x:si>
    <x:t>Stillgelegten Kanal verfüllen
mit 'hydraulisch gebundenem, fließfähigem,
volumenbeständigem Füllstoff,
Druckfestigkeit mind. 5 N/mm2',
'einschl. Entlüftungs- und Einfüllöffnungen anlegen
sowie die erforderliche Abmauerung des Kanals.
Vor der Abmauerung und Verfüllung des Kanals ist das
vorh. Abwasser und die Schlammablagerungen zu beseitigen',
Kanal DN 300-500,
in mehreren Teillängen gemäß beiliegenden Planungsunterlagen.</x:t>
  </x:si>
  <x:si>
    <x:t>557b6a6c-0a1a-4c70-b167-cb0ddc6d1df4</x:t>
  </x:si>
  <x:si>
    <x:t>1.4.</x:t>
  </x:si>
  <x:si>
    <x:t>STRASSENENTWÄSSERUNG</x:t>
  </x:si>
  <x:si>
    <x:t>1.4.01</x:t>
  </x:si>
  <x:si>
    <x:t>Straßenablauf komplett 300/500 Pultform</x:t>
  </x:si>
  <x:si>
    <x:t>Straßenablauf DIN 4052 aus Beton,
für Trockenschlamm,
Einbautiefe ca. 1250 mm,
gemessen von Unterkante Boden bis Oberkante
Aufsatz, bestehend aus
Unterteil für Trockenschlamm mit Ablauf Teil 1a
Ablauf DN 160 KG 2000
Schaftkonus 11 DIN 4052-11
Zwischenteil 6 a, DIN 4052-6a
und Auflagerring DIN 4052- 10b.
Mit Aufsatz für Straßenablauf in Pultform
entsprechend DIN EN 124 - 305x520
Klasse D 400,  Rost aus Gusseisen, Rahmen mit horizontaler und vertikaler 	     dämpfender Einlage MEIPREN® - Schlitzweite 17 mm - Einlaufquerschnitt   	     653 cm²
Erzeugnis/Typ: Meierguss Meidrain, Artikel-Nr.: 204545/1
oder gleichwertiger Art.
Mit versetzen auf 10 cm Betonunterbau C 12/15,
der erforderlichen Erd- und Verbauarbeiten,
Anschluss an die vorhandene Leitung DA 160 KG 2000 oder Steinzeug
Verfüllung mit Grubensand und Beseitigung des Aushubbodens.</x:t>
  </x:si>
  <x:si>
    <x:t>3fd56d92-5ccb-400f-b724-8c6486230eee</x:t>
  </x:si>
  <x:si>
    <x:t>8436094c-3a2b-4813-9f83-0830543cefea</x:t>
  </x:si>
  <x:si>
    <x:t>1.4.02</x:t>
  </x:si>
  <x:si>
    <x:t>Eimer für Straßenablauf 300/500</x:t>
  </x:si>
  <x:si>
    <x:t>Eimer Ablauf 300/500
Schmutzfangeimer B1 nach DIN 4052 schwere Ausführung.</x:t>
  </x:si>
  <x:si>
    <x:t>a361737e-1273-41e3-8001-2969b371dcc8</x:t>
  </x:si>
  <x:si>
    <x:t>1.4.03</x:t>
  </x:si>
  <x:si>
    <x:t>Kasten-Entwässerungsrinne versetzen</x:t>
  </x:si>
  <x:si>
    <x:t>Kasten-Entwässerungsrinne DN 100
entsprechend DIN EN 1433 und DIN 19580,
mit integrierter EPDM-Dichtung am Rinnenstoß,
aus frost- und tausalzbeständigem Polymerbeton,
mit integriertem Kantenschutz 12mm aus verzinktem Stahl,
mit schraubloser Sicherheitsarretierung,
Nennweite 10,0 cm, Baubreite 13,5 cm,
Baulänge 100,0 cm,
Bauhöhe 15 cm
Abdeckungen Kl. B125 DIN EN 1433 mit Arretierung Drainlock als: Längsprofilrost, verzinkt, Schlitzweite 8mm, Einlaufquerschnitt 430 cm²/m.
Rinne nach Vorgabe verlegen, inklusive Mörtelbettung.
Als fertige Leistung inklusive des Anschlusses an die Anschlussleitung DA 110 inkl. der hierfür erforderlichen Formteile und Abschlusskappen, inklusive aller erforderlichen Erdarbeiten.</x:t>
  </x:si>
  <x:si>
    <x:t>effffd1b-6169-453d-a950-c189f8167363</x:t>
  </x:si>
  <x:si>
    <x:t>1.4.04</x:t>
  </x:si>
  <x:si>
    <x:t>Boden Gräben ausheben, Anschlussleitungen</x:t>
  </x:si>
  <x:si>
    <x:t>Boden der Gräben für Anschlussleitungen profilgerecht ausheben, ab Erdbauplanum Straßenbau.
Herstellung in den  Böden gemäß Bodengutachten (Homogenbereich 1 A und 1 B),
weitere Angaben und Kennwerte gemäß Bodengutachten,
Bodenmaterial: Materialklasse BM-F2/F3
Verbau wird gesondert vergütet, mit Behinderung durch Ver- und Entsorgungsleitungen, Boden laden und entsorgen.
Aushubtiefe bis 3,50 m,
Sohlenbreite der Gräben nach DIN EN 1610, Ziffer 6, Tabelle 1+2 zuzüglich bei verbauten Gräben 2 x 15 cm für Verbau.</x:t>
  </x:si>
  <x:si>
    <x:t>153d7d8d-cdef-4073-945b-a50122e1aa19</x:t>
  </x:si>
  <x:si>
    <x:t>Wichtiger Hinweis zum Aushub im Bereich von Ver- und Entsorgungsleitungen !</x:t>
  </x:si>
  <x:si>
    <x:t>Wichtiger Hinweis zum Aushub im Bereich
von Ver- und Entsorgungsleitungen !
Der Auftragnehmer hat sich rechtzeitig vor Beginn seiner Bauleistung bei dem jeweiligen Leitungsträger (z.B. Stadtwerke, TELEKOM usw.) über die Lage dessen Ver- und Entsorgungsleitungen Kenntnis zu verschaffen.
Der Auftragnehmer hat bei der Ermittlung seiner Einheitspreise für die Sicherung der in den Baugruben und Rohrgräben vorgefundenen Ver- und Entsorgungsleitungen folgendes zu berücksichtigen
-  das Freilegen der in den Baugruben und Rohrgräben angetroffenen Ver- und Entsorgungsleitungen wie Kabel, Kabelpakete, Kabelschächte, Rohrleitungen aller Art und Dimensionen in Handarbeit einschließlich dem Aufnehmen und Beseitigen der Kabelabdecksteine, der Kabelformsteine, der Kabelschutzrohre, der Rohrleitungsschutzrohre usw.;
-  das Aufnehmen, Aufhängen, Auflagern und Sichern der Versorgungsleitungen innerhalb der Baugruben und Rohrgräben nach den Anweisungen der Versorgungsunternehmen oder des Auftraggebers auf oder an Leitungsbrücken und Leitungspritschen;
-  die Sicherung und Isolierung der Ver- und Entsorgungsleitungen nach den Anweisungen der Leitungsträger der des Auftraggebers;
-  das Verlegen, Einsanden und Abdecken der Ver- und Entsorgungsleitungen bei der Rückverfüllung der Baugruben und Rohrgräben nach den Anweisungen der Leitungsträger oder des Auftraggebers einschließlich der Lieferung der Kabelabdecksteine, der Kabelformsteine, der Kabelschutzrohre, der Rohrleitungsschutzrohre, des steinfreien Sandes zum Einsanden der Ver- und Entsorgungsleitungen;
- der Ausbau und die Beseitigung der Leitungsbrücken und Leitungspritschen, einschließlich der Aufhängevorrichtungen bei der Rückverfüllung der Baugruben und Rohrgräben und beim Ausbau des Baugrubenverbaus.</x:t>
  </x:si>
  <x:si>
    <x:t>e191f7ed-f83a-4976-bf67-aaf9a2f85547</x:t>
  </x:si>
  <x:si>
    <x:t>Wichtiger Hinweis zur Abrechnung von Aushub im Bereich von querenden Ver- und Entsorgungsleitungen !</x:t>
  </x:si>
  <x:si>
    <x:t>Wichtiger Hinweis zur Abrechnung von Aushub im Bereich von querenden Ver- und Entsorgungsleitungen !
Leitungskreuzungen und die damit verbundenen Erd- und Verbauarbeiten werden wie folgt abgerechnet:
Die Erdarbeiten für das Freilegen der Leitungskreuzung werden nach lfm abgerechnet. Dabei sind die Erdarbeiten von Außenkante der Leitung bzw. Leitungen zuzüglich 0,30 m in Handschachtung einzurechnen.
Die Erdarbeiten unterhalb der Leitungskreuzung werden nach Durchführung der Sicherungsarbeiten von Außenkante der Leitung bzw. Leitungen abzüglich 0,30 m abgerechnet.
Einzelleitungen mit einem lichten Abstand von kleiner 0,75 m gelten als eine zusammenhängende Leitungskreuzung.
Längsverlaufende Leitungen werden zuzüglich 0,20 m an jeder Seite aufgemessen, wobei mittlere lichte Zwischenräume von Einzelleitungen kleiner 0,40 m übermessen werden. Beträgt der Abstand der Leitung zur Grabenwand weniger als 0,20 m, so wird der gemessene Abstand zugrunde gelegt.
Skizze:
Querschnitte &gt; 0,1 m² sind in Abzug zu bringen.
Betoneinbau bzw. andere konstruktive Maßnahmen zur sicheren Auflagerung der freigelegten Leitungen/Hindernisse werden gesondert vergütet.</x:t>
  </x:si>
  <x:si>
    <x:t>8b8c739f-846a-4996-b48f-15748c03da89</x:t>
  </x:si>
  <x:si>
    <x:t>1.4.05</x:t>
  </x:si>
  <x:si>
    <x:t>Leitungskreuzung  bis DA 225 mm freilegen, quer</x:t>
  </x:si>
  <x:si>
    <x:t>Leitungskreuzung,
in Betrieb, Außendurchmesser bis 225 mm,
quer oder schräg bis 45 Grad zur Grabenachse,
im Zuge der Erdarbeiten in Handschachtungfreilegen.
Die Sicherung der Leitungskreuzung und die Erschwernisse bei den Erd- und Verbauarbeiten unterhalb der querenden Leitungskreuzung werden gesondert vergütet.
Abgerechnet wird die Einzellänge der Leitung, des Leitungspaketes über der lichten Baugrube bzw. dem lichten Kanalgraben.
Mit der Vergütung dieser Position sind auch alle Erschwernisse bei der Rohr- bzw. Kabelverlegung abgegolten.
Als Zulage zu den Erdarbeiten.</x:t>
  </x:si>
  <x:si>
    <x:t>d2eb22a1-beab-4106-9380-bc32327967df</x:t>
  </x:si>
  <x:si>
    <x:t>1.4.06</x:t>
  </x:si>
  <x:si>
    <x:t>Leitungskreuzung  bis DA 110 mm sichern, quer</x:t>
  </x:si>
  <x:si>
    <x:t>Leitungskreuzung,
in Betrieb, Aussendurchmesser bis 110 mm,
quer oder schräg bis 45 Grad zur Grabenachse,
sichern.
Aufnehmen, Aufhängen, Auflagern der Leitungen innerhalb der Baugruben und Rohrgräben nach den Anweisungen der Versorgungsunternehmen oder des Auftraggebers auf oder an Leitungsbrücken und Leitungspritschen.
Sicherungsmaßnahmen vorhalten, unterhalten und bei der Rückverfüllung der Baugruben und Rohrgräben und beim Ausbau des Baugrubenverbaus rückbauen.
Die Erschwernisse bei den Erd- und Verbauarbeiten unterhalb der querenden Leitungskreuzung werden gesondert vergütet.
Abgerechnet wird die Einzellänge der Leitung, des
Leitungspaketes über der lichten Baugrube bzw. dem lichten Kanalgraben.</x:t>
  </x:si>
  <x:si>
    <x:t>0cfe1645-7ab7-4cb3-bc33-07b789c023a1</x:t>
  </x:si>
  <x:si>
    <x:t>1.4.07</x:t>
  </x:si>
  <x:si>
    <x:t>Boden unter Leitungen/Hindernissen ausheben</x:t>
  </x:si>
  <x:si>
    <x:t>Boden bei der Herstellung von Baugruben und Rohrgräben nach DIN
4124/DIN EN 1610 unter querenden Leitungen oder
sonstigen Hindernissen in Maschinenarbeit/ maschinenunterstützter
Handschachtung lösen und fördern.
Bei der Baugrubenverfüllung ist der Füllboden oder ggf.
der Füllbeton zur Einbaustelle zu fördern, unter die Leitungen/Hindernisse
zu bringen und dort einzubauen und zu verdichten.
Als Zulage zu den Erdarbeiten.
Eine Vergütung nach dieser Position erfolgt nur für den
Bodenaushub oder die Baugrubenverfüllungunter einzelnen Leitungen/Hindernissen(siehe vorherigen Hinweis zur Abrechnung).</x:t>
  </x:si>
  <x:si>
    <x:t>47028f8d-bb9b-4653-ad3a-05d9b721df22</x:t>
  </x:si>
  <x:si>
    <x:t>1.4.08</x:t>
  </x:si>
  <x:si>
    <x:t>Verbau  Versorgungsleitungen/Hindernissen auswechseln</x:t>
  </x:si>
  <x:si>
    <x:t>Verbau zur Sicherung der Baugruben und Rohrgräben im Bereich querender Leitungen/Leitungspakete und sonstigen Hindernissen auswechseln.
Mit der Vergütung dieser Position sind alle Erschwernisse bei der Herstellung des Baugrubenverbaus abgegolten.
Aufmaß und Abrechnung:
Fläche des Verbaufensters: Breite x Höhe, wobei:
Breite = Durchmesser der Leitung, des Leitungspaketes
zuzüglich 20 cm beidseits der Leitung,
Höhe = Baugrubentiefe nach DIN 18303 Ziffer 5.1, jedoch
nur in der  tatsächlich bedeckten/verkleideten Tiefe.
Als Zulage zu den Verbauarbeiten.</x:t>
  </x:si>
  <x:si>
    <x:t>2461097a-b6ec-4284-93c7-980fef0873b1</x:t>
  </x:si>
  <x:si>
    <x:t>1.4.09</x:t>
  </x:si>
  <x:si>
    <x:t>Leitungskreuzung  bis DA 110 mm rückverlegen, quer</x:t>
  </x:si>
  <x:si>
    <x:t>Leitungskreuzung,
in Betrieb, Aussendurchmesser bis 110 mm,
quer oder schräg bis 45 Grad zur Grabenachse,
rückverlegen, nach Rückbau der Sicherungsmaßnahmen.
Verlegen, Einsanden und Abdecken der Leitungen bei der Rückverfüllung der
Baugruben und Rohrgräben
nach den Anweisungen der Leitungsträger oder des Auftraggebers,
einschließlich der Lieferung der Kabelabdecksteine, der Kabelformsteine,
der Kabelschutzrohre, der Rohrleitungsschutzrohre,
und des Sandes zum Einsanden der Leitungen.
Das bauseits gestellte Warnband ist mit zu verlegen.
Abgerechnet wird die Einzellänge der Leitung, des
Leitungspaketes über der lichten Baugrube bzw. dem lichten Kanalgraben.</x:t>
  </x:si>
  <x:si>
    <x:t>297742b3-187d-4f86-b0c7-275aefb39902</x:t>
  </x:si>
  <x:si>
    <x:t>1.4.10</x:t>
  </x:si>
  <x:si>
    <x:t>waagerechter Normverbau für Gräben Anschlussleitungen, t 1,25 bis 3,50 m</x:t>
  </x:si>
  <x:si>
    <x:t>Verbau Graben für Anschlussleitungen
Grabenverbaugeräte nach DIN 4124, Ziffer 6,
Verbauart:
Waagerechter Normverbau
Verbautiefe 1,25 bis 3,00 m,
Sohlenbreite gemäß Ausführungsplanung/DIN EN 1610,
Herstellung in Böden gemäß Bodengutachten,
Homogenbereich B (Sand/ Schluff)
Verbau vorhalten und wieder beseitigen.</x:t>
  </x:si>
  <x:si>
    <x:t>7383b732-bda0-43ea-96ed-533954e1bf88</x:t>
  </x:si>
  <x:si>
    <x:t>1.4.11</x:t>
  </x:si>
  <x:si>
    <x:t>Füllmaterial Sand 0/4 einbauen, Einbettung Leitungen</x:t>
  </x:si>
  <x:si>
    <x:t>Verfüllen von Gräben für Anschlussleitungen
'in der Leitungszone',
mit vom AN zu liefernden Stoffen,'Stoff Sand 0/4 mm',schichtenweise verdichten,
Verdichtungsgrad DPr mind. 97 %.
einbauen in Baugruben mit Verbau,
Schichtdicke über 10 bis 20 cm.
Dicke der Abdeckung der Leitungszone: 30 cm.</x:t>
  </x:si>
  <x:si>
    <x:t>0e15c555-5155-4a7c-89c7-f06bd90a5bf1</x:t>
  </x:si>
  <x:si>
    <x:t>1.4.12</x:t>
  </x:si>
  <x:si>
    <x:t>Verfuellen Gräben</x:t>
  </x:si>
  <x:si>
    <x:t>Verfüllen von Gräben
mit vom AN zu liefernden Stoffen, Material
Füllkies 0/32 mm,
verdichten, Verdichtungsgrad DPr 97 %,
einbauen in Baugruben mit Verbau.
Schichtdicke über 20 bis 30 cm.</x:t>
  </x:si>
  <x:si>
    <x:t>9143eff7-9d23-474b-aa18-c1a45ef2bdeb</x:t>
  </x:si>
  <x:si>
    <x:t>1.4.13</x:t>
  </x:si>
  <x:si>
    <x:t>Abwasserkanal KG 2000 DA 160 Graben T bis 3,50 m</x:t>
  </x:si>
  <x:si>
    <x:t>Abwasserkanal DIN EN 1610 aus KG 2000 Rohren oder gleichwertiger Art,
DIN EN 1852-1, mit glatter Außenoberfläche,
mit Steckmuffe, DA/ OD 160, Rohre dreischichtig,
Druckfestigkeit mind. SN 16
Verlegung in verbauter Baugrube,
Grabentiefe bis 3,50 m einschl. Bettung Typ 1,
Dicke der unteren Bettungsschicht mind. 10 cm, aus Sand,
obere Bettungsschicht aus Sand.</x:t>
  </x:si>
  <x:si>
    <x:t>10e72fb7-47d2-4687-aa7b-74dd66d02c89</x:t>
  </x:si>
  <x:si>
    <x:t>1.4.14</x:t>
  </x:si>
  <x:si>
    <x:t>Abwasserkanal KG 2000 DA 110 Graben T bis 1,25 m</x:t>
  </x:si>
  <x:si>
    <x:t>Abwasserkanal DIN EN 1610 aus KG 2000 Rohren oder gleichwertiger Art,
DIN EN 1852-1, mit glatter Außenoberfläche,
mit Steckmuffe, DA 110, Rohre dreischichtig,
Druckfestigkeit mind. SN 16
Verlegung in verbauter Baugrube,
Grabentiefe bis 3,00 m einschl. Bettung Typ 1,
Dicke der unteren Bettungsschicht mind. 10 cm, aus Sand,
obere Bettungsschicht aus Sand.</x:t>
  </x:si>
  <x:si>
    <x:t>dff8eae8-0550-4244-819e-976e86a5e68b</x:t>
  </x:si>
  <x:si>
    <x:t>1.4.15</x:t>
  </x:si>
  <x:si>
    <x:t>Zulage Bogen KG 2000 DA 110</x:t>
  </x:si>
  <x:si>
    <x:t>KG 2000 Rohrbogen als Zulage,
Druckfestigkeit SN 16
Bogen 15 bis 45 Grad
DA 110.</x:t>
  </x:si>
  <x:si>
    <x:t>7c39276c-1ebd-402b-b7a4-4bd8a0f6c569</x:t>
  </x:si>
  <x:si>
    <x:t>1.4.16</x:t>
  </x:si>
  <x:si>
    <x:t>Zulage Bogen KG 2000 DA 160</x:t>
  </x:si>
  <x:si>
    <x:t>KG 2000 Rohrbogen als Zulage,
Druckfestigkeit SN 16
Bogen 15 bis 45 Grad
DA 160.</x:t>
  </x:si>
  <x:si>
    <x:t>32804879-83ff-4341-ac0a-48e851a4c0d5</x:t>
  </x:si>
  <x:si>
    <x:t>1.4.17</x:t>
  </x:si>
  <x:si>
    <x:t>Zulage Reduzierstück PP DA 160/110</x:t>
  </x:si>
  <x:si>
    <x:t>PP Reduzierstück als Zulage Abwasserkanal,
Mindest-Ringsteifigkeit SN16
DA 160/110.</x:t>
  </x:si>
  <x:si>
    <x:t>0e73421b-8434-45d8-8a5b-870cc2ca6b8a</x:t>
  </x:si>
  <x:si>
    <x:t>1.4.18</x:t>
  </x:si>
  <x:si>
    <x:t>Anschlußstutzen in Kanal DN 700 GGG</x:t>
  </x:si>
  <x:si>
    <x:t>Anschlussstutzen für vorbeschriebene Kanalanschlüsse
an Hauptkanal,
Stutzen DN 160 nach DIN EN 295, Teil 4,
zum Anschluss von KG 2000 DA 160 an
Hauptleitungen aus Gussrohren DN 700
liefern und nach Herstellervorschrift fachgerecht einbauen.
Einschließlich Herstellung des Bohrloches in der
Hauptleitung und Dichtungsarbeiten,
Innendurchmesser des Bohrlochs passend zum Stutzen
Herausgebohrte Gussteile gehen in Eigentum des AN
über und sind zu beseitigen.
System:HS-R- Komplettmontageset DA 160
Farbe: blau (RAL5015)
Hersteller: Funke Kunststoffe GmbH
oder gleichwertiger Art
Angebotenes Fabrikat:
'........................................'(vom Bieter einzutragen)</x:t>
  </x:si>
  <x:si>
    <x:t>cb1d9985-4ab6-4f7f-9908-6c760c28cf81</x:t>
  </x:si>
  <x:si>
    <x:t>1.4.19</x:t>
  </x:si>
  <x:si>
    <x:t>Anschlußstutzen in Kanal DN 600 SB</x:t>
  </x:si>
  <x:si>
    <x:t>Anschlussstutzen für vorbeschriebene Kanalanschlüsse
an Hauptkanal,
Stutzen DA 160 nach DIN EN 295, Teil 4,
zum Anschluss von KG 2000 DA 160 an
Hauptleitungen aus Stahlbetonrohr DN 600
liefern und nach Herstellervorschrift fachgerecht einbauen.
Einschließlich Herstellung des Bohrloches in der
Hauptleitung und Dichtungsarbeiten,
Innendurchmesser des Bohrlochs passend zum Stutzen
Herausgebohrte Betonteile gehen in Eigentum des AN
über und sind zu beseitigen.
System: FABEKUN-Sattelstück,
Hersteller: Funke Kunststoffe GmbH
oder gleichwertig
Angebotenes Fabrikat:
'........................................'(vom Bieter einzutragen)</x:t>
  </x:si>
  <x:si>
    <x:t>00be6702-ddad-4e9b-a542-ffeefb73e5de</x:t>
  </x:si>
  <x:si>
    <x:t>1.4.20</x:t>
  </x:si>
  <x:si>
    <x:t>Anschlußstutzen in Kanal DN 300 Stzg</x:t>
  </x:si>
  <x:si>
    <x:t>Anschlussstutzen für vorbeschriebene Kanalanschlüsse
an Hauptkanal,
Stutzen DA 160 nach DIN EN 295, Teil 4,
zum Anschluss von KG 2000 DA 160 an
Hauptleitungen aus Steinzeugrohr DN 300
liefern und nach Herstellervorschrift fachgerecht einbauen.
Einschließlich Herstellung des Bohrloches in der
Hauptleitung und Dichtungsarbeiten,
Innendurchmesser des Bohrlochs passend zum Stutzen
Herausgebohrte Betonteile gehen in Eigentum des AN
über und sind zu beseitigen.
System: FABEKUN-Sattelstück,
Hersteller: Funke Kunststoffe GmbH
oder gleichwertig
Angebotenes Fabrikat:
'........................................'(vom Bieter einzutragen)</x:t>
  </x:si>
  <x:si>
    <x:t>19f0a99d-0c7a-462d-9d1e-b795acf3c79e</x:t>
  </x:si>
  <x:si>
    <x:t>1.4.21</x:t>
  </x:si>
  <x:si>
    <x:t>Totalabbruch Kanal STZ DN 150 bis 200</x:t>
  </x:si>
  <x:si>
    <x:t>Totalabbruch des Kanals
Aus Steinzeug,
Querschnitt DN 150 bis DN 200,
Wandstärke in mm bis 4 cm,
einschl. Betonauflager in der Baugrube.
in mehreren Teillängen gemäß beiliegenden Planungsunterlagen.
Anfallendes Material ist fachgerecht zu entsorgen,
einschl. der Deponiegebühren.
Als Zulage zu den Erdarbeiten.</x:t>
  </x:si>
  <x:si>
    <x:t>87a96311-a86a-4622-973d-1d09102345d7</x:t>
  </x:si>
  <x:si>
    <x:t>1.4.22</x:t>
  </x:si>
  <x:si>
    <x:t>Schneiden Rohre DA 160 PP</x:t>
  </x:si>
  <x:si>
    <x:t>Schneiden von Rohren DA 160 aus PP
mit einer Bauteildicke in cm bis 2 cm ,
Lage entsprechend der Örtlichkeit.</x:t>
  </x:si>
  <x:si>
    <x:t>4f591522-643d-4fdb-a27e-a7479ea1a021</x:t>
  </x:si>
  <x:si>
    <x:t>1.4.23</x:t>
  </x:si>
  <x:si>
    <x:t>Schneiden Rohre DN 150-200 Stzg</x:t>
  </x:si>
  <x:si>
    <x:t>Schneiden von Rohren DN/ OD 160 aus PP
mit einer Bauteildicke in cm bis 2 cm ,
Lage entsprechend der Örtlichkeit.</x:t>
  </x:si>
  <x:si>
    <x:t>d2103ce8-484b-4d05-8981-6083c387d693</x:t>
  </x:si>
  <x:si>
    <x:t>1.5.</x:t>
  </x:si>
  <x:si>
    <x:t>ASPHALT- UND PFLASTERARBEITEN</x:t>
  </x:si>
  <x:si>
    <x:t>Hinweis zu Randeinfassungen</x:t>
  </x:si>
  <x:si>
    <x:t>Hinweis zu Randeinfassungen
Zur Herstellung von Rückenstützen für Bordsteine, Pflasterstreifen und Rinnensteine ist der Beton der Rückenstütze mit geeigneter Schalung einzuschalen.
Die Kosten der Schalung sind in die jeweiligen Positionen einzurechnen.</x:t>
  </x:si>
  <x:si>
    <x:t>e854720f-56fa-486e-9e43-4cbcd9be01ad</x:t>
  </x:si>
  <x:si>
    <x:t>1.5.01</x:t>
  </x:si>
  <x:si>
    <x:t>Tiefbordstein TB 8/20/100</x:t>
  </x:si>
  <x:si>
    <x:t>Tiefbordstein aus Beton, DIN 483,
Form TB 8/20/100 cm
Vorderkante gefast,
Auftrittshöhen: 1 cm,
Farbe: grau
verlegen, mit Bettung und Rückenstütze,
Bettung und Rückenstütze DIN 18 318 aus Beton C 20/25,
Borde engfugig verlegen in Geraden und in Kurven,
Betonbettung 20 cm, Rückenstütze 15 cm,
Ausführung einschl. Kurvenausbildung bis 12,00 m Radius.
Innen- und Außenecken auf Gehrung schneiden,
Halbmesser kleiner 20 m bis größer 12 m ausschließlich aus Viertel- und Halbsteinen, kleiner 12 m aus Kurvensteinen,
einschl. Bodenaushub für Unterbeton und Rückenstützen in Tragschichten aus Kies und Schotter, Wiederverfüllung,
Verdichten des Untergrundes, Erstellen des Planums,
überschüssigen Aushub fachgerecht entsorgen, einschl. Kippgebühren.
Einbau als seitlicher Abschluss in Übergangsbereichen Straße/ Privat sowie zum Ersatz defekter Tiefborde Bereich Privatgrundstücke, in mehreren Teilstücken.</x:t>
  </x:si>
  <x:si>
    <x:t>cbcfa709-465a-4a6c-92f3-37939323dccf</x:t>
  </x:si>
  <x:si>
    <x:t>b7c5d1a5-046f-4127-b8c3-f4e309c26c97</x:t>
  </x:si>
  <x:si>
    <x:t>1.5.02</x:t>
  </x:si>
  <x:si>
    <x:t>Bordstein Beton HB 15/25/100</x:t>
  </x:si>
  <x:si>
    <x:t>Bordstein aus Beton, als Hochbordstein, DIN 483,
Form HB 15/25/100 cm
Farbe: grau
verlegen,
Auftrittshöhe 12 cm,
mit Bettung und Rückenstütze,
Bettung und Rückenstütze DIN 18 318 aus Beton C 20/25,
Borde engfugig verlegen.
Betonbettung 20 cm, Rückenstütze 15 cm dick,
Ausführung einschl. aller Radien / Kurvenausbildung
Halbmesser zwischen 5 bis 15 m
ausschließlich aus Viertel- und Halbsteinen,
einschl. Bodenaushub für Unterbeton und Rückenstützen
in Tragschichten aus Kies und Schotter, Wiederverfüllung,
Verdichten des Untergrundes, Erstellen des Planums,
überschüssigen Aushub entsorgen.</x:t>
  </x:si>
  <x:si>
    <x:t>5e17d11a-279c-45da-af91-3bedb8c4b6ad</x:t>
  </x:si>
  <x:si>
    <x:t>1.5.03</x:t>
  </x:si>
  <x:si>
    <x:t>Farbe: quarzhell</x:t>
  </x:si>
  <x:si>
    <x:t>50867231-c1b2-47d7-8e96-61797016606e</x:t>
  </x:si>
  <x:si>
    <x:t>1.5.04</x:t>
  </x:si>
  <x:si>
    <x:t>Bordstein Beton RB 15/22/100</x:t>
  </x:si>
  <x:si>
    <x:t>Bordstein aus Beton, DIN EN 1340, Maße DIN 483,
Form RB 15 x 22,
Farbe: grau
verlegen, einschl. der Absenkungen, mit Bettung
und Rückenstütze,
Bettung und Rückenstütze DIN 18 318 aus Beton C 20/25,
Borde engfugig verlegen,
mit 4 cm Auftritt einbauen.
Ausführung einschl. aller Radien / Kurvenausbildung
Halbmesser zwischen 5 bis 15 m
ausschließlich aus Viertel- und Halbsteinen,
Betonbettung bis 23 cm, Rückenstütze 15 cm dick,
einschl. aller erforderlichen Gehrungs- und
sonstigen Schnitte als Rundbordstein.
Einschl. Bodenaushub für Unterbeton und Rückenstützen
in Tragschichten aus Kies und Schotter, Wiederverfüllung,
Verdichten des Untergrundes, Erstellen des Planums,
überschüssigen Aushub entsorgen.</x:t>
  </x:si>
  <x:si>
    <x:t>7a59bb01-cf80-49e3-a457-c6baa36860fe</x:t>
  </x:si>
  <x:si>
    <x:t>1.5.05</x:t>
  </x:si>
  <x:si>
    <x:t>Zulage Übergangsstein Beton HB 15/25 auf RB 15/22</x:t>
  </x:si>
  <x:si>
    <x:t>Bordstein aus Beton DIN EN 1340,
als Übergangsstein Hochbordstein HB 15/30 auf
Rundbordstein RB 15/22 als Zulage zu Hochbordsteinen
Ansicht von 12 cm auf 4 cm RB,
Höhenübergang auf 2 m Länge verteilt mit 2 Übergangssteinen
Einzelbaulänge = 100 cm</x:t>
  </x:si>
  <x:si>
    <x:t>80a03883-a0d2-49bf-9cda-6c2d7db7f707</x:t>
  </x:si>
  <x:si>
    <x:t>1.5.06</x:t>
  </x:si>
  <x:si>
    <x:t>Zulage Übergangsstein RB 4/0</x:t>
  </x:si>
  <x:si>
    <x:t>als Übergangsstein rechts / links
mit Übergang von Rundbord 4 cm auf 0 cm, Farbe passend zum RB.</x:t>
  </x:si>
  <x:si>
    <x:t>dd477f1b-732a-44e9-8b24-9e0d469f8d75</x:t>
  </x:si>
  <x:si>
    <x:t>1.5.07</x:t>
  </x:si>
  <x:si>
    <x:t>Flachbordstein FB 20/25</x:t>
  </x:si>
  <x:si>
    <x:t>Flachbordsteine FB 20/25, unter
ausschließlicher Verwendung von Basalt als
Zuschlagstoff, sonst wie DIN 483,
in Geraden und in Kurven,
Ansicht 12 cm
Farbe weiß
Vorsatzbeton mit Weißzement und Weißpigment.
Steine mit engen Fugen versetzen.
Rückenstütze aus Beton C 25/30 bis 10 cm unter OK
Bordstein, 15 cm breit, herstellen.
Unterbeton C 25/30, 20 cm dick, herstellen.
einschl. Bodenaushub für Unterbeton und Rückenstützen
in Tragschichten aus Kies und Schotter, Wiederverfüllung,
Verdichten des Untergrundes, Erstellen des Planums,
überschüssigen Aushub entsorgen.
Alle 4-6 m  sowie vor und nach jedem Straßenablauf ist eine Bewegungsfuge durchgängig durch Bordstein und Fundament im Nassschnittverfahren herzustellen.
Fugenfüllung Bewegungsfuge: Die Bewegungsfugen sind mind. 8 mm und
höchstens 15 mm breit sowie rückstellfähig herzustellen und in den oberen 30 mm entsprechend den ZTV-Fug-StB mit einer dauerelastischen Fugenmasse gemäß den TL Fug-StB zu schließen.</x:t>
  </x:si>
  <x:si>
    <x:t>fd457c8f-00ec-4ec7-adaa-637dc36c1c9d</x:t>
  </x:si>
  <x:si>
    <x:t>1.5.08</x:t>
  </x:si>
  <x:si>
    <x:t>Zulage FB 20/25 für Radien 1,5 bis 1,75 m</x:t>
  </x:si>
  <x:si>
    <x:t>Zulage für Radiensteine
FB 20/25
Farbe weiß
Radien 1,50 m und 1,75 m</x:t>
  </x:si>
  <x:si>
    <x:t>3fbb488d-2830-47d4-ac42-d29c223980e3</x:t>
  </x:si>
  <x:si>
    <x:t>1.5.09</x:t>
  </x:si>
  <x:si>
    <x:t>Zulage Übergangsstein  FB 20/25/ Tastbordstein</x:t>
  </x:si>
  <x:si>
    <x:t>Zulage für Übergangssteine
FB 20/25 auf Tastbordstein 30/18
Farbe grau</x:t>
  </x:si>
  <x:si>
    <x:t>5304d631-d5f0-45cb-b5a3-6816f9a4bc01</x:t>
  </x:si>
  <x:si>
    <x:t>1.5.10</x:t>
  </x:si>
  <x:si>
    <x:t>Rollbordstein 30/17-20/50</x:t>
  </x:si>
  <x:si>
    <x:t>Rollbordstein
Farbe:Weiß mit Weißzement und Weißauflage
Abgeschrägt mit Ausrundungsradius an der Vorderkante
Typ: D-U-I nach DIN EN 1340 / DIN 483
Technische Angaben:Höhe: 	    17-20 cm
Tiefe:  	          30 cm
Länge: 	          50 cm
verlegen,
Auftrittshöhe 0 cm,
mit Bettung und Rückenstütze,
Bettung und Rückenstütze DIN 18 318 aus Beton C 20/25,
Borde engfugig verlegen.
Betonbettung 20 cm, Rückenstütze 15 cm dick,
einschl. Bodenaushub für Unterbeton und Rückenstützen in Tragschichten aus Kies und Schotter, Wiederverfüllung, Verdichten des Untergrundes, Erstellen des Planums, überschüssigen Aushub entsorgen.</x:t>
  </x:si>
  <x:si>
    <x:t>c92369ee-9558-4b06-b4c2-65917d5f5edf</x:t>
  </x:si>
  <x:si>
    <x:t>1.5.11</x:t>
  </x:si>
  <x:si>
    <x:t>Tastbordstein 30/18/50</x:t>
  </x:si>
  <x:si>
    <x:t>Tastbordstein 30/18/50
Farbe:Weiß mit Weißzement und Weißauflage
Vorsatz mit Weißzement und Weißauflage
Ansichtsflächen glatt mit Ausrundungsradius von R= 2 cm an der Vorderkante
Typ: D-U-I nach DIN EN 1340 / DIN 483
Technische Angaben:Höhe: 	          18 cm
Tiefe:  	          30 cm
Länge: 	             50 cm
verlegen,
Auftrittshöhe 6 cm,
mit Bettung und Rückenstütze,
Bettung und Rückenstütze DIN 18 318 aus Beton C 20/25,
Borde engfugig verlegen.
Betonbettung 20 cm, Rückenstütze 15 cm dick,
einschl. Bodenaushub für Unterbeton und Rückenstützen in Tragschichten aus Kies und Schotter, Wiederverfüllung, Verdichten des Untergrundes, Erstellen des Planums, überschüssigen Aushub entsorgen.</x:t>
  </x:si>
  <x:si>
    <x:t>12a53a18-1db4-4107-b24a-7c34f00a2390</x:t>
  </x:si>
  <x:si>
    <x:t>1.5.12</x:t>
  </x:si>
  <x:si>
    <x:t>Übergangsstein 30/17-20-23/50</x:t>
  </x:si>
  <x:si>
    <x:t>Rollbord Übergang rechts/links 30/17-20-23/50
Farbe:Weiß mit Weißzement und Weißauflage
Vorsatz mit Weißzement und Weißauflage
Abgeschrägt mit Ausrundungsradius an der Vorderkante
Typ: D-U-I nach DIN EN 1340 / DIN 483
Technische Angaben:Höhe: 		     17-20-23 cm
Tiefe:  	   	               30 cm
Länge: 	               50 cm
verlegen,
Auftrittshöhe 0,3,6 cm,
mit Bettung und Rückenstütze,
Bettung und Rückenstütze DIN 18 318 aus Beton C 20/25,
Borde engfugig verlegen.
Betonbettung 20 cm, Rückenstütze 15 cm dick,
einschl. Bodenaushub für Unterbeton und Rückenstützen in Tragschichten aus Kies und Schotter, Wiederverfüllung, Verdichten des Untergrundes, Erstellen des Planums, überschüssigen Aushub entsorgen.</x:t>
  </x:si>
  <x:si>
    <x:t>23d7a54a-4754-429e-a42a-7701c4d958d2</x:t>
  </x:si>
  <x:si>
    <x:t>1.5.13</x:t>
  </x:si>
  <x:si>
    <x:t>Tastbord RB Adapter 30/18/50</x:t>
  </x:si>
  <x:si>
    <x:t>Tastbord RB Adapter rechts/links 30/18/50
Farbe:Weiß mit Weißzement und Weißauflage
Vorsatz mit Weißzement und Weißauflage
Abgeschrägt mit Ausrundungsradius an der Vorderkante
Typ: D-U-I nach DIN EN 1340 / DIN 483
Technische Angaben:Höhe: 		               18 cm
Tiefe:  	   	               30 cm
Länge: 	               50 cm
verlegen,
Auftrittshöhe 3 cm,
mit Bettung und Rückenstütze,
Bettung und Rückenstütze DIN 18 318 aus Beton C 20/25,
Borde engfugig verlegen.
Betonbettung 20 cm, Rückenstütze 15 cm dick,
einschl. Bodenaushub für Unterbeton und Rückenstützen in Tragschichten aus Kies und Schotter, Wiederverfüllung, Verdichten des Untergrundes, Erstellen des Planums, überschüssigen Aushub entsorgen.</x:t>
  </x:si>
  <x:si>
    <x:t>a2a115c2-11ea-4c9f-af44-6cd3cd98fef5</x:t>
  </x:si>
  <x:si>
    <x:t>1.5.14</x:t>
  </x:si>
  <x:si>
    <x:t>Rollbord RB Adapter 30/17-20-30/50</x:t>
  </x:si>
  <x:si>
    <x:t>Rollbord RB Adapter rechts/links 30/17-20-30/50
Farbe:Weiß mit Weißzement und Weißauflage
Vorsatz mit Weißzement und Weißauflage
Abgeschrägt mit Ausrundungsradius an der Vorderkante
Typ: D-U-I nach DIN EN 1340 / DIN 483
Technische Angaben:Höhe: 		               17-20-30 cm
Tiefe:  	   	               30 cm
Länge: 	               50 cm
verlegen,
Auftrittshöhe 0-4 cm,
mit Bettung und Rückenstütze,
Bettung und Rückenstütze DIN 18 318 aus Beton C 20/25,
Borde engfugig verlegen.
Betonbettung 20 cm, Rückenstütze 15 cm dick,
einschl. Bodenaushub für Unterbeton und Rückenstützen in Tragschichten aus Kies und Schotter, Wiederverfüllung, Verdichten des Untergrundes, Erstellen des Planums, überschüssigen Aushub entsorgen.</x:t>
  </x:si>
  <x:si>
    <x:t>525b16ea-b435-4225-a7b8-cf81c9c28f13</x:t>
  </x:si>
  <x:si>
    <x:t>1.5.15</x:t>
  </x:si>
  <x:si>
    <x:t>Noppenplatten Aufmerksamkeitsfelder 30/30/8</x:t>
  </x:si>
  <x:si>
    <x:t>Noppenplatten für "Aufmerksamfelder",
in Einzelfeldern nach Planvorgabe,
aus Betonformsteinen DIN EN 1340
mit Noppenprofil, Kugelnoppen, Noppenhöhe 4-5 mm
Farbe weiss, Maße DIN 483,
Plattengröße 30/30/8 cm,
Bettung:
Split-Brechsand
Körnung 0/5 mm, gebrochene Gesteinsart Basalt,
Fließkoeffizient nach TL Pflaster-StB &gt;=35 ',
Dicke im verdichteten Zustand 'ca. 4 cm',
Pflasterfugen 'mit Basaltsand,
Körnung 0/5 mm Verfüllen, gebrochene Gesteinsart Basalt
nach dem Füllen mit feinkornreicher Gesteinskörung 0/2 mm Einschlämmen'.</x:t>
  </x:si>
  <x:si>
    <x:t>c9caa627-a4f2-48ab-a042-af44d8207bca</x:t>
  </x:si>
  <x:si>
    <x:t>1.5.16</x:t>
  </x:si>
  <x:si>
    <x:t>Rippenplatte als Orientierungsstein 30/30/8 quer/längs</x:t>
  </x:si>
  <x:si>
    <x:t>Rippenplatten für Sperrfelder,
in Einzelfeldern nach Planvorgabe,
aus Betonformsteinen DIN EN 1340
mit Rippenprofil,
Farbe weiss,
Maße DIN 483,
Plattengröße 30/30/8 cm,
Verlegung in Einzelfeldern - Rippen längs oder quer zur Laufrichtung,
Bettung:
Split-Brechsand
Körnung 0/5 mm, gebrochene Gesteinsart Basalt,
Fließkoeffizient nach TL Pflaster-StB &gt;=35 ',
Dicke im verdichteten Zustand 'ca. 4 cm',
Pflasterfugen 'mit Basaltsand,
Körnung 0/5 mm Verfüllen, gebrochene Gesteinsart Basalt
nach dem Füllen mit feinkornreicher Gesteinskörung 0/2 mm Einschlämmen'.</x:t>
  </x:si>
  <x:si>
    <x:t>ff777112-d561-4935-96f0-206cde6e3a26</x:t>
  </x:si>
  <x:si>
    <x:t>1.5.17</x:t>
  </x:si>
  <x:si>
    <x:t>Zulage Bordsteinschnitt TB</x:t>
  </x:si>
  <x:si>
    <x:t>Zulage zu vorbeschriebenen Tiefbordsteinen,
für Passschnitte ca. 70 bis 90 Grad,
Ausführung von Schnittkanten mit Nassschneidegerät und diamantbesetzter Trennscheibe, überschüssiges Material entsorgen.</x:t>
  </x:si>
  <x:si>
    <x:t>8a59b2ca-dbe5-4b68-8e9d-b4d06f9ba9eb</x:t>
  </x:si>
  <x:si>
    <x:t>1.5.18</x:t>
  </x:si>
  <x:si>
    <x:t>Zulage Bordsteinschnitt HB / RB/ FB</x:t>
  </x:si>
  <x:si>
    <x:t>Zulage zu vorbeschriebenen Hoch-/ Rund- / und Flachbordsteinen,
für Passschnitte ca. 70 bis 90 Grad,
Ausführung von Schnittkanten mit Nassschneidegerät und diamantbesetzter Trennscheibe, überschüssiges Material entsorgen.</x:t>
  </x:si>
  <x:si>
    <x:t>2da56a78-04be-4800-9520-9adc5e3c9fc0</x:t>
  </x:si>
  <x:si>
    <x:t>1.5.19</x:t>
  </x:si>
  <x:si>
    <x:t>Pflasterstreifen als Rinne 1-zeilig 16/16(24)/14</x:t>
  </x:si>
  <x:si>
    <x:t>Pflasterstreifen herstellen 1-zeilig,
einschließlich der ggf. hierfür erforderlichen
Erdarbeiten und der Aussparungen für bzw. der
Anpassungen an Straßenabläufe.
Streifen als Randeinfassung vor Bordsteine
Pflastersteine DIN EN 1338-140 Beton (160/160(240)/140 mm)
mit Fase und 5 mm Zwangsfuge.
Farbe: grau
Breite des Pflasterstreifens 1 Reihe.
Bettung = Beton C 20/25, 20 cm dick.
Fugen mit BetonSteinFuge BSF 611 Fugenmörtel
der Firma Sopro Bauchemie GmbH, www.sopro.com
Biebricher Straße 74, 65203 Wiesbaden oder gleichwertig
einschlämmen. Farbe grau.
Die Fugen sind in voller Höhe abzüglich fachgerechter
Einbindung in den Bettungsmörtel zu füllen.
Fugenbreite mind. 5 mm.
Nach ausreichender Standzeit des eingefugten Frischmörtels den
Pflasterbelag diagonal zum Fugenquerschnitt sauber abwaschen,
ohne die Fugenoberfläche auszuwaschen.
Einschl. Erdarbeiten, Kurvenausbildung in
unterschiedlichen Radien und aller erforderlichen Schnitte.
Herstellerangabe Fugenmörtel:
'........................................'(Bieterangabe)</x:t>
  </x:si>
  <x:si>
    <x:t>2e14c6ea-adaf-4c70-9351-d771c7348b5b</x:t>
  </x:si>
  <x:si>
    <x:t>Hinweis Pflasterarbeiten</x:t>
  </x:si>
  <x:si>
    <x:t>Hinweis Pflasterarbeiten
Bei der Ausführung von Pflasterarbeiten sind insbesondere zu beachten:
ZTV Pflaster-StB 06Zusätzliche Technische Vertragsbedingungen und Richtlinien zur Herstellung von Pflasterdecken, Plattenbelägen und Einfassungen
TL Pflaster-StB 06Technische Lieferbedingungen für Bauprodukte zur Herstellung von Pflasterdecken, Plattenbelägen und Einfassungen
TL Gestein-StB 04/Fassung 2007Technische Lieferbedingungen für Gesteinskörnungen im Straßenbau</x:t>
  </x:si>
  <x:si>
    <x:t>5778875a-d097-48d2-b0b3-b609d6db90be</x:t>
  </x:si>
  <x:si>
    <x:t>Hinweis Bettungs- und Fugenmaterial/Filterstabilität</x:t>
  </x:si>
  <x:si>
    <x:t>Hinweis Bettungs- und Fugenmaterial/Filterstabilität
Für das Bettungs- und Fugenmaterial, dass vom AN bei den Pflasterarbeiten verwendet wird, sind in Anlehnung an die Referenzproduktdatenblätter der SLG (Betonverband Straße, Landschaft Garten e.V., Bonn; www.betonstein.de) Produktdatenblätter des Bettungs- und Fugenmaterials vor der Ausführung der Pflasterarbeiten als Nachweis der Einhaltung der technischen Regeln bei der BL vorzulegen.
Um das Abwandern von Feinanteilen in darunterliegende Schichten zu verhindern, ist es erforderlich, die Filterstabilität gemäß ZTV Pflaster-Stb 2006 zu gewährleisten.
Der Nachweis ist erbracht, wenn Bettungs- gegenüber Tragschichtmaterial folgende Bedingungen erfüllt:
D15/d85 &lt;= 5 und D50/d50 &lt;= 25 sind.
Der Nachweis ist erbracht, wenn Fugen- gegenüber
Bettungsmaterial folgende Bedingungen erfüllt:
D15/d15 &gt;= 1, D15/d85 &lt;= 4 und D50/d50 &lt;= 5 sind.
Der Nachweis der Filterstabilität ist vom AN vor der Ausführung und Lieferung der Materialien zu erbringen.
Er wird nicht besonders vergütet und ist in die Pflasterpositionen einzurechnen.</x:t>
  </x:si>
  <x:si>
    <x:t>8d7884a7-b04b-4304-a33e-7c3ae2b4f1ec</x:t>
  </x:si>
  <x:si>
    <x:t>1.5.20</x:t>
  </x:si>
  <x:si>
    <x:t>Betonsteinpflaster 10/20/10 cm, Gehweg/ Fahrbahntropfen</x:t>
  </x:si>
  <x:si>
    <x:t>Pflasterdecke, aus Pflastersteinen aus Beton DIN EN 1338,
Dicke: 10 cm, gefast,
Erzeugnis: Rechteckpflaster 10/20/10 cm
Farbe: grau
Bettung Split-Brechsand
Körnung: 0/5 mm,
Dicke im verdichteten Zustand 4 cm gemäß ZTV Pflaster StB 06
Pflasterfugen mit Basaltsand 0/4 mm bis zur vollständigen
Fugenfüllung ggf. mehrfach einschlämmen.
Einschl. der erforderlichen Rand- und Abschlusssteine.
Anschlüsse an Einbauten und Begrenzungen aus
kleinformatigen Steinen.</x:t>
  </x:si>
  <x:si>
    <x:t>13f157f5-1b05-403f-8463-da49fd63c73c</x:t>
  </x:si>
  <x:si>
    <x:t>1.5.21</x:t>
  </x:si>
  <x:si>
    <x:t>Betonsteinpflaster 10/20/10 cm, Kontraststreifen</x:t>
  </x:si>
  <x:si>
    <x:t>Pflasterdecke, aus Pflastersteinen aus Beton DIN EN
1338, Dicke: 10 cm, gefast,
Erzeugnis: Rechteckpflaster 10/20/10 cm
Farbe: anthrazit
Bettung Split-Brechsand
Körnung: 0/5 mm,
Dicke im verdichteten Zustand 4 cm gemäß ZTV Pflaster StB 06
Pflasterfugen mit Basaltsand 0/4 mm bis zur vollständigen
Fugenfüllung ggf. mehrfach einschlämmen.
Einschl. der erforderlichen Rand- und Abschlusssteine.
Anschlüsse an Einbauten und Begrenzungen aus
kleinformatigen Steinen.
Einbau als Kontrastreifen im Bereich Noppen- und Rippenplatten in mehreren Teilabschnitten.</x:t>
  </x:si>
  <x:si>
    <x:t>270d7be3-7c92-4031-9a39-0c08494768e3</x:t>
  </x:si>
  <x:si>
    <x:t>1.5.22</x:t>
  </x:si>
  <x:si>
    <x:t>Zul Pflasterschnitt 100  mm</x:t>
  </x:si>
  <x:si>
    <x:t>Zulage zu vorbeschriebenen Pflasterdecken
für das Herstellen von Schnittkanten
an Einbauten, Bordsteinen, Umpflasterungen, Rinnen,
Pflasterdicke 100 mm
mit Nassschneidegerät und diamantbesetzter Trennscheibe.</x:t>
  </x:si>
  <x:si>
    <x:t>98aea730-c756-4ffb-ab80-f517ebde29bb</x:t>
  </x:si>
  <x:si>
    <x:t>1.5.23</x:t>
  </x:si>
  <x:si>
    <x:t>Schieberkappen Wasser + Gas regulieren</x:t>
  </x:si>
  <x:si>
    <x:t>Schieberkappen der Gas- und Wasserleitungen,
in Fahrbahnen und Nebenanlagen,
höhenmäßig anpassen,
Ausführung durch Unterfütterung der Auflagerplatte mit
Beton C 12/15,
Höhenänderung bis 10 cm.
Defekte Kappen werden vom Netzbetreiber neu geliefert.</x:t>
  </x:si>
  <x:si>
    <x:t>6d8af6ad-8d31-475d-b9f0-b12b38b70c56</x:t>
  </x:si>
  <x:si>
    <x:t>1.5.24</x:t>
  </x:si>
  <x:si>
    <x:t>Hydrantenkappen regulieren</x:t>
  </x:si>
  <x:si>
    <x:t>Hydrantenkappen Wasser regulieren.
in Fahrbahnen und Nebenanlagen,
höhenmäßig anpassen,
Ausführung durch Unterfütterung der Auflagerplatte mit
Beton C 12/15,
Höhenänderung über 5 bis 10 cm.
Defekte Kappen werden vom Netzbetreiber neu geliefert.</x:t>
  </x:si>
  <x:si>
    <x:t>a9400f95-49db-4fe5-b7a0-62b67099e265</x:t>
  </x:si>
  <x:si>
    <x:t>1.5.25</x:t>
  </x:si>
  <x:si>
    <x:t>Pflastersatz Schieberkappe</x:t>
  </x:si>
  <x:si>
    <x:t>Pflastersatz rund passend zu vorbeschriebenem Pflastersteinen für Haus- und Streckenschieber der Wasserversorgung liefern und verlegen, als Zulage zur Pflasterposition.
Pflastersatz muss mindestens 4-teilig sein.
Dicke = 10 cm
Der Pflasterschnitt um den Pflastersatz ist einzurechnen.</x:t>
  </x:si>
  <x:si>
    <x:t>c8d959a3-55b5-4294-9cbc-c588e2d066a3</x:t>
  </x:si>
  <x:si>
    <x:t>1.5.26</x:t>
  </x:si>
  <x:si>
    <x:t>Schachtabdeckung Versorgungsschacht regulieren 40*40, Pflasterfläche</x:t>
  </x:si>
  <x:si>
    <x:t>Schachtabdeckung regulieren bis +/- 5 cm
und einfassen in Pflasterflächen
Schachtabdeckung rechteckig ca. 40 * 40 cm,
in Gehweg als Pflasterfläche,
höhenmäßig anpassen,
in Pflasterflächen
Ausführung mit Auflagerringen verschiedener Dicke,
innen mit Zementmörtel sauber verschmiert,
Höhenänderung bis +/- 5 cm.
Einzurechnen ist der Pflasterschnitt rund um die Einfassung.</x:t>
  </x:si>
  <x:si>
    <x:t>f07e286e-cd2b-4dd4-8187-d94b5adec1df</x:t>
  </x:si>
  <x:si>
    <x:t>1.5.27</x:t>
  </x:si>
  <x:si>
    <x:t>Schachtabdeckung Klasse D 400 selbstnivellierend, setzen</x:t>
  </x:si>
  <x:si>
    <x:t>Schachtabdeckung Klasse D 400 mit Einsteighilfe MEISTEP,
rund, selbstnivellierend, inklusive Führungsring aus Beton, mit Ventilation und austauschbaren dämpfender Einlagen MEIPREN, mit MEISILENCE.
mit im Rahmen integrierter unlösbar verbundener Aufnahmebuchse
für eine runde Haltestange (Einsteighilfe) 38mm Ø,
lichte Weite &gt; 600 mm, Rahmenhöhe 160 mm.
Rahmen aus Gusseisen, nach den Baugrundsätzen der DIN 19584, mit durchgängiger Gussschürze,
Deckel aus Beton-Guss nach DIN 19584-2 mit dämpfender Einlage MEIPREN, mit seitlicher Einlage MEISILENCE im Deckel zur horizontalen Dämpfung des Deckels im Rahmen, mit Ventilation entsprechend DIN EN 124-2 / DIN 1229, sowie DIN 19572 und den UVV-Vorschriften und gemäß den Anforderungen der Gütesicherung nach RAL-GZ 692 (abrufbar unter www.get-guete.de).
Die Einhaltung der Anforderung kann insbesondere durch den Besitz des
entsprechenden RAL-Gütezeichens oder gleichwertig nachgewiesen werden.
Achtung:
Die Aufnahmebuchse für die Einsteighilfe muss über dem Steigeisengang
ausgerichtet werden!
Schachtabdeckung liefern und gemäß den Herstellervorschriften einbauen.
Typ: MEIERGUSS Art.-Nr. 114290
oder gleichwertiger Art.
'........................................'(Bieterangabe)</x:t>
  </x:si>
  <x:si>
    <x:t>f6dc0e2a-3649-4f50-b653-06615f2e2059</x:t>
  </x:si>
  <x:si>
    <x:t>1.5.28</x:t>
  </x:si>
  <x:si>
    <x:t>Schachtabdeckung Klasse D 400, setzen</x:t>
  </x:si>
  <x:si>
    <x:t>MeierGuss Schachtabdeckung Klasse D400
Standard PLUS quadratisch
Entsprechend DIN EN 124-2, DIN 1229, DIN 19572 und den UVV-Vorschriften
KIWA geprüft und gemäß den Anforderungen der Gütesicherung nach RAL-GZ 692
Lichte Weite 600mm, ohne Ventilation, mit austauschbaren dämpfenden Einlagen MEIPREN
mit MEISTEP, mit MEISILENCE
Beton-Guss-Rahmen mit durchgängiger Gussschürze, lichte Weite 600mm, quadratisch, Rahmenhöhe 160mm
mit austauschbarer dämpfender Einlage MEIPREN
Im Rahmen integrierte unlösbar verbundene Aufnahmebuchse MEISTEP für eine runde Haltestange (Einstiegshilfe) mit einem Durchmesser von 38mm
Beton-Guss-Deckel, rund, ohne Ventilation, mit austauschbarer dämpfender Einlage MEIPREN, mit seitlicher Einlage MEISILENCE im Deckel
zur horizontalen Dämpfung des Deckels im Rahmen
MeierGuss Schachtabdeckung Klasse D400 Standard PLUS o. glw. liefern und gemäß den Herstellervorschriften einbauen.
Achtung:
Die Aufnahmebuchse für die Einsteighilfe muss über dem Steigeisengang
ausgerichtet werden!
Gewicht: 236,6 kg
Typ: MEIERGUSS Art.-Nr. 114389
oder gleichwertiger Art.
'........................................'(Bieterangabe)</x:t>
  </x:si>
  <x:si>
    <x:t>cc4df0f5-27a3-4375-9e76-fcd785d49b76</x:t>
  </x:si>
  <x:si>
    <x:t>1.5.29</x:t>
  </x:si>
  <x:si>
    <x:t>Schmutzfänger Form F, LW 605</x:t>
  </x:si>
  <x:si>
    <x:t>Schmutzfänger DIN 1221 Form F, aus Stahl,
verzinkt schwere Ausführung, DIN 1221,
für Schachtabdeckung LW 605,
Gewicht ca.7,5 kg
mit Verzinkung 400 g/m²,
1,5 mm Blechstärke,
Kennzeichnungspflicht DIN-Nr. sichtbar.</x:t>
  </x:si>
  <x:si>
    <x:t>fa7e8c9d-9eb2-4310-853a-1e4df7a400d0</x:t>
  </x:si>
  <x:si>
    <x:t>1.5.30</x:t>
  </x:si>
  <x:si>
    <x:t>Asphalttragschicht  AC 32 TS  D 14 cm</x:t>
  </x:si>
  <x:si>
    <x:t>Asphalttragschicht herstellen gemäß ZTV Asphalt-StB 07/13,
AC 32 TS,
in Verkehrsflächen der Belastungsklasse BK 1,8,
Anforderungen an Mineralstoffgemische und Mischgut
entsprechend der TL Asphalt-Stb 07/13,
Bindemittel B 50/70,
Schichtdicke 14 cm,
Maschineneinbau.
Verdichtungsgrad mind. 98%
Einbaudicke gemäß TPD-StB durch elektromagnetische
Dickenmessung nachweisen,
Einbau in mehreren Teilflächen gemäß der vorgegebenen Bauabschnitte.</x:t>
  </x:si>
  <x:si>
    <x:t>09147286-4513-4ab5-a6ea-bb66263482a6</x:t>
  </x:si>
  <x:si>
    <x:t>1.5.31</x:t>
  </x:si>
  <x:si>
    <x:t>Bitumenemulsion aufsprühen</x:t>
  </x:si>
  <x:si>
    <x:t>Bitumenemulsion zur Herstellung des Schichtenverbundes aufsprühen.
In Verkehrsflächen der Belastungsklasse Bk 1.8.
Unterlage = Asphaltbefestigung
Bindemittel = C40B5-S.
Bindemittelmenge = 250 g/m2.
Vor Einbau Asphaltdeckschicht.</x:t>
  </x:si>
  <x:si>
    <x:t>8e861f3d-6da9-40ce-a04e-7e4e01089986</x:t>
  </x:si>
  <x:si>
    <x:t>1.5.32</x:t>
  </x:si>
  <x:si>
    <x:t>Asphaltdeckschicht AC11 DS, 4 cm</x:t>
  </x:si>
  <x:si>
    <x:t>Asphaltbetondeckschicht herstellen gemäß ZTV
Asphalt-StB 07/13, AC 11 DS,
Anforderungen an Mineralstoffgemische und Mischgut
entsprechend der TL Asphalt-Stb 07/13, Tabelle 4,
In Verkehrsflächen,
Bindemittel 25/55-55A nach TL Bitumen-Stb 07/13
Fremdfüller = Kalksteinfüller Kategorie CC 70
Grobe Gesteinskörnung = Kategorie PSV 59, C 100/0
Schichtdicke 4 cm,
Maschineneinbau.
Einbaudicke gemäß TPD-StB durch elektromagnetische
Dickenmessung nachweisen,
Einbau über die ganze Fläche in einem Arbeitsgang.</x:t>
  </x:si>
  <x:si>
    <x:t>49fb3ca5-227b-42cd-9885-2f9058ce9f88</x:t>
  </x:si>
  <x:si>
    <x:t>1.5.33</x:t>
  </x:si>
  <x:si>
    <x:t>Deckschicht Gussasphalt MA 8 S Rinnenbereich</x:t>
  </x:si>
  <x:si>
    <x:t>Asphaltdeckschicht aus Gussasphalt MA 8 S herstellen.
Einbaubreite 0,16 m
In Randstreifen/Entwässerungsrinnen Bereich Brücke Gaulbach.
Einbaudicke = 3,5 cm einschließlich eingedrücktem Abstreumaterial.
Bindemittel = 10/40-65  A mit viskositätsveränderndem Zusatz oder
entsprechend viskositätsverändertes Bindemittel 10/40-65 A.
Fremdfüller = Kalksteinfüller, Kategorie CC 70.</x:t>
  </x:si>
  <x:si>
    <x:t>a32ac0b2-0d84-402c-b1dc-652a7325733d</x:t>
  </x:si>
  <x:si>
    <x:t>1.5.34</x:t>
  </x:si>
  <x:si>
    <x:t>Fuge in Deckschicht gem. Dicht 9</x:t>
  </x:si>
  <x:si>
    <x:t>Fuge in Deckschicht mit heiß verarbeitbarer elastischer
Fugenmasse herstellen.
Ausführung gemäß BAST-Richtzeichnung Dicht 9 zwischen vorh. Brückenkappe und neuer GA-Rinne.
Brücke Gaulbach</x:t>
  </x:si>
  <x:si>
    <x:t>3fbc7fca-5196-41b2-a09b-7e72a43b413f</x:t>
  </x:si>
  <x:si>
    <x:t>1.5.35</x:t>
  </x:si>
  <x:si>
    <x:t>Arbeitsfuge säubern, schneiden, vergießen</x:t>
  </x:si>
  <x:si>
    <x:t>Vorhandene Arbeitsfuge Brückenkappe Brücke Gaulstraße (Längstfuge zu Geländeraufbau)
nachschneiden, säubern und mit dauerelastischem Bitumen-Dichtstoff bis OK Fuge verfüllen.
Fugenbreite mind. 1 cm.</x:t>
  </x:si>
  <x:si>
    <x:t>0a6cac4f-a177-410a-aed7-c336ed634e08</x:t>
  </x:si>
  <x:si>
    <x:t>1.5.36</x:t>
  </x:si>
  <x:si>
    <x:t>Abstreumaterial aufbringen</x:t>
  </x:si>
  <x:si>
    <x:t>Abstreumaterial gleichmäßig auf die noch warme
Oberfläche der Deckschicht aufbringen und einwalzen.
Nicht gebundenes Material aufnehmen und der Verwertung
nach Wahl des AN zuführen.
Leicht bituminierte Gesteinskörnung aus
Split, 1/3 mm
Aufstreumenge 1,0 kg/m2.
Fläche maschinell abstreuen.</x:t>
  </x:si>
  <x:si>
    <x:t>2c025796-e691-4ad9-b7bc-1634f9bea9b4</x:t>
  </x:si>
  <x:si>
    <x:t>1.5.37</x:t>
  </x:si>
  <x:si>
    <x:t>Asphaltschicht vorbehandeln Schnittfläche</x:t>
  </x:si>
  <x:si>
    <x:t>Durchtrennte Asphaltschichten vor dem Herstellen der
neuen Asphaltschicht durch Anstrich oder Beschichten
vollflächig mit Heißbitumen 160/220, Bitumenemulsion
oder bitumenhaltiger Voranstrich vorbehandeln.
Haftkleber darf nicht verwendet werden.
Vor Einbau der jeweiligen Asphaltschichten Flächen
säubern, vorbehandeln und ausreichend trocknen lassen.</x:t>
  </x:si>
  <x:si>
    <x:t>75ffc600-4c22-4729-96b7-e03f00fed6e9</x:t>
  </x:si>
  <x:si>
    <x:t>1.5.38</x:t>
  </x:si>
  <x:si>
    <x:t>Bit. Fugenband, 40 x 10 mm,Schnittschliessung</x:t>
  </x:si>
  <x:si>
    <x:t>Bituminöses Fugenband nach den Vorschriften des
Dichtstoffherstellers mit dem zugehörigen Voranstrich verlegen,
als Längsnaht- bzw. Arbeitsfugendichtung bei
Deckschichten aus Gussasphalt oder Asphaltbeton
mit einer Schichtdicke von 40 mm und einer
Mindestbanddicke von 10 mm.</x:t>
  </x:si>
  <x:si>
    <x:t>199d0c26-5b70-445a-9859-4bb056a9df1a</x:t>
  </x:si>
  <x:si>
    <x:t>1.5.39</x:t>
  </x:si>
  <x:si>
    <x:t>Fuge zwischen Entwässerungsrinne und Asphaltschicht herstellen</x:t>
  </x:si>
  <x:si>
    <x:t>Fuge zwischen Entwässerungsrinne und Asphaltschicht herstellen,
Fuge in Asphaltschicht nachträglich mit zwangsgeführtem
Fugenschneider herstellen und ausräumen,
Ausführung in der Deckschicht,
Fugenbreite 20 mm, Fugentiefe 40 mm.</x:t>
  </x:si>
  <x:si>
    <x:t>e6047aaa-6bd7-4723-abe6-4e8d158c8964</x:t>
  </x:si>
  <x:si>
    <x:t>1.5.40</x:t>
  </x:si>
  <x:si>
    <x:t>Fuge zwischen Entwässerungsrinne und Asphaltschicht verschließen</x:t>
  </x:si>
  <x:si>
    <x:t>Fuge zwischen Entwässerungsrinne und Asphaltschicht vergießen,
Fugenspalt mit Druckluft säubern und trocknen,
Fugenwandung mit Voranstrichmittel vorbehandeln,
Fugenraum bis max. 15 mm unter Oberkante
mit komprimierbarem, bis 200 Grad C standfesten Füllstoff
ausfüllen und mit kraftstoffresistenter Bitumenvergussmasse gem. TL Fug-StB
bis - 3 mm Oberkante Entwässerungsrinne füllen,
Fugenbreite 20 mm, Fugentiefe 40 mm.</x:t>
  </x:si>
  <x:si>
    <x:t>3f3fb9ea-793f-463d-9985-660d18d46d67</x:t>
  </x:si>
  <x:si>
    <x:t>Fahrbahnmarkierung</x:t>
  </x:si>
  <x:si>
    <x:t>cc086f54-ab5d-4371-9493-c0e56b558c1b</x:t>
  </x:si>
  <x:si>
    <x:t>1.5.41</x:t>
  </x:si>
  <x:si>
    <x:t>Längsmarkierung Typ II herstellen Durchgehend 12 cm</x:t>
  </x:si>
  <x:si>
    <x:t>Längsmarkierung Typ II einschl. Evtl. Sperrflächenumrandung herstellen.
Losen Schmutz von zu markierender Fläche entfernen.
Abgerechnet wird der markierte Strich, bei Doppelstrichen zwei Striche.
Strich mit Vormarkierung als Erstmarkierung.
Strichbreite = 0,12 M.
Durchgehend.
Markierungsstoffart Kaltplastik -Dauermarkierung, 3 mm stark aufgelegt.
Verkehrsklasse = P 6.
Überrollbarkeitsklasse T 2.
Markierung auf Asphaltbeton.</x:t>
  </x:si>
  <x:si>
    <x:t>fadda2ca-85d1-4cd4-b396-6c0bcafa4da7</x:t>
  </x:si>
  <x:si>
    <x:t>1.5.42</x:t>
  </x:si>
  <x:si>
    <x:t>Längsmarkierung Typ II herstellen Unterbrochen 12 cm</x:t>
  </x:si>
  <x:si>
    <x:t>Längsmarkierung Typ II einschl. Evtl. Sperrflächenumrandung herstellen.
Losen Schmutz von zu markierender Fläche entfernen.
Abgerechnet wird der markierte Strich, bei Doppelstrichen zwei Striche.
Strich mit Vormarkierung als Erstmarkierung.
Strichbreite = 0,12 M.
Unterbrochen;
Markierungsstoffart Kaltplastik -Dauermarkierung, 3 mm stark aufgelegt.
Verkehrsklasse = P 6.
Überrollbarkeitsklasse T 2.
Markierung auf Asphaltbeton.</x:t>
  </x:si>
  <x:si>
    <x:t>257ccb1a-8b84-4ff6-880a-d2b939bab654</x:t>
  </x:si>
  <x:si>
    <x:t>1.5.43</x:t>
  </x:si>
  <x:si>
    <x:t>Längsmarkierung Typ II herstellen Unterbrochen 25 cm</x:t>
  </x:si>
  <x:si>
    <x:t>Längsmarkierung Typ II.
Losen Schmutz von zu markierender Fläche entfernen.
Abgerechnet wird der markierte Strich.
Strich mit Vormarkierung als Erstmarkierung.
Strichbreite = 0,25 M.
Unterbrochen
Markierungsstoffart Kaltplastik -Dauermarkierung, 3 mm stark aufgelegt.
Verkehrsklasse = P 6.
Überrollbarkeitsklasse T 2.
Markierung auf Asphaltbeton.</x:t>
  </x:si>
  <x:si>
    <x:t>b3d280d7-8899-4635-9da7-b626c477c057</x:t>
  </x:si>
  <x:si>
    <x:t>1.5.44</x:t>
  </x:si>
  <x:si>
    <x:t>Piktogramme Radfahrer</x:t>
  </x:si>
  <x:si>
    <x:t>Piktogramme auf Fahrbahn "Radfahrer"
Länge 2 m
Kaltplastik, P7,
Aus Plastikmarkierungsmasse,
Farbe weiß, auf Asphaltdecke.</x:t>
  </x:si>
  <x:si>
    <x:t>3a3f0d3d-af30-4833-9f4f-fb80928c132e</x:t>
  </x:si>
  <x:si>
    <x:t>1.6.</x:t>
  </x:si>
  <x:si>
    <x:t>ERDARBEITEN BELEUCHTUNG</x:t>
  </x:si>
  <x:si>
    <x:t>1.6.01</x:t>
  </x:si>
  <x:si>
    <x:t>Leitungsgraben herstellen</x:t>
  </x:si>
  <x:si>
    <x:t>Leitungsgraben profilgerecht herstellen,
Straßenaufbruch wird gesondert vergütet,
Herstellung in den Böden gemäß Bodengutachten
(Homogenbereich 1 B),
weitere Angaben und Kennwerte gemäß Bodengutachten,
Grabenbreite bis 30 cm, Grabentiefe bis 60 cm.
Abrechnung ab Erdplanum Straßenbau.
Aushub zur Wiederverwendung innerhalb der Baustelle lagern, nach Verlegen der Leitung in Graben oberhalb der Leitungszone einbauen und verdichten
Zum Verfüllen nicht verwendeten Aushub laden und entsorgen.
Bodenmaterial: Materialklasse BM-F2/F3</x:t>
  </x:si>
  <x:si>
    <x:t>c4f28a03-91dc-4eb3-ab31-d6c91703c080</x:t>
  </x:si>
  <x:si>
    <x:t>2da0ec75-5329-493b-afc5-eddd1b88502b</x:t>
  </x:si>
  <x:si>
    <x:t>1.6.02</x:t>
  </x:si>
  <x:si>
    <x:t>Sand liefern/ einbauen</x:t>
  </x:si>
  <x:si>
    <x:t>Sand liefern und auf der Baugrubensohle und als Ummantelung der
Versorgungsleitungen nach Angabe des AG einbauen und verdichten.
Korngröße 0-4 mm Natursand.
Einbaudicke 10 cm + 10 cm Abdeckung des Beleuchtungskabels.
Grabenbreite bis 40 cm.
Die Abrechnung erfolgt nach Aufmaß im verdichteten Zustand.</x:t>
  </x:si>
  <x:si>
    <x:t>24c6893e-602f-4ecb-b850-0c6f1e3d0ab9</x:t>
  </x:si>
  <x:si>
    <x:t>1.6.03</x:t>
  </x:si>
  <x:si>
    <x:t>Kabel verlegen</x:t>
  </x:si>
  <x:si>
    <x:t>Kabel nach Anweisung des AG bzw. Versorgungsunternehmen auf vorgefertigte Sandsohle verlegen. Das Kabel wird vom AG frei Baustelle geliefert. Der Transport innerhalb der Baustelle ist Sache des AN und ist in den EP einzurechnen. Der AN haftet für das Kabel von Zeitpunkt des Eintreffens auf der Baustelle bis zu deren Einbau im Sandbett und Abdeckung mit verdichtungsfähigem Erdmaterial.
Eventuell verloren gegangenes Material ist vom AN zu ersetzen.
Kabel für Beleuchtung bis 4 KG/ M.</x:t>
  </x:si>
  <x:si>
    <x:t>b838da5e-9813-4a18-bd52-559a74377462</x:t>
  </x:si>
  <x:si>
    <x:t>1.6.04</x:t>
  </x:si>
  <x:si>
    <x:t>Trassenwarnband</x:t>
  </x:si>
  <x:si>
    <x:t>Trassenwarnband bauseits auf einer Zwischensohle über der Sandummantelung einbauen.
Einschl. evtl. erforderlicher Verbindungsteile.
Aufschrift entsprechend der verlegten Versorgungsleitungen.</x:t>
  </x:si>
  <x:si>
    <x:t>39b29fb6-ced2-413c-9d45-afa2ebfa0fe5</x:t>
  </x:si>
  <x:si>
    <x:t>1.6.05</x:t>
  </x:si>
  <x:si>
    <x:t>Mastfundament herstellen</x:t>
  </x:si>
  <x:si>
    <x:t>Einzelfundament für Lampenmast herstellen.
Kunststoffrohr PVC-U, DN 300, Länge = 1,00 m mit 2 Kabeleinzugsöffnungen liefern und in Abstimmung mit dem Versorgungsträger setzen.
Fundamentbeton C 16/20 liefern.
Fundamentgrube ca. 0,80 * 0,80 *1,20 m ausschachten.
Erdaushub im Baustellenbereich lagern und wieder einbauen.
Das Kunststoffrohr senkrecht auf der Fundamentsohle aufstellen.
2 Kabelleerrohre bzw. Kabel (Zugang und Abgang) in das Kunststoffrohr einführen ("Kabelschlaufe")
Beton C 16/20 liefern und das Kunststoffrohr allseitig im Fußbereich ca. 20 cm mit Beton C 16/20 verfüllen und verdichten.
OK Rohr endet unterhalb der Pflasterbettung.</x:t>
  </x:si>
  <x:si>
    <x:t>d96726af-42f3-47ee-8d33-657cbd52276b</x:t>
  </x:si>
  <x:si>
    <x:t>1.7.</x:t>
  </x:si>
  <x:si>
    <x:t>PRIVATE ENTWÄSSERUNG</x:t>
  </x:si>
  <x:si>
    <x:t>Hinweis
Bei den Arbeiten für die Erstellung der privaten Entwässerung handelt es sich um Leistungen, die möglicherweise für mehrere Grundstückseigentümer anfallen, welche ihre privaten Flächenbefestigungen derzeit in den öffentlichen Straßenraum entwässern.
Hierzu soll parallel zur Grundstücksgrenze eine Linienentwässerung versetzt werden, die an die private Hausanschlussleitung innerhalb des Grundstückes anzuschließen ist.</x:t>
  </x:si>
  <x:si>
    <x:t>6615b0e0-d097-4aaa-ab16-6caca1f31774</x:t>
  </x:si>
  <x:si>
    <x:t>Wichtiger Hinweis zur Abrechnung</x:t>
  </x:si>
  <x:si>
    <x:t>Wichtiger Hinweis zur Abrechnung
Die nachfolgenden Leistungen werden nur bei Bedarf und ausdrücklicher Beauftragung der jeweiligen Grundstückseigentümer ausgeführt.
Die Abrechnung der erbrachten Leistung hat separat für jedes Privatgrundstück mit dem jeweiligen Eigentümer zu erfolgen.</x:t>
  </x:si>
  <x:si>
    <x:t>70c1649c-f9a6-46cc-b36e-a76fdc5ebf08</x:t>
  </x:si>
  <x:si>
    <x:t>Position (Ohne Gesamtpreis)</x:t>
  </x:si>
  <x:si>
    <x:t>1.7.01</x:t>
  </x:si>
  <x:si>
    <x:t>ce4be6bb-2e59-41c9-bf83-ba58f94843a5</x:t>
  </x:si>
  <x:si>
    <x:t>1.7.02</x:t>
  </x:si>
  <x:si>
    <x:t>Boden der Gräben für Anschlussleitungen profilgerecht ausheben nach Aufnahme der Oberflächenbefestigung.
Einstufung gemäß LAGA Boden/ Bauschutt bis Z1.2
Boden laden und entsorgen.
Aushubtiefe bis 1,25 m.</x:t>
  </x:si>
  <x:si>
    <x:t>79745aa3-9b2b-4587-adad-0416452916f0</x:t>
  </x:si>
  <x:si>
    <x:t>1.7.03</x:t>
  </x:si>
  <x:si>
    <x:t>Abwasserkanal DIN EN 1610 aus KG 2000 Rohren oder gleichwertiger Art,
DIN EN 1852-1, mit glatter Außenoberfläche,
mit Steckmuffe, DA 110, Rohre dreischichtig,
Druckfestigkeit mind. SN 8
Verlegung in verbauter Baugrube,
Grabentiefe bis 3,00 m einschl. Bettung Typ 1,
Dicke der unteren Bettungsschicht mind. 10 cm, aus Sand,
obere Bettungsschicht aus Sand.</x:t>
  </x:si>
  <x:si>
    <x:t>727a6ac3-49e2-4b8d-9eb5-77d5e97e108c</x:t>
  </x:si>
  <x:si>
    <x:t>1.7.04</x:t>
  </x:si>
  <x:si>
    <x:t>KG 2000 Rohrbogen als Zulage,
Druckfestigkeit SN 8
Bogen 15 bis 45 Grad
DA 110.</x:t>
  </x:si>
  <x:si>
    <x:t>8cc2f74c-6336-432c-9a68-5bfadf7c9f38</x:t>
  </x:si>
  <x:si>
    <x:t>1.7.05</x:t>
  </x:si>
  <x:si>
    <x:t>Zulage Abzweiger KG 2000 DA 160/110</x:t>
  </x:si>
  <x:si>
    <x:t>KG 2000 Abzweiger als Zulage,
Druckfestigkeit SN 8
45 Grad
DA 160/110
Inklusive evtl. Übergänge von vorhandener Hauptleitung aus KG/Stzg an Abzweiger.</x:t>
  </x:si>
  <x:si>
    <x:t>0fef37f7-3d6a-4d97-9cf3-61b294fec608</x:t>
  </x:si>
  <x:si>
    <x:t>1.7.06</x:t>
  </x:si>
  <x:si>
    <x:t>Schneiden Rohre DA 160 KG oder Stzg</x:t>
  </x:si>
  <x:si>
    <x:t>Schneiden von Rohren DA 160 aus KG oder Stzg
mit einer Bauteildicke in cm bis 2 cm ,
Lage entsprechend der Örtlichkeit.</x:t>
  </x:si>
  <x:si>
    <x:t>11ba3147-5685-4e71-80ab-2189d2da1e9f</x:t>
  </x:si>
  <x:si>
    <x:t>1.7.07</x:t>
  </x:si>
  <x:si>
    <x:t>Pflaster-/ Plattenbelag aufnehmen, entsorgen</x:t>
  </x:si>
  <x:si>
    <x:t>Platten oder Verbundsteinpflasterbelag aus Betonsteinen aufnehmen, bis 10 cm dick einschl. Bettung aus Mörtelbett oder Sandbett, verschiedene Größen (10/20 cm bis 20/40 cm) anfallende Stoffe laden und fachgerecht entsorgen,
einschl. der Entsorgungskosten.
Aufbruch in mehreren Teilflächen.</x:t>
  </x:si>
  <x:si>
    <x:t>99c4f5d9-2e6c-449a-a30a-4b9e75bbdb72</x:t>
  </x:si>
  <x:si>
    <x:t>1.7.08</x:t>
  </x:si>
  <x:si>
    <x:t>03c313d9-39f2-45de-8bc8-98609dc9b3ad</x:t>
  </x:si>
  <x:si>
    <x:t>1.7.09</x:t>
  </x:si>
  <x:si>
    <x:t>Zul Pflasterschnitt bis 100  mm</x:t>
  </x:si>
  <x:si>
    <x:t>Zulage zu vorbeschriebenen Pflasterdecken
für das Herstellen von Schnittkanten
an Einbauten, Bordsteinen, Umpflasterungen, Rinnen,
Pflasterdicke bis 100 mm
mit Nassschneidegerät und diamantbesetzter Trennscheibe.</x:t>
  </x:si>
  <x:si>
    <x:t>bfc81c8b-34f7-4d1a-827a-83ce6d889cfc</x:t>
  </x:si>
  <x:si>
    <x:t>4c7a66d4-4b7e-4657-9d14-a613f7640b42</x:t>
  </x:si>
  <x:si>
    <x:t>1.8.</x:t>
  </x:si>
  <x:si>
    <x:t>TAGELOHNARBEITEN</x:t>
  </x:si>
  <x:si>
    <x:t>Hinweis !
Stundenlohnarbeiten dürfen nur auf besondere Anweisung der BL ausgeführt werden.
Die nachstehend aufgeführten Stundensätze beinhalten alle Kosten für evtl. Überstunden, Nacht-, Sonn- und Feiertagszuschläge sowie anteilige Auslösung. Die angebotenen Einheitspreise sind Festpreise bis zur Fertigstellung. Stundensätze für Geräte und Maschinen beinhalten ebenfalls die Bedienung, Betriebsstoffe und alle Nebenkosten.</x:t>
  </x:si>
  <x:si>
    <x:t>c2bb3637-516c-46f9-895b-6c0ebc1d6c39</x:t>
  </x:si>
  <x:si>
    <x:t>1.8.01</x:t>
  </x:si>
  <x:si>
    <x:t>Facharbeiter</x:t>
  </x:si>
  <x:si>
    <x:t>Facharbeiter - Berufsgruppe V</x:t>
  </x:si>
  <x:si>
    <x:t>h</x:t>
  </x:si>
  <x:si>
    <x:t>076eabad-bb93-44b0-8df6-13c92180ab36</x:t>
  </x:si>
  <x:si>
    <x:t>7165644a-5246-47ab-adfc-0a04bc74132a</x:t>
  </x:si>
  <x:si>
    <x:t>1.8.02</x:t>
  </x:si>
  <x:si>
    <x:t>Fachwerker</x:t>
  </x:si>
  <x:si>
    <x:t>Fachwerker - Berufsgruppe VI</x:t>
  </x:si>
  <x:si>
    <x:t>5245aa18-c908-4584-ae46-4d88874daaa8</x:t>
  </x:si>
  <x:si>
    <x:t>1.8.03</x:t>
  </x:si>
  <x:si>
    <x:t>Bagger</x:t>
  </x:si>
  <x:si>
    <x:t>Hydraulikbagger</x:t>
  </x:si>
  <x:si>
    <x:t>903c738f-846b-4ca1-b8b3-9f2b998845ba</x:t>
  </x:si>
  <x:si>
    <x:t>1.8.04</x:t>
  </x:si>
  <x:si>
    <x:t>Hublader</x:t>
  </x:si>
  <x:si>
    <x:t>cbf0ac99-fae4-48a0-af37-63bd2c157bdb</x:t>
  </x:si>
  <x:si>
    <x:t>1.8.05</x:t>
  </x:si>
  <x:si>
    <x:t>Kompressor 6 m3/h</x:t>
  </x:si>
  <x:si>
    <x:t>Kompressor ca. 6 m3/h mit 1 Hammer</x:t>
  </x:si>
  <x:si>
    <x:t>fbbaf290-56a6-49b9-8380-0edd067d858c</x:t>
  </x:si>
  <x:si>
    <x:t>1.8.06</x:t>
  </x:si>
  <x:si>
    <x:t>Allrad-LKW 8,5 t</x:t>
  </x:si>
  <x:si>
    <x:t>Allrad-LKW für 8,5 t Tragkraft</x:t>
  </x:si>
  <x:si>
    <x:t>ba828ccf-c4a4-4f4d-ac44-082d38d680a7</x:t>
  </x:si>
  <x:si>
    <x:t>1.8.07</x:t>
  </x:si>
  <x:si>
    <x:t>Kehrmaschine</x:t>
  </x:si>
  <x:si>
    <x:t>Selbstaufnehmende Kehrmaschine</x:t>
  </x:si>
  <x:si>
    <x:t>11a1151f-9a28-44a2-a0eb-cbc4869b1d2e</x:t>
  </x:si>
  <x:si>
    <x:t>153859e4-cf40-4218-acb3-c34cca55660a</x:t>
  </x:si>
  <x:si>
    <x:t>Unterschriftenzeile</x:t>
  </x:si>
  <x:si>
    <x:t>(Ort)	(Datum)	(Stempel und rechtsgültige Unterschrift)</x:t>
  </x:si>
  <x:si>
    <x:t>45008ad9-60b8-4d1e-ab6b-82fd692165eb</x:t>
  </x:si>
  <x:si>
    <x:t>Summe Leistungsbeschreibung</x:t>
  </x:si>
  <x:si>
    <x:t>Brutto</x:t>
  </x:si>
  <x:si>
    <x:t>2025-194</x:t>
  </x:si>
  <x:si>
    <x:t>Einheitspreisanteile</x:t>
  </x:si>
  <x:si>
    <x:t>Käufer</x:t>
  </x:si>
  <x:si>
    <x:t>Name</x:t>
  </x:si>
  <x:si>
    <x:t>Straße</x:t>
  </x:si>
  <x:si>
    <x:t>Postleitzahl</x:t>
  </x:si>
  <x:si>
    <x:t>Stadt</x:t>
  </x:si>
  <x:si>
    <x:t>Land</x:t>
  </x:si>
  <x:si>
    <x:t>Kontaktperson</x:t>
  </x:si>
  <x:si>
    <x:t>Email</x:t>
  </x:si>
  <x:si>
    <x:t>Telefon</x:t>
  </x:si>
  <x:si>
    <x:t>Bieter</x:t>
  </x:si>
  <x:si>
    <x:t>Kommentar</x:t>
  </x:si>
  <x:si>
    <x:t>Einheitspreisanteil</x:t>
  </x:si>
  <x:si>
    <x:t>Ergebnis</x:t>
  </x:si>
  <x:si>
    <x:t>Configuration Version</x:t>
  </x:si>
  <x:si>
    <x:t>Service Specification Index</x:t>
  </x:si>
  <x:si>
    <x:t>Worksheetname Overview</x:t>
  </x:si>
  <x:si>
    <x:t>2025194</x:t>
  </x:si>
  <x:si>
    <x:t>Worksheetname ProjectInfo</x:t>
  </x:si>
  <x:si>
    <x:t>Projektinfo</x:t>
  </x:si>
  <x:si>
    <x:t>Worksheetname Calculation</x:t>
  </x:si>
  <x:si>
    <x:t>Kalkulation</x:t>
  </x:si>
  <x:si>
    <x:t>Dangl.AVA.Converter www.dangl-it.com V2.28.9 ©2026</x:t>
  </x:si>
  <x:si>
    <x:t>This worksheet contains configuration data needed so the file can be read again as GAEB file. Please do not modify any values.</x:t>
  </x:si>
  <x:si>
    <x:t>Dieses Arbeitsblatt enthält Konfigurationsdaten, die dem späteren Einlesen als GAEB Datei dienen. Bitte ändern Sie keine Werte.</x:t>
  </x:si>
  <x:si>
    <x:t>Created at 14.01.2026 20:48 (UTC)</x:t>
  </x:si>
  <x:si>
    <x:t>1000:18028CAD15B6095D7E83A882A0BC573CDE7883AF07E9DA635D405508D557AE0E:91C0680A1B6BD8BC76D9100F4FD64BE8:UJz9T8uc/3f1y4GiwjULisRjD+LFWgP53YCKeAYDfSl43kk5k5nS1VvR+oPY545KmV7mcc7r06yJCXj8UXbQfXnJcRBuQ6/5G0IheOm6OItssWE5Zl0uWpfgZAlPcYiIRWnPPCzTUJZr5AJC1f5mTtLALtIA6bL6U+fdeJsp/xO+h6l05cGYyl57WNdnmURidVFeBogY2QD8ekSQxwiA7oFU5BxnQDLpWAzHeAR5WIL0oi5JCljE2sKWXUyGyOvQPdIelaXwX+cN6LHDaKaN2ZyECW0LBMnRAdwRYbyf84zQ6zP8VsRuQ0n1P1t3EwJPDYf587iSzlaGANFb7+SD3LTf7BLTtSLDY1cZc7YZH/LONnTpHgtu3Axk4c9QsdMOhhshPwq9E+g+lVhkXjg+DLWxM9c8TbHL7U+s6y24/B6ch7fPmZjJDscvTMau0yS2PsIW5bsPp1KQTxeWW5Ig9Ih72EvNI5TJB+lWbzzxyIY3GlmDVYeyNNC4Tg7CNS1iuGp1673gLBQ1ePScj0L6zbZDKrG5Xtwg0ftI+iwl7Ksqbd4SOtHtpZByy6cVo3R/IOejA2BtDDic1RI8FtniQiRwqC7jsCo0ft8dUAcfCR0owK2RM9Z/1h6Iua5mwOLhw/uj0SioOpI0tOCofvW3Op6GugoM1tKQXqhb9FVuocpmuQcBBuXieIa6Is6M3punN+7hAiCjNReHDVE61/Y7ACyTrob4sUMXtVyCa3/OBlzAs2bGWFVvzLxRYSdmkxTbWRnLfJNhhcv26HAx+LC/FxHq1SgyG3aVUmkWCCua6NFpn+Bc5DqqLVuRUolA3PdzCjne+XuXiNq2dB9PfrZwSNV65fDSDecexBYPFWIs3sUleDbV+/ZQVUv0jDuVDnKP9NIlp9dBI30mswKLIgHkqvsm1mWGYfATsxp9B1FcJBg19iKDiVtrj+8rMPUX1dhwc973EvLUI3KtP+lRBm/+bnPFAgarfF8/wa+cnDIHWJvcfqQ6IeyKtxH3Wwu6ygNBdJjWPv9qrNYXerCxwK2jY+UiT8j641Y7FPLAdL3pzL1TMcPF9V2GF6TxFV8qeqIGhwVnikcdY0XtYENXDlmwp8wrkhUrKYulvhd6IQfmbb8CVIX+4IVEzEshLQrmEoPyZbv5KfSumZMMdPg+awPrcwo58w0BCA+jzGN9uUWXtLNcOnF7Hl6CL5W62V/6rfVgpzDbMo+XH/aMuNgde59aAMz7KfWMLMF3ugACyr15J8t2FxIiy/SFkdOALk+C9fEvwDiTtELr2dWq1HeIYqG7i6uoyZblrXmlxv14BsaqMieV+0tZmJAREyl3ytgf3aP1h57Z7u/972m166iuF4QrAfyWKX0zFGHB3EjSKWIdD4S/NF/1fwn4BrPiw7SvD60n2qCHSMl1s9g6HVDWuQouR86Pe3o45icCJapNRpijXP+iubQrotLmTiC6rzOJRmZfbnWc+vCMWj8oJVG2wa2FA9nFCjtvFbSHGI27KnLVDHWpqmbDEDbLsU2tb2k7oGJgouUqaiRXtYu5nykfifeOgKH3ESWKUN2jKI75YePVd1Ki7tzoVqrLuRjSCLduwu28dclpnqdselQmQy7ObtkThdTl7fse8ubYByZnUjAISPZy6phOjevRjMsnx/U2KX+0sLLyn7gmm/8goUNs5x59/hwkjjNkWXzgkORUUrt2J+5hjpxPW5wDb/AeoJFkbSdGmDxS8DFI7bygfnGJOoabIWwtKK/87XsUMfzFlKe0G4ZR+mfKODtfRnpbiqaPnd3YaJ2Vv+pIGlNKij2IPBVF0ubAVOQ1yAiuMZeeNhfnXbsrHtBB+++FWvIylwrWRJJAs6+Jzf6s+ARxrDNus4tK9keXCU5LeY83BSjl0HHnhlT5+m2R+pmHTnxCNSp0sSqn6B57sFNlLd9XQ5NL0iStd/cOdD6sRJBbU5LZUNn3b0UaaLqPMj8MNnmu2KK4SnhmbHD2evK/TfqjYWelt6xuFutE+GcgWXEqj3lMETHa2pF3oE2YXsdz/nyJAuN3VXN977P5Gaf0KaK9B6kiBETEJT1cRklVgzx/KVivyg2Tl9lx6h0uuu8bccQQRqPK64Wniwv59tYmOxTLAeVyfUcpnYRPRoHbOGQ0CwMdwuXZRlfhzwowvn6PmBFYAbkR8Iiht+APRZq+u7BJDftUMBcO2B9HB3Kd0VpfEoSdJcAUhH+paPfna/T17qQNCittFgS0mUgX+BZDBiaCeyRl3qpcVSzDwG8GmnF4eyJ/fpb7pVMpXfRqfFIv7N5sXoVYfajJTxXWNz4XpaunNerV/LNGXb12IHxK/KAoQJ9qG3OnK8t2ERSA3Z+y5UM4LYx+r9K5C789BJTib+Hgkg/Yq+qGl2JaMSCPF+pjJy7+HnGc7DCP7ZpbJDAQO0GPin9NRpKO44seI/FYjcD1h0x+zyxPf7+6qmPfR0GZUncLs4xM/NmmMYIJQ750+mBWCA3o42m7GyvBw1mfsBUrXYUTB9Z4Vj4paWmsa5Ebz73MZGaUDDZlBPK2BzA1LhYOhxL5HAAXP04Teock7LYDffmzs3o4p8shDweMOh+80dLi/LvT4rgdaDvfp2p0QowG5zSkPT0FV+oNSZMbvRQsfhISHHwzrCobI0+Nk2Qe5gidt9MaUS716i0zOnXHFf4MNnNFR92HFLweBEvB8bjuyXQFwB9gPrcsGYobe4ex/C8hTU0SMD7GVfQ0bKcry/9THZuhkH0x1jwLVlOOY2P0//TeWDuUP+4Vb3gHYf2+rfPl/qnfs7wU3mCxPYjlhLKqd+RdR9v62SJgWpX0YlIo51mvtWJzwATacWcYHQO5iZ7a2Ti1psFAdxomBvbKYbiprrEI8j+huhOIstL4PXD5n+fu+GqOh9W/Grg/BOZsl9DS4QpZd1Q3jXqLLCbzuVE3IXaa57SwxdS7k2XCrENP/PYIpIRmVHAxK1NhSOtMKYmYz1dX8v/raDEM/MnFOsT5+/jsNGNsbS1QruZjYDs4iCAoeQ70x626KV6j1EdECv4eodgpmofH7NMfkeDF9RxLum1UeC9PIVklMFa3JdgW1U13BZY3fgFIU+FCMPxbJm73/3BE5JFIY3OtrYNsqpBUcNx0fwueMQk4x8D3vG+RBjAiUolh9gtr//Oq9AVuh38BN/lcwafA35QT7Q6w4tyt7oxZ/eWvz2kk7hDSBlko+nvMYELsFC3sfFyPlWlGNhfk8MBRLFb+y1fJS9Ys0twsMQRbQjIpejOqyKLhtIxmNG4rjMboVp6uq4SAMF0K00L7HGVX/S1DNN4d0AX6yd5NKFuXoVeKyZ0SL1NleQmLSk2zQRZ/l4WjIvTedWzGKgMc3vHkOmzwEJOlGCta1p2LGdAbEUWwEcbsUddtnZvHWMZLqLLDe7nRL/NIiSnLjVNEPNRNdc6uCTNqSpAW786OHrNAe7SBZISLnTShc6hEVRlEdhXJqyEU2TZdWL01nLe4GciOXYo9Ddhd9NJSG527eckpnnY+I8L246IZbzwNoRWvxiTWQKGY69cKd4oz3ZNfNY/kgnm3kjieKzfwTElEXMJAij3inYkf13c7m5NSaxckGFdJND6TEPFWuYEYVR2cuzEpIQMKxtgrPksa8zUdIOGDVyJVnDTeTZg3Z+iXdQmbH43HT4SUNMdy+zK+e/R6/5DSRIkPrz4PD+QQIiMxckdM6fDND6tqdlPFLsCoU56xaUXMuFYyvkurzSfyj7rFZsA8Y3m2iOUppVNQztbPMc0P6FV/DRBCtgzKcKO5d7l9MDmFoPvQZPZjOVpkYfTFRaeE2KRniGV+otQgjLis62EIF6FSBExM1v7nWYosJgwGXOUWom+L28WPxNbXq3FI0Q0gKlu8mpRTYDCrfnKh4y8G36LXZBnQcjX/FqUwoPLBWT128lhexJ98ps2fkq3CQ8ayv6aXGsmZoze2KWG9spkWMb0aWfdbTz7cXgezYVV/0rck4mKAX+0g4I5H1J7Jekjx5PaoU0Hz/yOQWaVn7ezCruR7XG4daU2A8mTCyTnogTEXA38KS31gbf+tSNjkihI3rf+nx3RhQus7iAIHbnOQ/UIx1h2+JxPvxHMEvwjEPD1/W2EroKm2jhAzEHjlmr3trjrshMEqEKYNpiJDMJf/wzYYob//KCoWuTWAaC1F7qsscsGfaEGLl8GCHAmeNRbG5UVdR1KPuzwpNYJjTteq/2XiXLlEAfBnneQgcvLi8WEma4sfa9jRzINaTflJiWBhCPj13oOBQ3EVIqmUV5kKKUyYKKos0O1l/MsoSrSIsw2D1sdQSadcVpxPFQ+rx0kyznIH4Pm2EUaJjtCOohbNRL+wPgBfiUL8C6D2RJz6Zzs5tqu+G33VNpXB1TMAT0+yqwFwCF/+m4ixaV3JpveAVMlFrhURetwGjO0J1Ifeixw9dsWStmH/V6v1kDLLOAFISm68c9dtxIY5zY6dMmtKJXzBE+d+xpTEVNaVrS9f/iZvTtR0QoekrZrxG4fHM+5VwniWZ1N/d6rVObJePLeN+ENMmJfIDBG66ZnuW/FvXu9ncRF5dv5ui78WqtzvtNiAFZTotMiqRtUZjWm5DBQUdsQHzIXz7JNFFw8qySTOYRn3ZQgE5bqR8ehApcKrjlTRAJ7J1bNtT1cconnWLf3zuyULr04AtRR1bj6KLGNDrrYXzANK4TVN0l9wYWTJtWkgpsYboAd6e29iEv7DQyx4iMtstEQ2ZCZ4RPB0rdvINYh5prUMmfagQMLOy6B8GL95yKytvFYR0AnIgysqpSF2r8TvyHalRiIo7xRmlxjF5OZNaqUJ2SyafokAOsb0WVFRKetQv4br/DiEWJw+OARvYnEqaybhZgM/AYofRE9T6xcg11F2/N28xESiuiTMmE6CiAAbXBXOrhdw7b2OULUFawiN0roKRg51sVTsrNg1G8b2c4sva8rbJ7SkzANQP3GaaOwOZ8dpG0fOStKeELlae/vOVL3B/XlLsngxLuwhu2blric3lTrdZmrHu97UN6YHK6Ix3Lf34upTNqkzrFuv75bKhsC9AEt5+nVpjem94eqiOCcmujUWg8mjeWqcGWefcpArSBKQpccOV1BZCt/KlGeCM0MZJccwAST0n78lJPLrdJCrMuz/HLGEjYMR8P2D3FMAmzmU/S/58kvG1LBo8gR+6RWRoUFb7vvOk+Ygh4gBU/AYtc39MNH8LPeAOMhDCX3BCoE1PsOLjIAmK+Lxdw5PxBYaz66SR2X3PbOTFSrUFZJLDXW08P9jz91wI8n1WLK+tCEBRn0p6JMpdKKvlP5sz60IDbJoGdEFMYRTeuTZv/dkReuEVPKHSzPyzsW1NPv2I6NQ+Y31rLjhV4K0WTvt5J/UJzOdqCn3j7MDXEwEENLnuh6ESvXtR32sosRlzOHebU+0j/M9sb3oaMEo0u4EZGTMSlz8tOgTT01Qa/0QTDr6oRvXSTexW1aNeSq2e6Dzf96KK8CKSB7LmC9ftwKW28+/SLWlkbNICwiTmU9qGO6Lzkpft+L7nmeWBwtLjoMnco/Zz6IQ8bdkFlEcE148jNFmueLV/AQNoVWd4BV8xTVfrDKw33vTP5PBmJ/bUYOKFgmhuYEh4+5XEfF9eJj4hDt5IUeSwUf2g9QpRjhBuncQPeR0HPkwxIDGjcr8mZ1Pd5m291Qx0qAMTGBu0H0TmS5qBB+/uYf5tr3hbJsY81xzP7YsOt2uue3UbEOWY334/WPjg6ro0VBD+CYW4S5vaUjU3WDhrFcKzWx2pwrW//lW7MOVsWvTxzMI2hUJkCBDuwbu+tlRBcusv76L5j+BFWBgvy7hH/ea+Qj/KEIUjkbXcgh9pJ8ylWGEO4pja2RU6+zid2pTO+M38LqMDOb9UBrGoFO8tVpWGP7tbGhQuk51MQbtAeegJrJouQnhryEaUPedsQMbXTdtbOsCbLwuUxSLoK59c9+BQswZIySXZw7QDX1wjN7lLuT0HMB++vINFJ1avdEUC7nchdf8sweQ0CeCoZSUs80u69r6OMileXA9apz5kqtAufMGpOgio2yJcmxsVFJDrjcFJDoPlspHAjIx3SsyeR8dR7Y7HrFRQ7qLGrKKwYGzUjby2lTt8WqyxhcDaSrQbSo6nZdXL+mgus3WyG/PRakx59YJs6pvGkMoDM7/1e6eQo/o9dIgl6DPM3r1zJ4EPd9p6Vz/0QAcCDnBwLxZNkJkH++wFGY5tQNKOW9cnREJrPEr5/NbKF00/RkJmu8+kVKBMhEVWrSImd/Usoih/A3H851rvI4qWZtBBNVlwXgtpt6hh70reCWB46WIgwWtwnu0K4WEYuNEUPxHZObQPSBnzzLHVIcvHk+1VOMEFj9WsaHc+XUEI7CPUAcrjsfsrEwqCcxzeBFl5cYGSCU9wOJvxjNfYNh3DCciK5lmky+uFyJxhZJUxqRcXcx+S//Cu8SHFfR80w20Z5E8YZar/xSnREWdD2v2C4YIsgy5ZGn+/2lr6bvcL0HAU30IpqD2Ydhi7SfIVTAwjdtjUI1P8LDwh49GWwXrUGf9O/K/bO+KEgRWu5oBA4BpwFRuO76QNSkhi9DEWT+bDHLKDF09z15/675cEjXryzf3UCPEJtEvkx80KuPZfFuvfWiRHzwhNceGC30CD2bnGQuvTh6W3h4HfUW07pov5ul6topjSJTGs3sc5yoQg/ntgMznLvrbQOUyHMM+Dlzmzli/mRQrJSZnXBnT8yaaLWZp9mOqziarw2Kt3xIqmyn6nMW3N+A8A1FC6Q1d0Qv2VlWVmxmidoe7kYaAA4MzRENfcVC0XqfesiQ8Bt8p4VOZ+zG+LUwQeqA3qBDjOfH4lOmUY3ok0/yidiX5mxhlHWOa0gGtLOqKeJTS5AbXi8LK/C55kqmD+Y85Zv5TL2simN6jMj50mwv3IHejOvpAvhHyfdbEQYPNeMM8PhtjAJT7odYJXzpPMIUSM0WeocTrfz7FtkSSKJ35jERYnOi1eULxlsRWCej6rj0gnth+xWZft6p/6U6RUFEa7T9x2uDXs22SpCkZ9n74zFLwRgzF/4/vMVjvox5P6v3guC360va0V9NZ+IggC8HAv6wIVRP3sb3UrpDsSP/HiaL0jE4IQKkctnpJdr0Y6w6a3cVwO7WydmN7iXolykNEqDMhYcEHMGFBTF+EX9pkgZ6SSWpGHRVOX6HKj17CfYtYbX6fu3cXR47PTycJNXE2r2dxY0OwZDz713QC36hToEKSVk+PdUG4UY7WIacMPQSUZCe4nAheyP89c72XCUlhV+fV+RsHVtTfX+jmlQ1jx3mfxoEWY8231DxlAooQBU1MY71zpaaa0DuY77GtYJXETRysO8JwnDtS8FYYIAQXC6owcWUOe4p86deuTAhwtNqXPoFiHbTcY1ToNRxFUpA0M8m+TAC6X+fzQ2q5B1Q+VoTztukt2zWYPrBHbEQxLmM/8sbwLqaj8GuDobgnOe8gbuOQjC/ryH18migOW971L3EYyFNHPntY0YizCEx4vvlUEoWy9TnYCfGkss6O6r+GWSINj0afXepUq76Sr1TJcX9PY92yj37uUSnEGZE6TrNvewgHfQwU7G4a9746hOBgh5DI7PjyECXi3p8q8kgoEPyv0B+woYBIWHbqyywWC5Rp3f8wIYLA6ugLkCAXr4yQx7/4JUjUxXO7ni9bwJO+xSIBLpjPUpkoyeLi5yA2RCkTFd/Gxg2emctm8/5V+8cnX4T6I03Tg7C57OXzEAoxbaNcM57mZc8ZAD8ow9JmQsF6TCIpH19cQx5dlUtdnPs4/qwIZzmDBupdjxbA30+x95GuRU2KRdi2J2Ht2m4yG1mhDNeRxn+geKklRgELlfOqmCoTxkmoS+l5BSxIs4va8tSkiH/YeUcW1etixXIEAbRKkZTH+n2RFNMgI4gw9WPpCS/alb/IJV5nWO2sUM+odHZcVqK14TWn/NNcf1G0XuWezYTFwrnaA6De60aC2QsPRRedWI0GL50+4c5xHXphXDrRK6XFFm0Skdzm+VxB8/WWvUKIOTWUrSKp9PAdcNLM1xa2puFOzsScaiHGsLd0ZcqZ4U9XfOMmCqMmJ8SjKsGIE7eZa58A03PB6C6Df1u5QXR9jqAQtD1ZOANks6sxaSCHRIg8KtlyWlz5bYkVfpskB3Oi5JzFK9OfOGSJFjKUWYcfphjYQaQfaCpeSm0lcRr6xNtNFtNxaZ5iFksQB0n/6LMQ3Y+bM7HW27s6ogU/GsQxW5/iFCu4yyoqGQeT4L2KilTZTUfi4NRs73NSKIlgx14ogNNqVGIiQzNwKZBNUkL6nrMZWyH9TjjY9BK5glpsWw4Lt360H5wh7l8fnMVxtpqzDBN0XtAT6CXCzxESHgti2hPwanGvKvDFIcZvs6mpSCQGOnmlla19zmJqVAlIwwmsBh8mQNZPK0wZo0UqHo/6U21q0xcdNC6g0DYeEjR99GdOqSksp7oomoymX/xn0nMKa45sPCQTaaqsYQbc34fU4l+EPBnQsLO2e5Xvm0NqoUMqJnBjU7tGc310HeON5VbVhYvjrlX1F7sr/AEv8kZ75jDhRc7QH7F4NfNbVU3H07h2Hii0ToDV35MzcHqrd/lkuK9SRDtgGgiKf86zrAoaE9XxJm0B6fYeGMd7D8oFo/x5lyBMmiMI/uyMkjjaqpTTEJfIXBbHBLO+teIRP9aI+aO7tlPsqfrY1qaeOHZkKjASJYWURnO8o2KWkfDA0jcY2w5QnImk64+0n+BNht7j1s5Dq9dLWHe5vTupR+JR0V8F/5q7Mz8HBZ8Go5zzb3xwgs0zHrLh9nQ9nB/0QDtnwwR9Z/i+jgw3pyLrWOcYb1TWmHUmj4XNCWka7DsitPt1AEzOHjoa43ORSW0wNqHehqmnbJ5axtcMbZ4ZsokiVIDI2ZmyxQNJeNTsuM/sqApMdTeYxlhWQuAOG+fehzk3cPg0D+mW1j8MmP+JbjOI2CCsmjz/uKGhhnwfRo2cIDMEmHofkcnOC/L552lBq0cc/pBGo4NabDsO8s84W1DavDsPqkFqzXGUxfNBq5cJTyPDbIoN+eCP8DfWAwJzbvH3aWbm4cfmm4u3iNqzSS5rr8ooJ9j8MxevsTQDzl9HEaKS5ddNWkAhNc5nCOUEV+SlMpb+MjdE1VrTkrWOlpRky7Ox1nk2Codj4lby4hozWHCggEADRjNsw0cA3Gk0EUpljOxcgkTrJ4V3Y8FMRikJzeCMvJjFPnwV1Eucy82VE+A5QXH5x0nxAO57tH9uVkn49eadxRP8kwC6hnB5JD+GqRbQ7HL6ipgxzkoJDQzOisEaZv5QFP8N7e6pdggHU25/MV/MSArsZoFuGw1o9r2VRwmNSn8lGT7lxXgPiTPoXKjOSH3nDfA8cCjCn73LUiW8wKiSGGKEhAVrgbgnqpk9O/o4Xm3Z62e5cKrWne0oz3uc8W3gfKRzr1FJGdf+K7RTEfJFmoTWUR5OZyypsaWDTVxsnjnAO9brfCDkHnClC1ga96pQBEUcl32TLAxKvQbQCXCiGqJ/vTgvCZPzjnb//LQdvwSqA0N7UrKPO6ZvBdP69kDi+e2yYEWsp0O4paKwe++WutdrP1CXNYSX4P4CUifqLgSeJGuXF6FfQPE7hX78+xZN0X3XIn1ytz0WDhF7xXp5tDvhIbiRJiAlN5cDTjsPcOslixHDBTHEeZqYM03ZMx7l9lsYakr9tBBPdWtrLMmnaiz/u67Ymmfpg12hOUJ6V+Cpbgsrnyr0jhFbSQw4dimnUZ0B7qFZXUYu8mOCXly+7TFnZSJIMsMxHJyY0I5v+Obu2HmSe8W4d3pyV1l1H0TtqNG1MKZECyHxXPohMuIwtiJZAZAG2EPtDK1JiIoH/q5dSI/QtMi3FnGzeKMVChJO5mSeievIwRg2MuRQfbwRk4NGZtTV3lyVgkFYEDp0hb6Dhtk4J9a+xkPedDTRi1YpSEZzsHYuLfWJsC2CwEFOPEs+XCBoNQtlcccfZ4B6Y1xQCk79WgPeYKIMRSjO97A3ho8929IRXzrVv/nndibaMw58U18bYlE1RH9YMow4s2/QelPLf5b7FYwc+1N5/xfyum97/QluyghKCD94mMWedMRoxgHlRdEt7iEZnjmJE7/w69vTINhWV71nD4h52u4DV59Kd2YdeE5JdyFk9YhHhUnz005syVfD7Z9qV4MhtAFjvour/N9bsXixf61lnfCzswa4NAlTz3nY2n9FTYGC5nsqFaoEehO61IvcJjULw7v12uUQdgqAVSFhSMCD3BDTQn/DatTuVV8x5VRYtOvAYtsOGzdvhMcMEt4keSl962u7a120XBvTTgNoXdKml4mSzvRCl482f6b6wF/5WMGPATIxAO/OTRkz/9a34UihxOwraeah/7duTlqW+u1XNA7ef8TfkL7sfUHnNLYT5EH0ou/qHTRw4J7To+zFbK141Mjh/okMbs86bG4IpTEZ85XVTtszm3xSayl02P4OOwb5XDtg17GfT3U3Ua4TY8xDvKEWkx1eJfktsheH04au0/DJYeYrLfYy2/J8b+thl0VW+60j1h5rMWKk/94mpgIHe80fZuItww6gUnAc6n0cFHKwHyiR0VeUoqhodOhyCxhad1hxZ/0yrIq2yzXt5/FudvMMr1cpgo2Bm6gOVh4gGPmQgDQAYP9nXC6HRmOlaOacf34B+1lA9P9wjQtdAOuIuC3jwhcZH4uh57YtsBpGoEFuyU78XSypf3P3EePrIhn17UdTNDp4L3I3Tf4gWkKEP8IlhAujhiKFK1KXHOJxfyXGNGCIdc7ZO5X5dRUOCBWQvRttOxWhFVqohfYq060560y8S/vEJoUnM2xX0HcHyQMQ1BBRaOL+QkaNpDRQrdNCtzs2Mae/MAIebGalPSgl0xSEygQf/cbJNlRHXpZhc7LKiLjze7NjKyXU0LRESbEqDfjyyNQaV6/NwLYNL7BOK5ZsKhZ916mc8n31uxfORykYjQ5+HO11o33uAO6t77nr1s4dFGQ4lR6gs9r9WLbZ7nNkKqOlRxWGcNr4Woal6kQJj3CShYqEtqrgmE6qzSc4ZTRXa+8hR5BR4aCURi5GMRDLeExE5xJ2r2uj0LwAdZdIw2T6qxzRhWK/c2zUqBa1Y1hWgeoGkFzDZGIM5mqEXOHzWSv3MoL1nFrX+guCaB6r9cpzqSxJuEYq9DD9fgGgmNFzcTTVD01CNw0EkhGf0ODjRdbberceLnrUpTm/qzlm3WW49gPA5k5QF/BlkkwRrEl/VrTufu099orcTIeRM/wR/Dp+ERjONHEzaAke3SqYY75l3jZyekDxh4uUTOnhi2A8oz78vDetJ/mxD8doH6ZyghDT+LS7ziFT8Vv+gDxaLDMO11dy5moG68BUmUVQU3Bju89qdIS8Uq973k8fIsmfJ6HOvcZegRg4rtonV9LYZKmpej626KH/hReKG3URcnl48r72aK9Yr2NnQnxXE9GZ0M67ignqkzh/FYxEJmBojNRyXh4N2bOZH4fGRKhohl+rae1QyYmYV1rboXKr4+9jmobMRRVP5pfndV0beVeYqVfUkJqDcezWjZkNlpFBOYVdndagIEqaYJkXV0of5Is8EGhEg4a6yTVDvg5Y0dCCoCvc9aJF0kemgnv08g0bhag0ocYR9NtJWoFg3LtP03NZlygmZ7sQEc9AeSB3KTQd6Js2xTSoWjmbCsA92602tXE0K5mGCRuGqw1Zv/3AVoFIGeiW1CzLNuqyl831nLXUXHqncE7eIFQmS3yDb5TrFnesClcKCG/lPXLTgv+gUhKrap9BZ/FLXT11GFYNsZVjGtPj7/Bu9fK/ZEx77XpIDpCNFnpSxF6vatHKQnVOvcNIgDHXNM2wetNWKh6O45wQSJ0OFdMBl5tsR/oowODTjeBxQ62uw+/Hwtv26VzYqF9J+uUQUJ91Jta1V7Ihl2b+yNK4GLCwc/wvQrF7m2lPI8DvNyv86VE2pHW7iF7/Xuli/6Pg7prz+pQpw/DM83g9IDyx1HQ+hC1D+kz8UGezJhIM5hTM+OLcGhVab5ES1GqOlYv1SE4/Jtz3MS9CsPtZPyB49xh39564ApLYzeNX+1z7qXfO/f1xV8isOHev3AZMhbRjmOhBWDLLf6VLwtsw8AnrDWZi0/6+dax+KDVteOUs4dPXH4y0D8BRh5hai3av02JbiTNPSVxJ7H+NxKE5K5W2QgozjKBL7DwL+G3SDCThzgsf5XB0q6Ky2FpY2InVc6XvSLhuV8wehaQ3zsdpMUaCNibw9o4+bLnFA5wgUpAqREpswf4JBvLEqUmWAwBLLcYgYKrYNLBI5RrEh4hEpwGFBEeylhsg8A+YtNVoEH6OsIJVmuPshNDbKDEt91+YCMNCxVXrfoX3thqGXdfs4bn4YBphPVhVvQQtdj2oHyc6C2MOacmI4+SGsxM+HoFKmwAfWsGsVJTl9XSsSY8F49W73q9QRTTWXgakKLXixlen2z4In+iWQzVFw2DMpDjUCFIwgtsYCeJ3oggAPZBW1N7gCwY+E81gxjylJF9/JUrn8X9XmT2T4y8rVrUtddX/MxMiBjBf2e1nXln5JSoejRYEpsvEz3lk/lGQpQlegkU97lZuz3GYpOh8v0jW8o2RFFgwoiPMcLo2I04FIE0ojnrJuPlOOaYwnow/r7ey7hoWyY/KWrkuruaNkqXf0hLM1f3+8xz3GPGA+oaod3Bvjk+ZjPQNP/hlTtE9KOMnXxhIR4SMTMrEsREDOCIu5a7gMMZZj25QAF+1wVsos4ma9Quv7466PjJWCfQkd4T5edgbVbsOJz9cKVQGfEfxg67ZJTFHfpbsGsc5Ej3wiBA8E2pIgJR53XbJy9L7TupOfsFWxU2TS6un2oJFU/MRGPrsUxs+X90eHwAo7jY2BtuLPDE5h7SeZw9xL8LfXsMvt8n/kj1+MnDDz8S7r/FHstUmUXD1GP6exQmi5hFM+JtIp6sfJdDvDLx/AxjSjAMdz3k1k7kn9JoXHgUe0lRH4fVTHAgt7dl/vZchRnjVT6WwCuSMLJgJk576WwH/fa58aBo/2e5Y7jgBbF990yTudR8OzET3yXRB0vYxpz3PL1UJkVsLNJ2HXrnDVJmbHh1aeiLnIb76/H2za7rTFe2CcqnNBWR0mrRw1QN/PFnacQvSdLE7MiKbg13PCU8lWWXMr652j1SCoy0/RTxXBaH+6kMwSqWAyxz09tU0MnEM3bLMx5XrUJ6Ldqq0mOlq7AcRiZNfykOoDhG06lTbXFBMRtylMuE7d+wxe1nf3xBsRZL9JgBfO3q0NVgJOqwN5mS63LMxyhMqgfZHptO33ema2CPnNBLgWMFjpoYYFfgyNOszM0CY5C5dgeBZx8VLu4k6sV+8PB7Kx8bGXA6ohPJMxVXVhFtI+bJhDcxpNFMP/yihzuHAa5gVkmWvAj6/IuIijVqPUN5WllzLWbmNZpVILBAOwGmomfkR+YTRDS2v/k2mrfJF+lnr/60DmS+wwJewHJVBhCuOqzb8G3qhHDhMyyS956a4WcRQxSR3LSjCO3SxPxSegQlhat2qJDG1Tn2rEQbq4QZ1q1QRfl8e77KVii01DZHbdC42Md0T2GFvBxR2wbOqnnKw2DUN6zNy/NpX8F+01Lt8k+BaQ/tsOvV9OcWy0Ms2Uq54X/kD3SjDX9kIWNCNcJpHSUr+FZ+aH4b2m2SYKGTSh2IkRZJt95/6vihqUTZl7NDj4C3A+de6QpUGmQpHGBn3eJUBEkv7gZoDaL+k/yYCvpVNbBCMzOSguWMVnaApqMpZHwvQy2aQ6nzFhN6bbI0w4VcwJWjCApQsgziDvFLJWfBl2jBWK3YlUlt5BLHGsOhJniQjo3YB6hteqLyAbFyQh79pDTIafQDdzkq0QWKdm/EZBiZOxopzr4UVKRq2BFAF8WRe4n9JJBJIAG69f70UHzL2Y+tc72ZLPAR+RoND19CK8Sjv+/uAgXmYE32ozzKET8x1CN3D69OrOUXdEkxe5bUBgzI/RsE5VyG14tMtqDhi2SVZE1FbI4ENeif+JNNFJrbcJqeMtFUM6tTbko7c3bSB51Pd+p6yFmRem48DpML7Nt/O7zTFiQSLNQYLOFjHUukz0UbdOc6Xwz+KejQ8vLtgc5U7xS4MVEvowV3Hqf8gx7EUS30kCjHnXf2W5kWQnAamXQIkLSJbyyyXT575glq9D35BgLRTTUto8Mzq+VDGF+E9qsKA0DxmcHta+EQrLgiXV261UcQabN3O08s5EOdTddwvQTJQ4ee6e7sV6ZO7gZJeJMvBQr3bJxCNMeWa6ji0Iiky9OqTrTV57Gx8yCJKeL+A62UXG6aMFlI+tkPIlpNtab2dlKrXbB+XUuMBWHzetz0W0lYKzVZu9gV7TcCa325OrjkpQB5Mye3CNp0o/nYvh+p6vz/t99p9e96mqOd+gUQ0Ya8GwCwIMzVXNKS7u3jNftiyZDkdu3jCOvRvP3XPUkirgLHfpvhK8e0NE0iFj/oD98O85zHqYYh1NZdD9c6rsSv/Elgu7A4y81jytco4FiiMHxJtbEW/jbZjmcA8g8qfVYEJ8NdyVjCGl8oyBVs75feDmzmY/yxTvddEVaBhG+BopKw7vrlLW0tqb3j/nlS8S9oSvYSW5x0hMct9TEj2Qxly/uQCLm6/Wv/vqDyrOd/rbMsaKEf/qYe5it4vz3Bmz56RuNV+dEA0KCgP38hReAT2jeTeYiST9jj5d+QNNXO/ixCb9eiGoTD6gDE+4u2zlHt5+qOpo9C28Dz5+nGVSPeOCp7/CTCFFhEjdlabY45ICvCiMvVV1LtvvPmAlEnCb90OQbREhmAkdUjWdnCzkaBpQvhOeYARYCibd3+n8iFPUVbTabJTGruwV/U3d1fzISrmetgdF+9f3HyKtqqEZONt4cXyUm3EwiDlU0LMo8SnZ03MJH1d7FXb4y0cbawdIW7OosNYIdROESSxw1zxkidRamhvj7kk48fJUPuhCtfBecmZ6Cy2vWErAhiHRkHpA3BKbFC91IfLwHYS4R8DTjUKTvf79lWHKAfRaC/YR5SqDMPBQ1ajnFuUKRS8BCTLkMPUTmq1U+mCIwnLKoJi8ZgRTon0VhHNXw0ec1uObA4I7Qxe8SQFfe1kjT1haopP8PqiqDlPt2lj2xK8KQsdfpxpji3klC014pA8Jf4yjztO1b1TA9ApYMH7tKtQyfBKqp+qpp31IxnEqPKIjE9vlSTZ6WjELaef7l63gbOwrb0rfAWvY1SFXiVfn2Mwn5VPPAoC5qXPqNLqMPQ88Fb2HDE83+qV0fHzxFqWoUhog6XgWIMwz8Iq3IDIlIErtLs+GCZ/uogcFeXsU4GPu0Df8AJipqL5SB2POdf8ovfUqntey1sTvv/rnnJY24TrfotkCpS2suWiE8f1IRlfcLWFtqk8zYeRO5wL6bRuQTKjd5UFLf9zLz/UKAfBfNao6JH+CSKHRTgOure/wk80Zp9hcE5jcPYhcGmscItd2oRr2A50JAWVpJaXOuefzVjTHk7oWFRNPOCscbM8tqigOF9D+C86CT68VkfgZJ+nR2PrQc17RfkAmmGQqhfBCiMmKOspiE9fJnpSvMT8cWOO+c5PEWbxrsp0h/CrVVipwwvl5PerxcYL9eebxdnhA+F9nbbiiVSa/aaSv98yLq0J33qlrK8FsZpOcnHgqHtCma1eC+35lcPYKq9c4uEZMgXqellAN+jVzXoh7sUJEMCkU174H37WKw5K7FRZgisfUlP5L3Tl/rYQyRsPolAJbN4ma/noo45JTbNtojt0djfWiHPiS2f9/1L1fV/bYVjwuIOPSm3ToydHZM2de+sBqpJjacC+ivansq00ytzFDMwNA0KkllC/fGPkXwEOarQzdBXwuNYn5UkLwZb9I47fF58DINouWcpkilARM6eXzeoN3tFetB/z0ZugSHwDX4RlGe6CVlG4vK2f4E6vi2vb25ONpzdyVXxh5s1R3UrHKkbiqtSaJG8zBSlJ9U8jcAUwn8HQL/aJ4VPYNU3zmnmQ7zQTrgS52tSxLaDRTFtyCr38xSXNRzy2nf3oKkx1BVAcwP2HJClfcnF0KYcfbG7II4C5fr8Qik6ltHfcxgmNVQyrpoOrGF1gz2njFslPB83MY+pPxci5+dWrHgxKcqRx4pEtHoMB2P7fiCy6+DU87QxZohm1Uq5/1jk+eWPlDZg5utWylSJ5y2HcZImRvts2ldDap6CBRO0qez450pkkUCLDQSgua0QmBgj3Mg3UYz/NvNPUrSsiG3rBwEKPrsZyVeUGd5Puz/JljT/83ftfJv+rn6TxUrhNO3TbUkj/Xwg1efOxCBi3Zo9ZW3zxqyM6BGyJGhARNtw/EmET5k9rjgZG4Ac76yzd34Y5mZngJOuprdXVgeZUeu548y/A2M7sba4i0YC+p4gxEqr5+mrSAmJxlgVOTnj1jL6Vb09swQAlNF3UA78r7V85UYkwOxahn5HD4lVy7mLfqnCVuJLlSYDup9iR0eGxjFSFoZvhE96QV6smJ0MZYEAUibqAGjNh6DwMG87q4nVzQ708uwvEyxJYllLLYfmenV+muForLuhbsfaHyz1iW2KekN5wZneYAMmKt/x5LtEcPgT2YOQ/SqScUT/x+D7CXwYQt9m1XTeNJp+fXvLbkgFtvqlx2kkz/S76MT1zE0pZFumaR/cbNObfpPd/gG4i0zw4gcKYtLa3Hf4yIUsBQL++B62lOTEfbaDcIRNZKsGafm1aywvsz2Cc9I7OQ1sOf7UVOOuBzx8FdHdZy/zrqiX376rvaC90SiC/d+2hgUgIGelFCAszQQyMXBy8DIhvu3UZwIb89KNYLl/ru3UtBkmpxyAsozzF+PFhg2EDcVx5PCmdEY6EDOqwmoeqTIu7bWOYPQMfx/x34CqparEx2IFNpk2cBbjyw7hm4M9OVo4KBHZBNL8sZh+lo2YduV4LOeT4MbnDHuSaigXkooIlFKCSHja66yFNwbSSArG0c0t3PJrOPgsX/ZZ6T7lXVa2Dgfsd7Tzj1Imxa9wlCn9G7WGgVaoTED/OX3q23NerflkNsCxRg60XiTkH2avNzRr+uOJDg3qbwKJ7bWyVTF4eCgYr2qUa2iOxr9lap9zk2jxq61fMP/ww1la+vDlGtCCLQSLhGquZCacJkW4Zu/90hDe9TGOsD+g/JFEcx12rl/hYkfY6bwZX0t4aWsi9HYdnz8Ef2czDQAqc2jtNgqVeie9ALR7aQ1FHPhyqpYM0oTJHMjhfWmmRM60l/yNhe0cKRQOI3ugcoOJm8I0r4A1YVuLx4pvPkW+ds0jvXDvu3fMQS5+wpkmxbAK+C/Usce9ZVX64ZZ2v9u3knzeFkuTvsyZ/7ul96aYLftCPOqK0DFUezpN71kxQdVmFn2Bm5dAkwJEXmVe6FJDVuWbPBKEBnq6jnnr8/WBc9CIP1BpdiVKDcI5THig0mniO6S6UFjnsW9n7ZIM3cPDLzZsdkLUFJwXYyAJzHgVcWyHMMpraShFYXGbqHAYlA/pzeOc24pLqMizUk5eDesvE/747V0RLd24I3DnY8ALkm3Ck8nP3bcgLLB0MW4JjXSQyz7/ctc+8Sis2B2Beyvc5yi54MacTJBRaaRLiNGj33DCT1B9M9PM725BQEKux6uJAvankY1+Iu37HwLP8VYd/ByJFnHpAUbEsReGID5K8czXslKQ6L4GfE87NrUcpSY3sfeMYfo+NCy8J/n1M5RwwLEQyY2Q9S89rdD3H1K7JD+9i51S3lA3tGfIobV+gZo3TRVkIhx0XKdT3WNFqeFiIfJeNetp7JICsPI08a+4iRRhLfE6XU1FgzIR6OH7cqDVP3cKAmT2DOUM/xMylUEczJNFfCL+jIFaBQGQpO35eK8/w09wrTCL9FFtobqb7OFeJQ9KewfvlTePWn9x0nMLYu+x0QRitpKlJGTwJBGVxqHJp0h3Nre5NEPwPsP5T33v7luyCyymIW4UZB77+PUun8Ejs8y92ajkTmh+EL1bSSPLxIxhdIWVP/k4Uy0HMsiS7Ur2ViIo7V8WUTTNjh+PZR0CNB0uhHsgckQiTLI+drSwju1AoUrHwuMNg1qP6GRf9zXzbRLzBH0wUqZw35aIqq3zac4AxBvY+y4tBCwo0oc2f9msOcbvuByo1uJneIfKHOO6uyQNKRfeudOe7Zet63CwxW4jRX6s6Kp+5E2oE9e10LcMGCj846nyBgPuFdOZ59Gridj8ilUyAgmn8XsoBcAcbXo3nubJfuttm7rEDvfTTSkWj+2xdxa9ldmHPLrkKrxbn0wq8Cw7EISo3kcBDf7z9dO1gHOmVSPFEu8fLngZYZo5ydkYYMWjvOuo9n7vEFP9Qej6rlh+rQs+rDlUwLS33dVk2fMIE+oaXptjqrEMvkgWl+gA7zf3KUQGLUGkp2+nfUthbGXeqhXuUHvBtjzwh4gYQcdtE8lzOebKxQ6lF9sQt+DrCqkn27uwqmVBsgVrps794Ss8ykbIJWU5UfEihW2nzTo2+KDjRS6Q5vqdyEwV+x0w2E/8FciTairDhKGhSGgHV9VNmBKlxIR44I97rUZzjDPyyVIkMPCtPQo2EKYf16hdqnuEmkzEqKntY8iBX8dcncCwDEdsA/Jg13yyEKSVelJAn+62ERjk4GZbMBaUAcWoUIsduwTsnu93z+Vm47yvOcJyfRhhgf+wNdfVRL1m+11h15JcBY1t52GZZb+iT3SvThUJHyDfDQd1ocLYoua8rAeDY3DuzN0sXAWxMDXeivYIhiHXD0Cjbw3Ap82CC5dUqM+11NloFuVFDluHHCb0DwQwJnBQdXu4aFW/4gh3xXYAXbs0O1/uR8e4pp9Y459xKJTgqSmSxRfXbm1Vxh8Ed5ITW8tq0OOxVUZjR+SzS4cev9h2dgLRmpXMdbWpFRlIdIsIR2AABVKgLJjPTUxO28wsTyccMMzXGzy2rWI4/Qo6Mj/bTkmh/NqvtPK3OadhC+WGfQI0qqZ5H5a9x1STwpZmxGU4z/20RKEslt2+IByr7GpAF9iow4BRgK49nxUZCHaRFxXNjuAminNUFt0lsytq+x+nW5jfkBjHlPO7Eol/+lO9UZRiMYbs4NWFnhigZxq5MAxwiyx1/sHv7hpu2u9ChEIoNsyf2Dtmur+upfBEN2UpRhtHo0ef8+QGeirrfevBOggVQwWPSI134zFs4W2iBm7j1HcX2TBaBs3N1vAzQX+bMRlGnyNEZTU8dxaGNCALphZ4idOLR/LuobYMazUDGGCtpys7DbluH+zTElniOPW2e1pn3P4v+6toIFYfwYkMfW8eqbMjF/h1CfDcvNTU1r5BZuDIWPEneC8kCrXzEz4rSPoTQGFqmr6OktNBrmrLjcEPlZh9mxKrY4LdeQpyU0YpyGKDIKGS3IIp78qft5UgveGzTqm6MbTIH+jDOh+ZuRybHKA/6bplQ9unrLXGHnsx6v7wBIxAKKVOTI0JNmhv0hTfHJFgV1N7fXG6aRmHKsHvwGbmiVQTsdY6LsBU+72snPcBS4lhHYVP/ism1wHpLHCaUTGYy/Csw9S+8aCuDjw7xoUTWQaAQMbIwfS9jUAU9c29N9cgc4GcwzfAjcBtr2f4azEynxQVo/5LoMPyN4JGMtOmYdFP59lf5PhDpUeGkH8pljsqVRidSkndrhDTNmGBG1n9MJ/1Pf32R7xQMmtuqQ4Eb+rKRoOaoEJJ8DTj4bq3s3KqmIgChw50bjqEVuc5NuB2BjGUgD8wAPyHHvBwvXgzNYI112kP+DsVady4H5Ra5S3noyd8s8XIk4fAlQViAuGX5Fq0BNUnon3PgggJoXQuANUE/9JvM0M/MK60znvkW5uy8Q9TXSSDHMxwG4yuYAQZqWlGdz7opT39MhzFbWHq/yW9A85ndHphAf4rvlgtEuP4TAx1VZqQBGjTn4bYo2jlF5VcXojHy1ehirEVOUao1E9y5MJqI8JPOWGQ9zxp3iG7Soj6/4pqlqoTEVYHY0VcqwAVr7vBWcK+6T/3xYESGv4oZ9C4duEBVXvBTLIv8ej/24g81pmZB6/1IDzVGkdPTYC0raA4kauDMngPMRHw7wfVWlknS43JrPIhDT0taY6ESYl3Y0JjTrv+esqPfxpBJ7XjGJml5yTnbxZ2Q1YtX/+vuRoM+oUQ1f4isetuqWCQkVIYo4d0hLLM/X+RIhUYg4p5wKIQvIzB/zDBWOycmBKhBJgHePOxtcjTtd7fxJYe4hr1BEMKqn549B8YZFebocwPx/5oW184wzc5aSJPhWe3+EAMrmbAdlJl3OThe7yH49HJPMpRlgdBVElH5Dj8ixpzf79Er72sPf3RQ0MZgj8Z9tN4dKLpNONOJE/N+bmQIdEkrHIju68LZhsPXnI9Uy2x9LNBY8+VoQyz22vF9jzEZh8P/q40K/qE6jtbDNagT7/h56Sc+/X/eE+zyXJaUh1WLRtB51ZO+6V06w5U/7PVlqpEuLe9QSzwSOROXmmhBuQnlC7qAqMmcpMqZ89dVIJBlJEmRTPIxO+AY5346ppzxV6tcx52dlyHK61xUGg3C+Qk2e5A7Wwrors8hO3aZHPsK1j3ucJ3iSys9Qe6QHSnP8Olyv5rlji8kCjmfUUnBzGx5m1+Tr5dE+FPNhBUxKgD4WE5mUxdzHw8GRcm8PFYLWyERVw7xRsLtyxYeoBtWNCR0I6LQt82Liac1Ms147TbqZvNztmRH2akaIenX92+OmT9Gr58JVXT1sGcXLZsFBWyqylcwWi0Z4mALIU15AhOy1/nYWxdxzyQlhuN/dxb4rX0GLFqiZ55rKKK9h00jj4GpYHRXoZFcJLrPr4SvT+gE79Ed0Y8CQWlKwOHqZmkn2YRrF/u5ritjmdWilL2pL68zvWBBEQhoLtnsrNRJN3fj4tZ5vBbUagqQBrNU26EztIeECYuvoxlJEO4sMlpsEjCPku5jHX2lCm2gKgzmJsV94PrI9GIkL4kygBe1s8snfwSqo7RHPGeumYMbsQrEvXLr0wHjIKJ1ghmbe0Z+d2ZnH1KVHukdY41fDB+eKIc6ATCZUexWXchcFiFBB0WDtxfBNv37wAN2OwuO0B2Q4wJmFnMG/FmbboYMi67OFrTfd0lMlHuTgHfHAZOLxkYO+OmXzZXbGOznlw9tk1PuC83TaLOkNA+W0QH4ImI0bE571iaYarJ0ovy34bI6JUbrWZ5QEzwKnOn/NvNqJwjjoQUbYOD11knqIP034bceJI/mqAutKGuuEgUyjdm+SEH1i0Da2rsYSMxPFTLwZ2u3uxTjfDRfFUiOJ7iDAAVbfbeAGJzhq19vE9FfZIOE07Pcoj/n+RkQiThGIThUqZujQQ1UqaWcHZJFCVAgBZ8Nd1nDnVFKKeJqMVt70HInswSBtNyZdwNAfqJONX8m0vFGNL5IcjkcTSxngpkS+IO/GlyRZ3CgD4ZkqTppFDw85hLOWgq2WoA01gHbUBVgzxUkFdAf3zjIhXc9vqYYDo3lSd1p5hZqj8LUNVQ4o70nNF1YLuQzlsxb2xy+ohXSqRNOnwOjv57j9/91DYWvaInR/dihuFtBpkx3Lo+6JrgWVd6VMrNjlaFRVGOzWQ1neViEK0yMmTaOoaWdL1qB99fbEkOgDIEzblpIZt/e6kc3sHHyMCuXAukFszkvb1Eqb7U+m9dUdUdFSTRoE+Xa7mV+L4nE3OwOIEHS1iASUZFpvPtmXgHZy3xCM0zQTOo4pnwied1wJdXC+BpfEf98KtyKisb+znaw+rnUUeJjlGs68M9qWt2v+yTjJKrXErzKv8utT6v1WDl53mbFd4LQREcJXU3o90qQM0dptT+G1u7afCU9sArHZhv3Ka1Rtj/EHv1C3xSzARfT5mAo/2le8sZnvfB7vH5uhLFsJr87i2bBunRg5g4fXjktOaOIEudVZgoHxyLNprWn/7y/61PEaYwUe9dXsnZcHLardkwL6GHvCZIZWR7c73QbiMttT35SjAENnNtQTAmMzV3dV6zTVN1QPw7yZkUqQl4n0fdg8U+R3qgyMKCxwf7Ymacb8rc8/fgmlCcGDRn0SKIYl1yVzZBoMoGM0rBKPPhNn3Elg9z5NXokn1OGwG+Z5xZZLLVx1zme6GbGY9sjjRqX22SQFkoyiOjnO4M+nAHinL4ejZoV9hFn6YxZu3h5y+7yh1p+pFipLPQlTKNzVdCLcItkrMKB0qUA/r+ajXoPJvd+el6xvB2JHUW7Ym2fUje2j3rPVO6g9uFKfb9wCMaogQIiVlug5IPATTJxdWGet/HWquyvqGxgjz0kKeRW6F8PBpFeDMIXICHbIWHoAUeEE0NJfEHwV8+UxU3jVgz7urvMLZd/pFRrg/jhNL3OhgxRHFkdAQeoB89ytjh40fj7x1dQAeGRrRocNFZVSGDl5jfUPobYEDztlHRB9tZZ/31Dzg0YM4H7RB7aCBRX8tUi/ZHLge7OJ+GTLgQR4BuRyhmr9sUZue0kjyzkvKfV4o9B9v8oGywUIAFXf+cldpzGtRK/rZ85Woo7J/NIybx0WY8RB2P3CFahR8a9tuXhUJdgKxpFZOxigDf66lI2LEhgbdVRNhQtN3uO1suCcimqoHbJo+obd3eidPNh5LAbjC3JmycTMIblFxjGxNnBmgZ6VQW3IMQvlxO7IHGvZan6WpBmJPiGfkRhwFTJsli1ea9IYhSfCTcya8Gd0NdmYuCGpFgGKIwjEs4226rtKuKnOA3rRb8rEqKl/u9VRnUK64Ri60MIEGzeVY6YOZX3SbqiegEBKoyj6oMfdEb34I/sLDJIN01V+c6aKVODdcZuf9z56yONK9I8jg+sXafilJMnOplv1CZo/bflztT18Cw+th6rLh8Fd540dEbaWhLXUo+vi1WDu5C5fu9At4VECq0VWbt9OthaBdYN0taqJXgdd6xllptOXiajOJaCEvXuG9tLZte1A4HHUgw/er+fnYtfnbpfteLr0PWtc4CDCSel/YqAMlw/NF/5d6hxO1gGXdwj/GeZHh82KrJ2/xjckRNZGQKdC0FAS6JUvXOUEXUHQoAZoF8xP+uTlqAlg4L6Y2czX97duR4H/fHem5N/Fu+iuAKpmm6jKWhxBFSb9d++HAK046J94ODQJB7oZNniUs1CmfiNc7e86XoHszCxhaTHCAA2LdTypV2hxQ5k3zuVnDJGi+T+aNBxuA0xBQi7ZmKlUBR2IHIZxY5y0PS6R7vXfBupLeOpSB4QQ0oDLDrWCNQq7cz2k6D2xAKuyEr2JD10i9/rz0/fdgQntGUus40DsOuRG/3KTVBtkZq+yt8Z6H6BJFPPWMM4PLsnv+NeDPtZrCAGxbpMIG3OE39vPNSxD9TC/1bvnXR4AFGhKg3uzWblPzbzRi4Wci3fmmY2EV5ec6sit3sw3NbRTeN4kmgGBmzphbhPrJyuOKY/lgF62EBYJdG4uA38sVPgY7651UY0frO+hULII2tCfO8CX5GGl9zKPgeeTZmkGpmwVkwHbhYY9eczlL9KGuEDzPk3qY/aKvNA8r/O7BDEyra4y+xg9MgXikftM9G7pKbLorquWmbBF626shsOjgkuHkUex6MGsf9xWWvjntoRy9BJMo9zDUkRXRS7F1Xk/BqbwkIpc6TlTr+7++N4Gj4LW+Y4NQCq4mhXb/zoAd3vdNprqYyd3OoOj8YLO9FoeJ8H4mnwo+g/qdr6aTvbLOOJI0hGUQ/o0qzw7lm5bLpmwacjfDrNXYlJ4Rn9+xvG475plD0wSEcq1EReu1cOFTSg677QUIoH3XmLlUwsccKZBeRWGSR8gRgsM3onJmmArl6p0LpG/wmcWevnBaVlDnHocy4rWCJNtIg4+xOqZKH0iDUkJQxx8LLSK6xgP3H+jWxYvo0oqh4lDFVYRWIRd9M+mW70nj0w7OcXd79EJIfTMLzll6y+B1C8GvnivJVXv0gtcK5McamdiyzGQQjrzxtFF2h3spgOU+7RCirJ808ewrZCsznoZynpEUp/P5pG+3qUzJ6iohxTrXKe6NhajobbB6rAKPH6EZHig5XmWElNBzjK/j+1HUuxvrwMoSMlsk/yA5A/nxtGWsmoNpZIAgfIihR0kAOXyIxxAK1PISDZt/2vr9DE+4mrKqhatkbPL3PUVH0hyf6pI15mwo+j3MMW5qvChyO5ui6vf6KMtOmkqb4j1gBXA1DYERdLFwauNZvk5EFbDZJ7eNDy53mscquENGK/6ToXKki94GVPbQA2GMc23VW6Vh2cWpY98n5raoB/gcu7KqSGRZzvFAYW/vVOVdrhGpu4lZeGHD+HuVGTG98kIm89BT/Y9XA2Kt7n9s0EYQUM4QzEqAfLHwlPXa+vU7rwLx5DbS7aCykxImR6LCtyd1dCpDTGz9AEcaeCBMy6mFhfJ/jRn7Ket115UGQzQBVd/UPVAtzbDcDYIO1kpNUhboMmttgnn8PcQ6QByIc7WXKPFd0LcjdRutuVDxQcX82ZF7dUpCRb/xdkyULM/JqRQArVB132y0RbwjxXBljMjjrdlxmGEEcUVWYj0Qc2rpnx27y/gAE/NFbdOojxI2dwkP2BUtc2g6rRBag1rCt6Vb4zL0ot9pK0bH9b6kUnfqvh13B4GtMotsRSr/ZkZ7QQAR1tLWg3zJyxeRuURm5hGCaAEMc0NH8IDxvyFR3c6o57EM1b7f1aWGa9f3ED5EL1yIacErqbPC9BcH6GuVuBqFTwpgz1iEnX+zwTD/GHI/lmqGqbC0czT6MfO/BrFSBqvN/Gb/1OMiLwZ7YmMD7eqSpHCI+HexDsx90dIVXSHQVEKibcLDI7y1hqK9GW/g0rL9Q4fEhdjVAOkP8I/NbYxATgYDn276z+lM/WPGtRHymYBAGBrsRgNgveqYcrqvbbzrrtZYVwHw3BpOKCdcFDm0HtePI8CscbslRXIbNhhz79+iWbey+ExMNhLa1/sFZCzCLa9amMKILMVnQXOIc9Y26ooHQgF8JJ8PKmzjYJeAei+VFaTczMGk9x+oiXttRJsRR3pJ1uHCM0auhYRfNxLyE60jqqLYOmvafhOex4PoBYk9cbcwFB38grqTxFTLU/jiAdt60zbxhF5Vdc/4zr1s0ILuJKJ8oMNDDA3t6MEFnSVHjazm44xwTxKLoCJXYcFD1PSwfLdtRd9HnWPQxNUAFc/32IAm1Lx7egJQedkv+VZcTlBlU+IuHDj7OBw3LmVeR6UH52J6p3sK94A8MF34WpSYS3u6sMx2qMi9hixEq+fv23/cLiOMEfpCr/XpdbtR1UP7915KLFrDiyMWobOVsvjEdRCMDW/ks5r76DJ+/peOg+eY/xOSiKTCtabfVz2bLUskZVXAslWOWStbRRtfs+mZa6T/mOratYX5+O4u3MJXMMTh/P48FMjbc3BeiVkjA4CtSFzY3NF+2e3hjWPfFNd6B3T86SZCJ2j71gRyJcuwNFXjM1YJNxTknsBc3SCkEIQIOuAUYFb5WqUCiK5IdWsDRlylSpemBapKHC60fqZ7I602urpN9HIlEPxkwmi0ctZGtyl4vxtESmL6iSruB5R6Ro59AfnwTwLXyD7b4udtt/ptkPMAZdGngLffL9c+OCflRvmqcqTL2X9d/Onc6kIa5LsgVdf5L4Qesfit+CWPRKi81gc8HjLAWC+13TL/QekZdLfgULg7UcexLIb4b7+l0QN1QFnWYW8oqGKDzoULsab2kvr7peVG8eSLISxVaydWRSkJ/9pQZPIrV2uuneYz8ry2T4c5Ed5mxeriwF92Kb8kQ4ap/U1wGWVc+4rr3hmitOahnhvnGAlG4XkI98OOzsvFF1I+Hb5F0E8L2pTB+0rA6Uz/Q+UyhGxvLGOMalZHcQUxsReMNXeVxS1yVTSwyoI8PCWlM6QwGT9hhny8h8eqbRRBIoinY2tkRvjGlagRstf294fx5kO65d4VymYkQ0YuUGSOep0y4J9ajQ5W7siFVoKJCA0YBAUOf+0Oh8nqqFS9OuIeoyij8jklf/azkWoCBkynsv7v2X3D50Ec0huWv5XzLopWX5WtoFuGyf3kxaop0FaQkOzITtuiHFtPh1zbmbnXbTLNno6PiXpk5jVOIx8RixeYG6j/NLrGv2yY0OPxIMd22mPly0tlMqM9Tbv7M0RJtNj4kaHIM6hOp6Hg9YhvusjMiHO9Gh9qs/jAMJbzAPzoVYTUWDf9KcBlFClSQfJxrPelqmL4fG4eSG6FAXDzssEIZqFHRs6Iv8y/Y8jhrJJxqEi2xu8ZKuXw03YxIKfcYigCW353lDj89NRYU+8B13TULBwCkds/Dy3aUttT3HMSK6B0UJ9d2iqPUTTsP51SoRVK1GBrnxpimgX3ux6v0h5Un0/Lfx3Ei6HTHnJP+qCzbkx8yz/pJvFwZlYZiOgKjvik1T0ULdPGYk1ZTsDPK3/WZMJzJFVkyvUmoADUCUhsuDITj796Lyyt4febWmK0veV+22QdVUvS4/yXUmPL3O32CXpsodko81WXbXh9lxFNRaxctahUCNy3QvoJw0A0Sh5MYs/fD/6L9Ii+GNmlxIH1s8f4ZS8O5ixOAktbwj/+kMZAE+4E+zXrn3LovLV9kGr+OhS37HYNzJO15k9zN5nua+FMnnvROpZHif6d2MB2QSsrd0gMLq8ydOjSwlcAP7QNxyKAqAwrtwOghRP+8yoz/zbve5A6DcaUgGA4jdJt69hUCx08aY4OZjde9PjSsrkfSNWdH3bNnth4vMdLUfc0C9sQWMfJaSqSv53mRaxYJKDjwSstInwM21KgHXhG/yn76+75i91bRTo+wfXGUKm+KSXPaaUkZiCeLurQ3j7k/WlKiuTEUQJBGrBc4/e4ZICMapnEixj3aLggGPkis4VHke8eGoRVmTacgUq7bSqU1Adb8xmfliq6yierEp/i0SSvQJLvQLJwqSk1AVSUjE8+4tSHyNwSWfmXtU4Q5Lr1ghGrphYZ5UAUeSxILJigELhohtzkro+8AASpUZUuhRE3tBq1Xj5JyBrUPbOCTm+HdkPBeJ3a9hoZmX4wEGp1x/n042W3woOBhDD9EFrvqjztgk0vCe0GCbbRhcjXCtyAhr9Ue1y+DuJkbkl61TRUyXkT6q3ttKxrzcHUSwQX6NlbWhodZrlR7nvIi0hKcWiP5GaXSv3EwzBQqkXf6EYrjWVUNjukhsPL+E5kWW3w0DRr8SAUbCRQ7JHdle8oJFRAha9T7Mg+74PQXGnFqGgDIG3f/yAevttoyl8EDtWtHnCB2Qw0dIQhqwnoGGzpOPHPQwRQ5C4M8Vbr9gL8A2RcnLoPV9J7OlMBfcu2HTKuCk52P8qOAhZWjwFvgmGcrXpgVO+5YzRKrjqbOGpQO6W3jO1cmvRXY0BY4GlCA1AaZ0nVNVhS68IlmKv0/UwkhXp2p6orurx93ywRRgLTHQPiQLUWh+81DyDSTWNnwlcon+MrVhuGquTLj7BNIyrdZ0Sn2BMlMjkjnMBN7e7aCvKd0tSYIKVohw+OsVw+habbt04wIM2xJ88GgdaCHchvWFrxqirF2fh/FAcfMSfNcDW9eFolrT9N9mqpYJWnesPe69QnCscq3lcY6INB+hd78oCHce1g+W5wii1/Q4xCSFh5VwqUzkHlJV1cookcg9jBvkYTd5/sN0Lq0qKTl3VpZa6B5j7zUn9mxl0JkT4H13ryHhQcq9i5PxcKzIWcjDS4wzBZmCkkv3Wt+qtlVQ3bEYKW7YKh7+dxGORJPRnCb8F52jzw8J0a+RtI8F+Ko0srTLdrbzgIfQM6QLYNs//fIIY/k/yJ1QGztoCU3jU/QQJovwcX4wyZuOrsp9liN7qPFkE5B36EDb7avOoaxsqjfLgK/ezqDileGpQzMYs5rDEog+Ke4r+jdiETL2s2VtzW026NFeb5yx2GOcn3nvRGS9bcXe0x9oCsVbuHHHG49vjvYChsxLq2YzYlGq07+OobPyAsnAq5BkCkWywSKvzcORAo3m3M6ZZYfURoSN4hpROOftAY6/8WhZcPXYqsrbtTMQ+mGSj6vRWe27w5B1jSRHn1Nij9hqDhF0iDDlcI4T30SycMpkY3G4a1LrySdEp3xQYTzdY1yTWq5wPYHTb//R8g6J3qEKNc5BD8ZYKntq+/VR/rDFwA5+talJxZMhF3JK2unJb57+AsNorCxYJYIplzBXq+u0Z0XRSagpVfWw8kJfM7zi4Dzn0F46eM67ZpSF2zauZGNZyvt7N6Kkff2PFaCbYyKP6lkp4NggsBcgy4Cd2gsvsGf+opTK69Zj+NASP4qivgMXnNr+qCVyvIjaipAaFuehkbMjP55RFTaWocEJXIS18BnyWIn4NNsdX9Pq2g/GAiXToFo4SVeDUsF9SFNt3NOz5WE7EEo+14kzXg8Nh4m3u5KYirC6xASVOMcWoXzERHXWkpeAZQ+DkPl7F0cxjmvdrk6HP/w408UjzvbEHOxe7CSfOoY47In2VFKigfakAXzfbfG7LX+5f82St4g/YyiglKZY9kxRZyRF+NFCQ8Ky5n/GJs6quL2tXUXm6cjMByRMvkYzd3bvmA6+5b8eRf1T6I17qy4KKPtyhgqYdN5SjYmjvhHAcQ+AiJQXcIWbLKVMUXdOWs96EArCp/PuwQQ/xjMi50/vnkWMI5PY+ALapdT+fXtaOn1p6PNvcIO5BFcPoBn1DMJ5M9xqrVxQjB0H5BaTlI4H4l9RYjbVfp0J2vO2Kr4Elm0URoNqGQ9NAgXCO2arF6egkdYcrIuS7aJR8YLuIFbC0Jy0ZduW6y7LVuUmpqS1O4pEeRrTOL89DXqJ2XX12+VUhM5jkXwm7K6OlwirLapLIroJjdweBk1Ig1pTknWpXuO4jj4B020Wfk9WsdJZHVwPhWlifQ183sSR1BLWbzjFBfU4cKB9IiNibBkA9ohzsmXLHBmf4IBUSg/cafXop5jg3Qo/AzoxBK+KsD8+cQ4GUxmnbgbfQ+FafjUBiFYkoJ1cwC3/40zkxGts8N3SYuiFqPIQOLHDjfSRg3yqEfJPO0Aql4K17SM23oKi6PkNIq7YXVy0PBCU49uTxAD0TX5ORjlpZVUC1VpCw8nR/VnIqxZGqBR6CI3QXfaoMMwnRmLWL3KUeSCYUemRhq3jQsaNa5KlrJUhnZPMXbtCPOIpZcEeFazMwSh4y4fs9cVpiijlP2hRE4lrbYd5+vCKFyGag9GhpD7ogtXdRsvQ7qmStCjTlbjx9azmjoPDHuNuChsZpymbKlaVuJMz/1FYvWA5H2yr35yHgzkclVfmMsWvIdSjVkK/7ejB/m5FZ0Nid+Cdq0X+Mv1Ia9ul72r6ag+ZrGOCe0hS7CQXbT9CdqgzkoIiKrwQsr/+jG3ruv2wr2Ij8wmp8P5SSmsWPNML4+X4iNT3Dde2Px5ZEEiTq7XeH+DVWvVuzVBvv+/oTVvaD9BQNbT/n5R6De8zK249cirxI3XyV+W2ewnxwK9r0n6VoxfaVnyY+6VAEgaHE0udtdvDizEWRkHr8dwI6mmueCHYo/CePueGcNma7aT4l8uRVKs+7cjhnELZcl4LpQNj1hhXa6aoRpPXx1OTVInx+fC2F9tglxsiBv1C3voDPq5WOPbi0nfyk8f12GVIy9fiqk1fK0WV9gETh0tDI0QVZ1WdxY59XSfE71oqhKW3rzN0UU3yREcE4yirfZRpCYVi/IpzRLchK/rJqz6IIwV6PjR6cZqMtTgLenz6QymAynxnZ7OAFSkuffwqzt6s6cEOCz/DgMEW/xebqoItKifuI1wFSqyohOHW0ctAe0R7X8nl9Nhvk8O455hJzL93WUkOiO13CgQQj1NQz3ezvSeMeL3in7jTeQ4w1rwEY24zpz546qvQosa6Ooq7Jq7brx0aCyOWw2JCq+bY6cxOHOtIReUlaKrB03w2lAPxEuKmpWpt1c5r83RQIJqzQ7sMgh55G7t3hDcWitsreiOk8cPvkwEejmZWwFYds5FGRKpz2grr8yST/nJQCypCpqvirxFZOyXb/ONnbx9ADEoUopVIKpUZ31UDioF+iTAOXySZ44IY3lFaG/c93WM1bUJdNjDGBXE4jaa3nhtmjJMqcIdtkSW/LCAd7dxPjfPx8Q/1TIxndZyUrKYgAOrf6UkxYAZ6LkB4OGopl1An+54JOVvSVUbL2uoPv8bCKLIuU6BgcIg5HpDESEEprwLXbLCB2D5AC9f9iRda6Sy9AMCH0wJhSj+LpXhHMj70VyyKU8psnfzu78aMe2fnbEC6lPTYnaO5Ky4LUSpdd6JT2ndOPU6a0jw/3jKJ/R+GZlEa8jsO6YeotclVNGL29QbRLN1c3eMb0fBUdT26M/kc+Q+qBhChmmyc5G5uMUjUhF+rfhAIrLoWXe6WUbVuXyUysiAxESKaotLq9ptCjJIZTHuFUNsYvFzpe0fUjzEYlfWOBk7CnKLMJhQh+xEnW8Jc9YdZaWtWiR9vFnwLLvxXHpuhwnIorlI2LF1YQvZtqL+nRHXzHH4KG2Bzadn8Y23RBIFA0PxhOrrQcfP6E97mGl5islJGv9zNy2K5qUwJonz2pJ99g7dEHANIMWyoMN8bEFscE4hodzVtTeHzmTA0jI5silHYXnYe6wt8s62bPJ0VaZ/VkTcKEscLk18KMtsbThNIqWBjTtTeLsBM/9kL8gLBYkAP4CatywsT411CLoctbHx964lMcuJ2IHOeGzXkWmDwaXlBWxu6FZ7T8pt8uGXStTp9OgMaJISIGe5XZTbyY/JGQCwh39a5cGxdg+vJm/L+dRCyKZ3aqcLZuFa0ddqyIYMwLlIXnmcDiD2JIje3JdS5wMrWfzaW3BfW5gSvsOGeNxxO9XGSeZ1PNLifElOD8n5fPIYThiiuoInBACdhoEowa74PIfFFfWKkpjrJ8UYPYAOoDV7ERISp8J4yCNrEeAir7uxwHVMCHNcvEECHzBN1C/OboU52XaETUSm9jVEgg09x20y2vcEtjbLjV5ffSpARThqCSYUegTEHa37/NXgOMfBVPVXm1qonkx3dKF/zBjjA/CdobGIUQDoGmybZ1zVpZgRYj4asEr7/ZMUZ/zBXrdpsVPryXM9jG+IRQKvBvXQ4+VCYViXYbre+jM396Kwmmlr0HuamPWAs/8dcAyNFqoh2xU3PAISok/bICIiAdeJPOccriECNKRae3vgvLLHQixVofKIM8GNOjHB+gKI3QWLCBIdYyjnuCujIelFnnmhYqQ2pJR8sdHkLGGYdsqAiBkXU6EBoynAIseWPlm//NaXzR22bmHXukyRcucUZbVOCKxQ+IPCQNWn1CsLtCngdRQgoRnKtbMXYq+Zho/f1wn+o4txC6iwM2U/BIaD08cegqd2RWF418KGRPG4smiCAukQX7Ai8HZiEQ5nJ5wpTzsWIVShigCzfeatiRdt/MqKQSw7z7yYxcLaMFCrgNC95xhfWlZDLEDtFs9rkPfSowGRBfGgdYpPPmAoYl0NFH2weDokuIOauVmZlOb+Tx/kPXUOeSiK5jiMTlzqpnPukCCSxpsXEGnqVi+S1wGyGhvfljH73GlNKPCpUpN7WdWuYLy5tDyEuW4jvTfFGHtYnx0aDVGnNDOnCyspTuommi6IEFbCKfqz1dMOc6YkYejtbW4W5v/M6bJ9p/lX510u/AikFa7zrw1AfFiP4lN8fYdCCLu4Ajtw7oP2y37WGSfpl8j7kNu3im7risXcjwmzvP1+m6w/8VhKZiiHS9gufIZdqWPKa6f/6YwVsFVKI50aKbwn1I9fGYvqCyjopiZQROjtgYGvRl3NqoDmjtoomnDz4a+GrEHKXeq4/WCEU1sY1IcmnIz6yh6wh+E8sKywjF9Vxhj94RmsLuCNmeJvau0ZlIfR+w3kO/eZ25ZmsqsbPhP0dQaP9XXJNvBlXe62O9IL3Jj9dVrArr16cG5iw3</x:t>
  </x:si>
  <x:si>
    <x:t>LP06Cz9d1G1uGg5uAG2/+8/rOIHCl6fgyhmMyorkYP53yWG1WMOzNlSGIn8A2eC+uLcwqygi+fiPwjbE+cx167Pu1QAknpssq1d8hGrT4T2vGK25NVLFYaWxrazmBXDmt9bDqHgdpYPoNfg8SGeAX2ZtyqqtmmEH50jvHglIk4FmwmVyIm0vg0RkgjieKzq2OaF+RacBKzi/+hlcaGReZ6X1vfGQcTwdhFDkNb8GnHoeD/ErrpOmLZa0sIl3m/Mq8gRQY92NlGPo0SI4ZsLL08b4CHNI7Wj3/aC8rzsKYbrM0q9HqfJTA3lGj1zlc6qUSgO2loe0TkotOVhT2X9mu3zIWQXIZrnvYCM2nAAg2JL8x+UwOU3m4sWA5xcyX9woWRlUEyQ26PNzBaGDkr+vffgs0agcv4AWWeZAhFbmBMpr/BokLYAaiRSZ4v/QsTbnREKNQL9U1LJ8ZMbaMLtlf1tMXDwZFSkyyh5m7ELvuo66KY2SdD+SCuBIfjIunJcnWP3/f4RbHZBXhkojDPIsKDA9/w8YXeDeaHqiOrHgzY/6zXptNxTI0VQpgVBnin66CMZ7Olxn44fulFnXyOyDAk4E3oaCRmaiCvLmgexG+jgeL5mwvOzq8m1hslRShQwOhIScOjJc6rvdCGSsO/pRTMbNW3rzTom09zrT6N0SyWvdU0g8UeapgesrvlCfNZm6SbmTZxLvvecTV/eYVE13vJ3NFleJu8CsaYzXSGeal/YFseBrA3ys2nqG2+87zhPiMCJOBJ89t9PZfySRpGADttrmFn769cMTX9W+49gF3rrgRrJbfUGW91ldxrweicXjsUBi+t7/IOpddowH2t0/Z2oV2kdJC5MutwigLNvSVEf4mXSexMYKK3HnGUGDsgzkiy+/I0O3u4vujRMK/Cr2AkgqZ4S5z8GbWYDR5qJAM6/KKjahh8wdVtFgSVZN9LxCnafrmHZAc6H7dZ5iLjCSnpVsWbB7GuW42l8iyjWooXIHMFNDb53PT76w7bVNXwRWxGThcK7bOlSTgfE041KCwD8DleV2LP0EOmiZFubbXBYG1kKyt1mefyg4+J3CQ64ad+mDYy+bTu+Gq0JfZyRrUM1oLEs8Xw100FCs96lfi3EsQ0Ge5YDNMeuh9WEjTXKlxqNwZk193o9qKm/7mRIGazdH8YV5UenCbQ/arAs4/EgEr7Uz9rLyNv/I5M3249mEfV4u4UwS7sEh2eduk9g9No/A6mSDt3n95GDv7+IuPD+UvkUMdhaLhgIC5EE/jI+Ok/azRgUbuq3DILpVQzJQYEkC7qaNXlMaKrMaBe4bhewzEz1lDlfvimaTJWo5cQ2gqa5jSGzXy2OxksYjeXS6K3KljD5Md51Ke7Ns6Pu79yg0+8P8IDn2STfb/ogvXV9jxef5sQwYVlqnKwdgnMF9835CMMKAL7aZ5Dy3UV7Zk1W0K8IQ4+1l1ySEHTCceRrggy5+rkcAazs8I8c3T/wdlswj3TK7aEyvSE0n5qfLp0Jwe28Qwqwyrli0nymhHapxaWJcueXKei9Er6aVKv17FHpCHZ9KLuzxZx6E0qoFmPvZtGbU1e+CPYy1+Nsyd4IQhUJeNa5yA5hT1A3Y9eWtN00aUc3HCz5sa70sQL0S/4K28fmtuhgoDUI2XE4z1Pl6At+H1RRGjl7w4bOXw1m1Fh7KDKMwXzLyljj4cGTG70BOlVbt5YnC4tkRi5qzcyZx2BuZ0qXmjV1xQGGH1aov+5Y1E7n7R8bff2syXFC8v2rpkoeOTDlZAcYB1HYvxdFk4CjNi9UV7OaWkRonUllW55Yaxapaxl0RAJ3hHK+Q3oozPke/KWmko5eOHVbLuWGBpbhcUJih9gsp7ljlrMH2ChNdoGs8820e0vryMfr89WJPHVS62aOmrte7KMPfLM0nAHrSGTRrf+Fu0QJgNSkxf0UJOoXNuXvXlJxF88QWIqmQmOH+Z3yTx3/5ahiXfO3m/MYz4OC4eTLVlTo+KGpn6LzlXneJbaMqujSXq9G37giVoRNk29MiJkfhj3JQdjzd/ehCVrCt16VoGsBnn9Jgcp0XifcbjEVKM2ZgNmdCo6zDIuNDBJzivlFV5pcuuoE0VBt1qHrXQK5s3PbPeNmVQy4Cq+1iEJIT6IfS/Lx5lTj6GcNvzm0GFGX0rBO0ty1cl1ZyiVn1869qE0cKMwIjIMD/aZIA7Bi5eCHwOulIpC8OWqwsyaVt0BuZJmexoSMe6sV3sVTvJCEeLDvlm09Y77+xWdR7rEsvC/CGkCpgJGtdjc0itCr1t4GgoBHp11Ret6tTKAt0C+1Bg5+HuLN2Hz/WNW+qBzFtHh0Cx6cPVaoGFDz9vP1/EKJIwJMSLM5zRVVaYLC3bSiCIcLzhAYhXxhcK1Nx064uHebC0LThLw6wzh4E08i8rY677qJ/EeKpeNRkiB0NrgwBGIRzFtOsTnPAw9e++BwzUXbwO3dA/nJic0mHpq5FPC3bD+2R/ASraAf/99pc8BWeXbc+7NhNk1r2RuSPeDsLf/VcZQrmOrLT1/HpPh/VA6+F0On1tqcRfmYPR08iXR0Gx8p9BTLjce3ljD6/gD2WPnSmfAilELPAzo7BONr7EQOj0I8+T4loz1PReUKuHphTD8R0i5dRwZ1TB3Xf+QFYt/YB24EqDAxa2JyfcsTdsnlTJh7ucuhn43SpKeNk8lyG+kPCKOh6ZxyIPPClT5APuyybwbNhMc0EhHs4/Y7iF9RB7/0to8mhDeayNFShurD6MqQKn0g3ocP0U3Phz4riFmC7icy0153wASlAl8eiZInTWpuLxSdWehU/9t7Ep3NsrQAjxWR+qDhsMRqvLR7YyhzerfYeqyycUeeJEUgGjs7GdrGKvIZ/tHVnQyhC8OD2JOF6jC3V8G68CeRXedumqEBmG1TZY4/tlF1LRbKwGB1jQfoMLzaiL60bdFJNJYtj1MLTaY5U4dW8e2BtLAq7g4QmVj9+/3kzCpyE8nzQV3QAfhXbuAKq/3J9bIBYzNZLGJQIsnNW6jDr+lkJkL0pqB2MArTK/yxR2e1TY1nH5awDpFdTtqnPG7jKJcKGvhTDeRK76j+n8UBU01PyjrabRfq0ypDj54J3kZKBRUjHVA4gy5SskRmaiRIBnQzPrc4BIWbEh4cSbYF84O/u+sCaTHGJ/ddSkVYMX4SX78OuNfJ3jxGKBMtfsrhArUyqDYAAXhLssCiKJiXG1uMqAPn7GElgutnMwAu2H6gsC9/xfxUBzrGCNt3zrY51aw3H/PLBSE8bm4rV/Ay/J0BYiA+nO2DjfEIGQpdU6XGzFpWlrCSP3d3w7Qxu/vEROXUMg+B4ixofc8J67kJDBMpbWv9zQogFL7po2tNHv4zGAVIqWhD1gvjLMLQ4C9AscPpewy3cJvMyfw/lGytYKAcpt4pjJDIOzgwO1Z3GcaFp1blULtvG0O/QKZVeJfZeKN1uGo4+wX19b8EC/EWR9zqHOJOqWiuAVjNpGdR0b5YV+0jxXEDk06J+R/9QgwrcFXdMO8HrFAhAn7e9TNKbmKPxcldgTprzan/v+juC7L0mSlJJhjcr8pBBAveaZY0XdF7ZjKrm8nUUg+cInWeILPIUmGLIMhr6FLWmHDHSBnMFdM9wCO0DaEhdjdcylcYZPBu7BkvSdOrfdX2ZcahNJNy/iwDneVjGCBOiicnuojTUjap/m1sfYbKC03DeiADwKgcSxYoIeM8hG8HWjovfO51FitdoHplAcfgttoOm/cFC0dC+Fwk+pycMWxjoMBDDEJAJzdRTZnUEwCLWeBMYM9CHMRheRiZz+GM/s1S+RWRUaptGfVqXkf5WI0czQJ3CjB6NbWySdmGF9ZMZq0RP63UwP+3XFa7N/tmCIlEBsvOvgT4BlvBpaOO3CpJaODHFFMX8gJhE2OdrRYZZJ4qzpLhCljtzS0fj/l6BApw1HOXf1a4JdlPVc2uxOSDPxopG+HFxySS0/rj8hfMM+K6Tl6aOf31EEO4PPGrhUpsaMpa8R5cXUZV3kAU5ttfkdXp/cuQ4FIH3L2GpO6du0l4spalrtXV0FLAdMDWv0VI8SkKO6OSyYQwVOSRy79XZgrWgFIOMbi4lovKnUIp5UEn21gvSZGXkr+Qb/UCBXf/8haDyAmR1tr0HJ/7hHT1fxa09M2burPSKY90JSeP1sHiL8g6ytAn1LrYhpfmbKX3/PAX/Qsyt9qMb4+fICCKYzWGZANWKzQrZDrlVZapNlQ20zDi9b2c+wgLeSruVDoEC4BMdkXn27d2u0ACdbM0dZvNoNIZ15YFPQfRauXKfMYACg0o+JhYkii9DcPnJWi4lURK06xQBUAuTa0A7QvCcpW7ZXD6AzbuKmGZQpJ2yHwvSMB0rnbv3lkkTSgWBUr0KJ13+dAP7eweYxez39pCkhkqtpOPBTqbAC1VJfZdy+6TsIebMfUgYDlzUrViDL/kORwYT7qiT2UqO3GRw+5zbTPmY8Uw1m+btvs5Kr3hGs1Pa7jkhE64MwUvnSU8yw/zNHf8jB01wlOepo0av1wVxBJw5q08df+0Fpb0z6Gtapm8VEJRkX2X7hqE0WtnS1xlJgk+3EFI3CjVLbqG3jAXOCueCM8OXifRAqnRqkhvBja8H58arq9nwvidNKWDojB0+z6XvMQBFZ8SR1Zk7i/XUZfJc5kr5wD1rmD24YUAyYBQX90FZr8F1JOx+yDPrXUHPRR0wUCLdx2QM1QDNiuLKoKS+fhzyF8o83u7MALSKDGeMzEQVAMAjEL5EzmnFLkx9C1HhGAtgYtxvC2muHEgJ71oCl+eY9VMeQBpcYGqTKnAeTmXXUxH9hSbMCGpgQFqTMCT8zZpCmU1erMuKE+qEWTbZHU115n0zPdTARd9jySTzONGZhQ2TVTdRg3wQFGP3ibxGhmZYVl0+6/jMXBAZ7fVAHZYgJz/zxn5OgmcjZfPEcw7jHC7kYwbdLUa5201/JE8YXJlWS+O4OFv2pdxnpMr1MP7tAKJBX9K/0VM0BDozjHsfNdkSEbqVytjOsUNJ+A7QCpCf36VgkJr5fOGJFAySuIzgY9F7gOzHemrI2xpHQM6i7ownJcAEEbF7FFiQdwSrnPmvEpWsA2OEILwQul4FgKD0IOBbyTe/u0OHXpSLgz+tWWaOd3i1LjqllGGXmzphYOBDdAxR6oIE6tOW2rLSa7qiT8scUGauAtnyzpNHchIFF+pF/RnPy4ODsLUVT+KvTbCN9omPt6FZJesBLZJ74Dur4KwAVTgHdW1y37yDPi1ZwHRkFvfmDSTfgeZ8OHM0Xz8TK3f8ObYeUo0r+WOcyYdEIU0zZtnhgaGgGGXBXl95MnBl89SgX1S+1/odivatnxfyK0j/m0b4dO0dw8QTxDpfp4JhDSis26uzCSv0+ziCcUf3r6gfGpPu10WQmRGsWWWIK6F2fjnsTN113LbdJ2Zu5WVvq5wkuygeMld1hdNF3k99poEEf4/ijOuKqW/VYOmhjVxts7DL9qbjVAd3hbHTcwcRxVO2y3OHNRDA2fqee+uTcY6pQCjCN59mf91hI5WrOWwCiD10ydVGBYcIIFZ3ZnyobcP2VYlsnOPt/5VUtXuFmFUY9WiDjpzZi45/33OLTHVloAgK+85QVp92cWH6xyGNqGtXxVwbYspixtoGykwWbpa4qltW06VKcK/iKqnuPkkpLmgnrECobmpU+/Szf72DYHPnQRq2KxCbFhUvd/WHpaaKkWDKSXCOTsCq9fzyJ4ELMC9t3aApVUGOVJaTUUa9FoGZvP/wpqNhqsCnJjxvhJicPDbIpOj8yzA5Ba8dscdzaj73bahuZI9Wup1OJeVx+bfvxzdwn3fumQh4J9z09o7yVwXjk+eg+vZtENQA0tl92g9UT2uii4dxawpu5P543s1opgHnn2CMudqtcUoJarVEugUouVUlH5LRwrTLasj4QEUYmRsZSGD7z4rkcmcXcc/V2XsVOQAExHueYx8VvnasLu4dgtVFgGUMDLmMaypjLm/vU1ycXBrLhXzqjJ8x4q3LKmgdYwASIW8z6YtNtcm8zJ6UXL1S7vpwfNocNarhLm4Owrt2irYmReBZJA6EIvOdeXUeXc9bgftUryxkB+Dbd8FdZGWkvVIf1pZqmUi+Y+j9t0Qx9cTYDaXAg1vZfI7KFrq0kVb5cIoCPvv1qyjKc77GdZrVHkI84lOOWxCnAM8GRnM/9z6G/Oi6beryO02PZi/+R2Rw3gAyAn1/3GDEbV1T8LifdfPZhjnsnGrSY9M6AoZgihm3wToeit8azy1kAWyzPsqpYOPrFq05jeF0G5Aq54PwZRIAE36R6aKOhxOvpL+zxwoDq+URHau+4oyDkDJdJndX7a6uqO47xMCofiA/3rd1CadX2Z7ZFEo19CRmXBoMKprsWDOkX99z2f4f+awv0Y4cU0Pmal11K/1eMHwyaM8r7ZtWk0GonMySOFCWjRPqnLTkSJKgzJmRoWqPZEtoA3zIcwxkuoQYw5Q945mtGtauzDeN/s52KS+BBDJULY5DEKzzP7eSdPPEbBQKh7EaN7Q8y+OacymOr8nrtH5livAuCmlT7xdn2xXSLe/x37yURU6Uq1vSiJ6kfhHLBhvMJwfiHHC9gt9utNz30XwWwPd/Hdy+o8GSihDY06M2lTkbV5Z+iDUu7psVg5FW/VC4pU61eIx37MEhMiBvhaU8mtfc1Tg1RbjWsIL8LmkXXPyUH2yRWGifh8BefRV4Xr8Y6GbdHA23nufJpdRp2vGlYdKVXV5ioT6vmcVJ6NDESET4xB5ybEcC6WyNT4jjrEb6QjmmQxEIwkJzGp0bDcKlpJ4YHQbL57NFdTP6TBkc98MkKqRtCZvYnro41Aity1/BQu4pbxut76yAhvLFRaPNtcZTHwzrkIu/AaajSbo1FC/Y76S/9v18rTLk+s/CUfPHkGLdEB4ZOFOlHI4/BVzLf89aAwSarW9uuHYilAZJfX4unvXkDjfhmGJYEiaQxoQC3qo6Zs9MmF56QOnHTq6CrRmNzttY7xHkRz4AmQryp7NBdGIDnlCjuzHLC7J1y1OPEafklvEQqiTesfzimEKZq4ycf9w/SLsbGxLBtdpyMQVP+EYKTs5GMaZNpVGmQJkJRXTdXFXoc3JVKYOvondvMMCNPHuvbD2g+S7kT8mDLJY7dJnocy9NE/zjK8M1nKyMgtTUcTyw82zSYWkiK0LqZn9mGfcLL5Q3xq4NmvVUN3WCjEYzG8oU+TtRNxprEfcFmIq+f+LmMQJksaWzyvD8WlZEJCiSSDB1qP+nYXcUhtsuQTL+TdXu8LztmLbXmeCQ/ASg1FUs06AT7CuvyFcQ18M1/CN96jL8fvYv+bWZEjZ0iM1Tv5Bfv3LrwX6a5UgdxdNYDbonv5X/zuBVZEgR9sviwIzfsBr7zWRDTIiGcgoPAuj8IIAbowHC/kZHHHHE4pkzBu3Hr1MlGeSjs2+jdal1JmsBS0ag2PL9sGBxsVFnNj2kZMftQqyLgTee8dLJqeLTEjSVw4dRrYNomReHN8iXPBcd3pyJw6AXPEKDoz3gxMnp5AqFnt5IceGR+MTe7nEzfbrXITjfxjAaWsl+sQaW84qEf75Qo2P2rD3oJBIl+MUxXhXQO6Pn3NWPx18JZB1Rh0z4LHgp8SOc/ku1syHUfmVohdiXxgshxFKhYdSDfazVhl47PIuNpC+45E2rmShIU5xUzAuvc7tI90p59hVrLgzXZWcSfCkEgeHBOg9o69Bv+eaGN2I8qyEaj14eMuRcnI7nurdPTookOV/xzPExDnNeCcDhMkxf9DGl9lQZ9xT2E4InPH1yCg17eXhvaRgM6jCUUxNBr/f0APDxsnFE4SP7tm7JaPcQRf1FJbQCCvjOj2AmW5qzd7N8D2E0aM+77hbn4ortY4XTvumQOT6+vPtBIukRnwyUi3DTR+dEWr+FYhcBD2Kzh4UrZD+rutt4LYppQcSTc4AYUcddSK1juygQRpjN1Kg1a4C7xB7RRn4dbEOcLnxM+jU2eAV+O+y+lE7yljgPTS41pfZU2VzbL5pLS7OMSh/e75cHtfknCcQckH9wLnUWNc9/8+JRrsucyD5uLsXHigxhgu3BWF9rJJrTrrTK+9yqi9ELgDE/ubU/S1+O5Dmb7fs3AFhY5oTv5qM6v4gd9/m4UTSqP9xmvjDDgQ9jeyd81WfLJWrEg19JwpuoCbg7rKDH7r3UQxomvv/ctQZFarDoKKA96NlPdI7TKcldXQIPIZAYTzcwmR3fzq8kkXgJQdQPv5HlW4OZmLbd7+w6kd2NBVbULTle6ulwexc1k7mTDyKjc4TCfTJRid26PyKErB4WG9y74Wr0mFcmkifjW81Yi6Gz7m0zVpl8lRZ86YkrexHPzRUCTjo7SZtGahFOwMubO9STfj9bUsIgkzZ8HAH6Zu3aGq78DWdiVAw5o3aG0Yjfwk20An+7yYdy9FCEAv8cAAxHmR8+8aQ3BsoUhfgYEGgUpi7aSQK8uWERNaVdHit8VchUc8Z1KH7jRJAafooyehBB0RCnUD5CUhGIPU9IM0thww4SXL4oK4lgkr7azVIITtBCHCuv2S6/F0YaHU7APg0fb6MQkkiuifi6VedDLq8yQ6OA2o+WEPLgErhbsXo/EENGSgy8WQuI3XS5N+d+5PykUtx8xre9lhJX5w/FJGDSLrNIO1Nn7nSMmsF9KtdgIMDqV/IHkvMWyncjJdEAI91rgybi1uhqujCPh3DiyHgphDlvJ/UrmyQ8aTolfEksglKGjEFAJwcxebAT3PKm17LqfrnUWpUEnDefzKfxuqtoa4Pnkk3LPBUqTn9Uztu5Y7ohrdGN7c+Y7qcnzbAhP+NzZ7DE6+KXSELyJlI20Z0g4ben6+aH++o97cId5Am5Romn3UzqhPpJDrp01M37DmBW+35B02vLQnh8TXFt2Q31O1pQlu/UDDL1/JIGSeqvVWmn/ulLaDojcTkOtWe8rIX8GPn8fL+XL0qIDimo8Mbbdu1Bu/lDRhCPSoFEMA+AxjAkve4GDs0e1aOxT1X0TCDHoBrvFhHjbxdL1OPxjficKtl5oTyjWcVG7Rt2mSKt7lg0K/veMd0bJzeWvSjOqKJTRvin0Kzb5qBOCaq7IAqLY4uxjgqIlrKdcjEFcvoqd9of4ztNVU+CSkh1xCi9wbctuS4VfndoMXCi57flYmjXcJ7cqa8rArHdG/HnOhdb+Lc7DqwHIiKU3iEEZRyeOgjsnJ5wW1X4zKT8bciqCpjGQ+zcd5n0KO3MSFn6gnud5QbJ8Tiq6G6KZpcAaEoYPT04p3oVPmuIz1yNsX0RBOjhC2ExVXrIBsHKNmOrmKJmSMsuaBHW8LFsYiFx+mWkyi2RyAKM8UgzhEoGoqMzD5SWVGw2se4iBGZ3sAGKrEG7L36usO52q+rYXR/6s7ug3Jzf/bKIwH4WYsQ3vzpy45274SPpiMkIPjvhQSQ4oBjahcU4x7w8JZLM/KCX1GDsBOfZ8VHNoeGfEfNpxceNK42jKvAkkSI7N95IOgQ+WaZM7WKiOmUh1u/9MpA5URcNEc/+bx1SZRxQzL/SNUNclRBgxJOoHXEAk+/MMUQ6vW8KVCqeEXj9p3biOFR+vHh5qzGqTIB0gpeIY8RebeUke5pSIQH4KkooareENgQ715V6nFL042kUcp/BGqTiW/xE8CQf/lnG/4HuAkNzZmC0zsPssBsJtj6BADOpQok8Rt55eaceB6UXGAwiZBsr/jKvFoM59P937u9H4+0ZADBMdL3GV0K2D+edSA/782doVSuIZgLgVDHb2fu4yZdA+ptSRQG45c/HZXxMDeiDZWs9BopwvFSxRqkdJWgRajJUbjAEmRApgf3OZ9eAl/e03W6hsf+wLhNaGwljlLlTRQaUoeiaNXrlmDrTCnXhaxFE0Twfc8fLl7QSx70Ks479gYh60E7oKPTzJakx5kzwpB+OZfnYPg/lGuWJGXeyiPM//vCEOPMPZc6DjPBoMqIzGB+YVqjujRGFEyeBCBzysopDenuAbGbCTHTy2lUDl7o3VhfcdyjjJce6P3tN6dpjuQCPToeHTWmevICaTQrYj6ZKTE/s7kk/DH7iBBL8jRNIRhxx8NeW9JJl/G/pB4apABbFASan3QLQqNMv9HH0+cxET05kniuaczcp0SWuiue/JDUKv0vlhWZ5l8l2SZ+iiPpf8pXbYVDKYhTe5PsnM8zr2SAy5YmbrOnugjQvU/ZzHPSXOYfK5zceBcec4KkvZFeYj7j1zcRdlYT70YpJTXNMT29gCHcUvfaOlsAGaxvL+naVmYK3RXMIMAf0m16HGViG+AHGgPhvVEaA1fI1RM4dDz+we4KhgW4mr9P69jQS+0bamilLPxmnxmkNwBOMz/K7L8W1ik1SVXuePds0b1ScPJHz/9ATrNVd/s4/MKnpWVfslTbT2LchDvxWyEl9kXCAoBGxL2qLgStxcegy5DwqjC/cenrLAIzpiBjjBt3VmaC8Q0Jre77mMaeysYQGiJcczWlBw9kCH4GGgrJhAy1oxazjOPFH7H+JFJyFoVmPwUG6l/24wYKtyK1xxi/cRSFp6rKkm6++qzphzA6Y6we0dFNHneqqTjxxfSvDTQy0jPFuwJ6mhCf6IPmMORv8vCWZC3AOx0e8cSpJTd3iW0HSTTD0QGkYdReoE9Tj7iZrwbQTwyz0Ktga8n3PbUgPjnRGTXjDMZiIWPuosSh5gGZfga6JTlMRtlcMjDCFvSUZ6C2oMKXIsgnQWGqZElCevAN3ezbkzJ5bAigNcylV8tycCPKSzcX+77DTO8y+aeRxH2rrNGHebKjdQczijRzh8wTomY8QtdFO+/6J+FU6RGaKQoMGx5hR1wVSJtoPQLY1bdDQsVIg7BG+nSkBcPpwaGkr1U1L29lcWJKeisTC7M4mJK9tzsQAIxia8MG+eMAQFWNFfOYz8s0289wUIc1qlP5hXVmvq4oIsMGPMy6+6+lkO0U92TVVeNsIDqtyqGzLUAR4x7+cxE+CHgQl+p9O6zPcp0KuzwVuPYt63ycAttz4/JGJva31sWPZacKRyqVhxS6qUByHWhTckkVKKEyulv7BqyDn4vnkg66nxbgCK+tnmOBSfN6sOiC9bvUoMGKN0tI9v3eSUypPcFg1awhkB0vzdAcKVeCLYtE3iO4Jxm6W5FOAdib9zA14CT0P/1rpxj4wdsveLZl/JH5qYdn/U168+ve/3K74srluB+jHAh/2L4BoPdet4OEXYNdWvPGCrXr1RrDDe1jiq88nKx6Od3SIkA3gc6e0QqQKu5/zynC9R73cCftnJmgFDOaueNuZMw/BKqPPiydlvkmYeB621L6CHqqDtT5LnHoaGzFTFY3k5xXBkm7GMuZ7X+DMH+7FpQ8Ydx09L+eiCdP8K9advWUvcFrS6Xnqklu37MiVwy1VUh1FEnrPn9p0JvxkE3ve0QoU2hZWj8XCuHdvx7pdo+v6ZDNcXuznDX+QMqQLbfH/A3QhaI49VBimnuRjNab4e1+lgRjkGH+MINDqYKH3SqimxqMTIyYnW713fmd6Qfo+2qGgfyHTH2ARahGpCwbbxOpJFKxJko9qrwqlyCqgp4uHj3nCd2yZuaHwZLx1Jq9NUZvVxYMjg3Lzt7WuQ2vyrv8qMTiFHuXr6IPr3tlG7vIlRj8iTPy5pSLH4FMcE8TjLrgTkxn7/AvEjDgYpJZyHwAxeoCgVa2SfctfR4VPPMVniLn1NBf/O8DVm0Dv3L+rdHJSdY7NpR1UZ++3ay7RsEOpHzPWgtEi5b3naxMlk3hdaG3g2lwE0JhkSylK3CnfF4zWsiCbch0NfVJCWadjAYXswx0lVeXFUj61u27KHbKYlEmRdareSYU5n2jv0iLItyXWEeH+QaneqIrtbttlFcg/etR4cJXboAulE5SWVtuloEmETH+y+BPjHgFmvuX1fQXvR57QlbPKo+LnpOq5/slrtq1AbEs+t5So61DxLn47zuiQjf3ggx3ippWtbN5thA65EPMK8IuFgPcGmE6ki7m5HCDNl5Kgx5A22S1wDijd18eZSo4Hw6LmUySoN6DmvfNXLdOQ1vCah6YXbfD1cLh6mon54hxMd+i0YCruox0DiRWhaodu7eLxZe/BNSEOWNZrlNeK7SXZ6yGvC9bWoByVSu4pOSLNd8zGtQ26QoGk8K2mHzjnkKMTeOeEHOqY4u0j6in9p1YYUuORT1R+WmZDgZzbObM+BYq/DLVwPUcanbWjdNDE1e+9HT2FRnUZft3Bw+MwU6ZaxJximm1VRhEZYROYaWftKl1388QaPHMJM97K3+EYifngCwDqv8S9D1/w/q+cO1QAhYS1L1QgSG9NRvkdedWpKDqNh9gVPT/zyiiVPiYjEyTWocwjkEOcKjA/e/WFZzspUE+8WU5ydQ5Ijnc6r6tTxTRgz+WYrBMC8bH8Hy0rQLDOaq36VaeZrGy8pEWxgacP0xxM2zOQlyERKC4yeSrp4FPfi2Z/MRa1ThAdXPsOmaRhfTv7bDEFoHvJyMUwHi7bdQ6Jp8AJjbT8FM7EMD3rUje8dLXukVLrcrvJvoO0FdWH09JPtlTQ1sdsZX4ByESujbn/7dpq2t3e4FjBigQCNPHJd8AZJ/8Z/gz8LFpdkNmGfj8ykK4GDxjZGf/hkOuHryY2p3XcGHvYJEw4rNEhe406xPRgZiqMyX0i+8VOe65RecrDB6NihvTs+UiwznvXwOgKkU6a7vC6IlRTf1vP3yKeEoNR0Qz059OvNCpL8pq0W8wxSNrKP0FITFA1UnISy/+0lwwbeHNEnpyRAZJ0qF+yUP0PgRSAHw3+4ti42HMmZBBKYTcRL+sCJOyxRqTq2iik/+KHO9iQEZJnlHpR1BC6HE2veefgbbMM2A46OfyjLlw0eBRkDt6xFgMWV+nsYixIjETqPBjc4UKwvf5IPfSEjTog5t4P9Tda5ESLjpZ10+HpzQzhHw7vdpKScvI+oEuzmE4FwuXy/xLHWCIhElMCMkO6gejw9MFwPhJUCQs9CD+8hQ3E0orBVGCxSCLSAg13eSD+6jVhVVaPGw1IZrWAy7qlF/ug39An5dtB/OSe4Jw0phAMFBGetA5e32X8f7hc/7zzb9YS/YPZvhwY0DUW6Y91GApmbyjcvh7h5FjtcUZ4v+XrOHPTW8BTfCR7k4e1b58tcO2Et3HJLmX0GS8itIN/nq+oqMgBiBCO3jylgZ8zBssWGSTKzmC6O4IOFlncXEnTV3cPXBdrC2sazk2GzazIxT6p0Xpz9qwXPyy2kH+0mUFSfof5qJU51jfbMHVsP7m00Lc74uI7fDsHXT7bmatdBQSZFw7ZJcHRQNxfvnbIX+XrKlqee+IJZP6l4S+IJWBICRYiM6GEIAIBbys62UH4N6KzltMkLIkMn66Ac3btPanX3wwWKJdh1H9+yqMLe3PFZ8ooEDwQDeIcGJYa/m96Z2ZJeTZTDuytw1EpHrgGovDXD7XQnCCe7kXSofSFXrWo4XVPEe9Vod+bDUnVGhm1qhlpovyu39T9z4e8h9ky+ehs96CbzYuP/JSMkOOnv6YT02slKPWbkxcQtxZmw/XkAk9Fjx0n+GvG4PyzE14tKfmdHEfROk6er13vc07PLPvWJlNHX4bXF+V+DxkJP1Nol/fg+xvHUFDzlWimlwnDFEqOqxqT/K1JJC2SmYt3R8HMoKfgPAH9ayvb2wG8Pd8T+sXoQbOYJN9tOi6kxAwZ3t2QTtZ5kX+W1+elVwoz/x31N2aBGv+SvRKb5jd9nDhOjahuCcGTp9m3KWjcJhPw++bBUwuxrqGFUtIe4OzuVxEuXmeZqWOKXxCtsEIMXUm4fvDxUGyW9g2vAb8clwHjZ1dV2nT0q4zvmKlevalF3v5ZLgFDnlG17qBWNBhO78PmFN17XTwJGf0/LLZEr+8XXL8T4aEHBm0kP8ylNfd1mtFmpcYXXfBByKLdDfmqSvedWkk0fYz+3OQJVLA6zx8kWIbNeB69aUp7tMnJgDNuNmWzhAkomZnW+OPV/u8FU2mqBvN5pZJ2xFDdjLKAZMJxrZtlVSVPhMIr+MIgqv6lhP4+pm8j7hp+w5zAPJhPqNqwQihmA0NQid+JK7uqsiRrHcgTYDSTewNsycdvZCN6U/rEz8XHQtH0PX/nKD31Y1WngVDmOhmH9WHwabY+eCh5hpQzX9VJP2WnlmMP/H2eDBEm0ttUdZmE1nUoD2nr+ahFTMNElfdjFBQkTRewDJ4dFMMVUmzZQaIJnNA2dOVj1FEmAUVqRWqaa6JClHxYoTUlYpc7crIxxrLKPFSYRza5vHO4+hByvFO01BjSL3B6riM+8cLMk/zZJMhk2XxjbdxaOoOeqzNtrgdrTav4rDsndz3IdBjmIy1Y3kHVleTU6xnDkuNo/zgvEUjEZNZn+xMUxOgrm4XQfBVM3Cb4b0Uic8rIwd8zgPTjq9Wo1kns+iY4UaRaI+B5TXpvMJagOqWc0nogz4NV3YAlNQSDM8Bzr7jx10blyej8KOe+YxWIUny2dlzxBNji8aHTnoeq8+aFVZ1cD47Bd7VVaQjAQqDYn7iMBBX8egrF5YT+/iS+QUhSWI55QsoKQxmPFi7FL0fIlNt4hLdW7Ft2WGicmZ0imj4ghxsdTNRC3gBN2XTIi0/HZxY7G+bYtvBcSRGlTSAUyWIRLgQrSdXnWqFRat5/gG4KIRxnHe1LHFVVg0tINP6op5Iuoo6//t9Dd6mA0wbJaKBoCVMskSWTsIorC56jwyoT9Gp+TQbcJ7schx5U6h5zTaL3LI3BPupdI8KSDtl8vW9ZpHZ+LIxQ+BvjNSVvEpIYx511lS2UvSO0yIU75pBUVqxEqu30+g0ylqwv0HN5b+00sesJILmJIONFW7RQHbsuhSJqkHdsn2POZLtsPUgbdoyY5GNIdn+5EYjqdhwrfIWio/F3xhZJJ5V0TEUms82aqsfyke7vbH7jOOuZTD9krUgWHsZhEG2VCEn5Snc9s9UxTO10BFAtJdIqtakXUF51dNMaKnFdYSVJPY+cEAnnBgDrU+XUXOMAGjeNnJSOY4hriaXNAxtKjPnTwsjsvm5JjDEFXKPRZHQO/33r6IdMuiFeaWSyyJxsUPXqJUspsrrWh6j07VoggAmJtU7Fm+WvEAJTEpkNUb7G2l4t+Rq28DnB+UknXyQ4yNSI0XIg6SpDErRh20iri3QS/lSuawb2GykG6Nx8AP1afU0iN6aFQjQG6TAi4UDzyl1CjtAKPr2hwFxsnXOY6DwlBNW3SLMbrczrkge418fAqIzwPX2o7nkmnjYYJaOCjp6QEhEy0fX2GAb5843R1bM+AGKZms+oDTEsEgxAg2UmGSVOyQeOReEiL3aXJQNRthAAmeNYivrMKe+iYeXsSSa7K9i9VJT9h5vK9wToFWhHpTCwDBLJwAGs3s0dsF/1OMYOZQhn3BR1RLE8hDSvrivIWPjURhNjkTRzy95Vg0TrP4gTrnvVLe3QYpQ/sOzv86IEywwBb6ToplZyE0jADwjWblcRzctIfxTLH+dJvnKfgsq3aS7fekvdXknS1/l5XOd3w1lUTVXKj7YV3t3XI/uW2o28vfpMbUa94srHz6H8sq050jEYShZZ04TuZUWZLWL+5QXTXTlN9OupdUXLGT08IlsoI3vpQaKjOEphS4BZiRcaJ9ju9eZFxvBrmNGPZRY2y+NVcsIa7tMOa/CaGWbc6CWo2IfxgnqIPPIzYkz8terMpvimW+8nHHSPAvXHcgLChT73eVnncjhTnDCDnQMCD9bAYdfiQUjB0Fp/p1897oYqrjs3KfYw6GpS5wB5kkO+d2V8s9+pS0ZoZuGk3CNUo+pWjmOEhZuDSjc1b8VARUwDORmawdttPL2o7wPh4pJ/sh3C5uKEI613F+7U/9nYS+iDdbW8n0Kr8uhBwTWE77lQuQl3V+cyZXDEoyVs7t2+kmDbs60/X4kENZ6KgP6ysfXLKuCzShnBCdr16Tu5bhe8Rn9kkyUNI0v06E48xgCTg+GPBBGZySRrGDcmToHV4HPp17e9QhHpBs0onNvjpDATY6AwKOcmV9CqSNptZ41FAp4LPX1eEU0bM5wOnnsBlAgBgU50APacpcuocfxzwWEDyy7mnGA9bTxr9D5afSQ19+xbaaQtnYPFsE5oyElAjvAsoGwYkFrZ4nyAK4Dlw4OBwwlh3uXOST5DXzU/fM2N6dGmaBTHxcKGWeWuGkUFIFtByHTGvbtsq0heWD3l4BqZzvtOle5mnUGzc3dw6oml3THRVZ1LdlRnl/9Fch80w23kfIMI0TtFLAaFyH5LIvN49En7pSQohyH8xcX3x+0raoPUF3z2srW8TJwcs+jq6CgQF+8brhelrlp0QFsKLG5Bk/+CrKRXzzvSB8QaBR0ykCsGbRvq65wk7jO1rlrN1EObJcJKffysWwplFqrDNQmXFTodcrrMhkPJziMCo+vP0OHvoMfzvDfvOixcKdenbn5hhUyyZanxbRcJennYu/o2uqxTt/vB1vwx6UYBgAJq1pmrVXNtscVzHq+JsOtdtwDMxFnrOJlhIEi2WcI6bMpbbOhLwscujtfPVXEz5Lkbtx2UMnplA2OFPEDiOFmFVlM4ihVVLcvypRS2pcnM+PjvzA0/tcjOlD7o6l262HXUp/J5Ms94XLQox81zggl49KUbIMGZyolMrOtzM+qnXaX98+GmWiO7HZVT0PEYddAhDYNhMaMsJF30YY90gxWNF5Vgfa2FDwNtkRfwc0xzex/7kE/1zPMuP8Vp1ImEqxIBRx/UCh/tJ7rY9PDajE+he8ULq/Btj8TLqvr50LH+Erz/Z1m4ZJ/w4vdFYPU4laYH/+rP20jRCvjcIHyHOKlnY5oZWv+njr+XgBheJiDkpDt/pZ0zaEI/kKeTUFInwc5gUQHcnzvDY+82Z3LrYbDRun7AljfY7nkCJHZEG6n/FO3/rUSEaDp6me0pRjd82j7xdlSJ3WWQH9AAL47ksLYZXRW+bk8UOiITlK+QTHwjoi4rLEmfr0icTjc4qXa9Xi8mjpmHe9WDMM+X5IKt54/SE5cfYSVinbXIXWSVEs4Vs1azVNiqaPrescPmDAE2B4XE0Tf9IgRbiwG/dA2CzLbTsGQTtZMIN53NlKMlg7hoGtdo3Ds/9q/q/3FAsJFUFeJhLomlQ7jGua0ey2DCGLwc47dO+PedeeKefH6zFujcHxk+hzvAbdoCMSFd6jASQJQid6YzqQsAeDlSCPq9eGXYAVdzDcM4T2IEo0K7wFY5Gf+3CG5g63G1dRjYg4g6prWVeVRiDBLnEAgHhAsRK7+Rls/O2vO0/37DtKJQgQTgy6H6QdsdFQqiWwFwQsp2oOOhDZavUvNWayEtdMzvce4a1ot4Ehm3uB8+YEf9V0L+7BYdYH08zYxXkHT9N4T4auayOSvhhwJtsYj0NxrkN91927coEQgzV1IGJVsYeGiJAF6cuQgNbjSEDVoC7hOVOJ+Sewf4PNql3flXHSf1xjdtwyVHBYcDwM7MJovdOXDD5jC9lflKoAuKpNuXW7AGNkFnBxF2lLgZUkm++XJTccE9Hy0LvxqFnrJ2Cf/vttbrIcIv+YvHYelBzqsW945U3D9TnhZxlROmrbtwlKX/20P5vEmIuRRTBOMIbBm4xDDWmevHUfm/uUZ1O8kPWCUcbbAJobhJMLwXJQK1IzKRB6gzVoaUEvBl9/0QqiiJOwQbdy7o6kVj1aebKcEP6YUNnbzVdCYUU37CNgZb/ei5GSaXFRV5S4RFXUmQC2jKc4g901zNEJVmgIARodFbOj/A8CwGXBg3WanQrMR7s3TQcaVu+jwEDbdjg3zTgUQqyQgjbcgxBX/agujL3U/3UbH4LK10qI0zNQdf4rTCMhOlfKXOshb9TPjfTqpKHjC18BJIOJu2RrGB13vXsiYcAwFxA5yFOzAbjmmz4ecgESDwa9mk+9KgKWE76dz+aYuX6xJE/W2UsJeKw2bUbTY7VOHNWwtnle3XAQASky2IunzQy2+QIqKRde7Bnxnw6iGWrQJKzOyYe2LloKunvwNii7PYRHjpHbM2Xf1ZX6JYlk7gl8TxvpqnVJzhw4AbdlRvfyM/ki4dAwRsAEovJkkGLA5HDoaDHkHlPB4eYl7IEK4rBVidoJdW4q86BFOBcw2qVHO/MZo/H+yg3hJF7qnbPV95RFRQxcCbDnZKYZsXTLQmWGlDDcsa/awv/Ba5BShse/k8Izdn8SV/89VPUXEUE/1dfqcJLw1jVwusBZ8qexhdlXYz0TgGzG9/TrMJOjP2zPtLK2Z/Kzar+vxy3YgitiLYDFKHdw+/ckwt20mXWJcAwthV8l8T7uC9YUcSBu6W6rdvB2BKcxZH73bnaZmcMVk2ObWxDNevIQcIeFPJOqpW5VWC+BSFZaDDbIDQENgZlsV7t1bPB4trmp2GYCJwHs/OPv30nW8nJdoiI9kpMNeFsNC8utoTVlEpYeHa4Czim1ASuIqCvJxzzg/GKrkUIgTCK5F24GqkPnlgY2/foQCySC34Cr8pGFRhLGPyI+6dYZ8aAtUPVrxNqtSHC1G1XWV2DD01vO/wUV2kZOGdr3Vu6kQO9fBT6US7fDPNZ5A4fFbOHzy4xlDmBaEEcufvLkxKodDW4NUnFQedhb45QD03wkvgirn0t+/iive9lFZhyUFNvL8JFqLJ+4wA2zrBt91r11Nnx9Mpd0TirImmYwJG2U9LGX4eXAytMEZwOxY+G6BZ2GqsxSFQJGfqfpY4ym2X8kG1+3ltFM0T/m9dLiZeruwOkoxo95vLe9wpzZNpd98G6hYFmVxwOybDr48zoedw+uOoAPqr6PlfroGqeJOlSkAa1F5lOP+ukqDYhFePEhnUBE/7F90pGU4foivVPBGMIycFIb5jj9dTHM/+5M1EsyzwdBXHxtojNPhl2XM7bGjBhTYLIwU9NSouXZL8Sn1zL/FqWaDWNCQlypD2bnKLRHxZMOdGXvPLKtHZjScY8lSMzErXWKmMpMdCMozoxhUc2vFaevmZVYfwAybJiDljjDqJWh6ky52k3SGRKa5QD0Vf3dNEMUvpZF9mXo8nqtFk0aa8Pgp1jXqisjyqv58IJp3w1MOIKim42p7pqj2+02heHvCMUWGnagXI1SNs7mI4lXDecY8TKgpBAC6MNRfW6IX1n1ibDr8gH1buOebd4dakB+WAGXFudAqSVn8mYIq9lPQqvYO0Xm4qOItn1MWVasrQEJ944e5T6GC1YNNtaSU+Dnd3vGGwtyMVdxDpAa5C+HFr12dTfAf5eZbw0mVDE/K9fad+n/0rqkTV2L4TdaN95i7W6LRcnnGJy8MxI6WU+aqFq/cAjwoPw8fy+MwmI/3DfX3BbZ1DXJJT7Q5qgf+srxLVhJjVaCeCKqlHVIoGeTcOQlAFZA3+apxuwYMGkutzeFtT0gDUSm6W/c0U6K3HJhUSifXR/NoTIH5tVCgwK0ixmjr1R/OzfHUpSbEmE1W35NhcuPXICFupu2go/fYAnSwrr9jgaYJUW6OW4kBN4yR78BMSR5Fu3qGMJMC5tDwwYOsTXmh2/H8bMj/QJ6hmSI5/J+ubB33ZdkmYAQpXRc1Wy5oI3S/aBMHpcbbu8ZG2sI7UbFnxvqknnFqxTXJFADq+HTL2vBVCBOLaTbvcAEwEiUeROYfSJrJNMn7jQXGOwUWdICKaRRuztCd4zkW/7oM+dQXSBdL+7RKYTEZ8aGNe70dQvJSZzQc9hAMGUS6ZdryGxsaTthDFgztM4tT7TTxz8PmHso+80S25vIeSh7khsWI4wjnEVUeW4IImiDefzmVTPMKvXm2vRG/5y+7427WOIVfgPPAGGnVH6S3DNVyg3oejPcgPoGFuJ53SK+p1DeFR+U+sMpoJLwk9YU0CHaP2NchrfjJwiz9eD9Z5GUd2fi2BHmimpw54bc3SBzlZ9AhPyYOQGBBy0ldr2SIQZ7y7prArX6/YM3375egkkmaSG1tEGe+BX4Crm7zoSVoeQbyeCwN5yoptkcCH2uEnQxkw1f0BjsrcCC82hzzbpKw76xEpLgjhBaXztSaXsIp3wLAS0R/72h3ZymACiCRmU8Mb4RNi80JOlZFBp7j2vPzDTAYOk4A/KO+huGZaFhTlDuNwAsyWzWaD/eo7bScbMwprL/uzGv9YLa8B0KluVx1KgdxUJJAqf3ZpPjNwJn+gsJ8L1H1AahM2y2h3loNLDUVs5ZTmaplA8flQT9stmrksLqZtOx3Ill49PEHnDe3FoiYjqXPHRqcU8cm0Td6TeayzKlwrJyy42j1WwJ6UEsZY2PlLQz8xZltURFbqsDbNuMtPRK6eAqtQ/48sSgxeFYVm/3qQ/3jIurXrWFySevUXyqur0JEZdAlFZMpTsztw07bOU2TIC1JNrsPuqsYkug8s/fuTEMSBWVzRmHBoNhN3q5aqQAxnuYZoCIsUcNBPrE56M2CtT1Bf3BLtCSNCdlBq7gyRBxXSdziCNycaNkrmh5UrG2ct6Qhs6kpjx4WivWJtzsrDyLkPyG6ODJfx1OAKk6nElSsYwy/oOzNDgwzv2IhSxu6qIsXq6dWfcZszrDmF9rD/6fGjjK3OVBvG0TVhjxxMdCxzaQhz6yLF4JTHHJOmCuH2Mk3D/yi+sjMPbEmxrssO3XmknNaAGTLmg63IvJq4KxgeN/OYto8aa6cd8juF2z68qlkPOQjgKeWbgz3IjL5rgpqf2ChUWlOejPI0Uf0KSknrd1ZBud31ormmxaKqtrOvlu2nfBHJr70f44k/rTCn6Nc2gWCdg5PWYAP+01LtZIU6oFLv6T9kkZKZrAYoAnudwAxIqT1sj9nAviSMLvjyahGtk/ncexDjeTDFth1vukJwUmWD9X3oXWZMRBr/wiST1TwK9COGSnGCU59+gQV+Cxx/m+5NR4JrkqL86YPang6d1dgKNZbTTFFEKiMjcmOUkvj+IkRbDAlY/xHSOYDothMrL+/gKyb6HuyTd7ry/cGgqHf0TGWclahQmOUg+ghB47Ks6M27VBgrRJ+7cMHWorvBP/WaViGNb0mKm1XRIzIEYKOlTqKwPWMlOtcmaRt1ESLta0gak3gnXL4fSnRvy8tsnfQU4HZy9QA3HB2GcTgyBN/raA0NHMUp/H+wlOL/ZOr5ooUqnLD9EEZgLDnfUgRvWSt1Q+/9y7qKJY73UcgqXcxob3Y67j2yQwF7hmNDbiGyJXX/wTawbT2lyHHwHe3CP1hkdb/dxEt68tAlhDcVoZGKD9AWfcI8gf0S9gAVXsYAlfSaE8r4J+uSRc2pxJTrzco83301f/qJQzwvn8SJguNXVcEXUNhm1Yq4lD8BwySQqzs+nRXpDAdvT5XdjplfVZGFu3Nr9yA5PY9r49SkabW0quYQXcX/xGY4Mr52RIyKVXZbjLH58EXGfZJAEUPtN+q8Ue/TcGp0x+Ob+Xf/9+VK+QjOeIHIS+w4i69gpKrWTocnqZ6AzkuZy0vQ8b5V9rcFjA8QH5gU67s8XwfDnltc3XedqGWE6iQWtOPZyuX1psvxBMtLaRSba4BuBtq1UzH7+Yo85hYhElpRz8euKaOebxyFMxYuPeFcMuPi8LeKkecz+CfraLawmD+KuVPWNwKDpsZED2pxQ0SfFYyNvVkDzmLK4QggmUV8YQB2MMDQ1UFXkh+mUa6nnbC9nm+E3ESGL6xJWz9544wIbJN4JVQ7zntr67DBp2MXH/TLgnd8fms78k3hkKUGH+jU5HDA3RTI1RittirAXJezWokFOYh/tPTfpxMYyvAT6D2rQjrQIBoGmrX6clCLUEx6cYQb36gEAlSliU653TlXmJNOsZhMYq4UqnV2ZttHA0FbBknr3qG2oqRCjAGV8avNyQOyRBlO6Zi5CsjTugcY/RaXm5O1ut4wXCx/tiVfx0luLqzGuQoa9MG7zv7Jf02xjk9ip2TEoPpwEg/2erQ3Y1EBeiysu6jpk8LnlLRcdp95ZjJY2q6nsRikSncVq+0dfJikG8QAoXFh9Xkkoonl8BalXswUC9UjPs+7jIxJUb6I4zkUvs9bp2A4xXVj4DGDmqR9o1u8T/iBg0Jks+rNsDxKhheIWlSRswspZjjRPeBu4H9SnRoRLb1lsz9AWGaJ/BG7Ku6R+3egjXYX/Px3R787g5bTYMvny5C4PbaspIZbTfR1bJSHl4+pH0hHQ7bhA+JZSxH2Hpxqy1soC6NI5z0yC0mrnrrEvixh1mDZkA0nETA+ZkFk6Nkg9dVlRGXGigvWdeZcQI5Eoyk//21Y+GFV+chhZCNFYRUrO9iPCy++/cX3E8W3k3wns78zepwtfEVv6BEo3qgenHWDFg7TkEQSHqcA98XmjLEbaVX/yN1AqBD6kVMaX6OoY9Z/Jy7d7G0cnl0ndYcNN/82OCmBfbvYLjjO19bG6eYcALekr7bpLBvkcfSokoeevqmYmb4G/mR0P8ikguWDMIPyM0o7gQMEQumu/eDoAjEZb//mcADVJgJti2bDIHzJ/i5v5OKePkidLDxlgm8kdGzCUHuho05acIfRN4Xd6eh7HjtGt9KGmzyMoIoXKTbUiNQY1dQryxgjDQ7fr4f89qgKQmu3CGG+Xsbdb5dE8mxtmZfzxtcTdVRDewl4q/zn4N38TpWdmLw8IVL0F381wwJYZe3bDaO0XdL+Fx/uBRVEeXQEHDxyCvWoOqM0KRprs+L2ZVqTmnBRJc0atX429peea0v32OsmSQ7crbQqRHikXxCKOT/pZEw/9fnzQ3LNoOu5RtjLDjqwiEtiZLo/1wSYxu6ccxaKNxDFNwuzPcQ9cDXzJWHxeMKo5S6QuJmY92kyitXVmuwx0J3W9ciGnN6OAHgjT1SYjsXesiBn3XCCuyCaryqwt3syCWDOEidumr9FlUwPfi4KELP67eOiB7qGfme5/avxQfGJh40EszzmxRANAE3etTAl5VHCFOQjJTm25yeRtg/qOH1UYeHyNjOCrjpv6gSI4R8DO1H7Zzt6gfcF44IASpLyRD+nt+EGwSbpLDKcgo7Hl5/6zYTwoPDGlj5PDlGhsizyNOeBPEA1E54nAarAHFbbGrzcI9/aaxECx7KczZt15EZEvV8aEzpoCPP3iklaQGk6PgCUzjxNDYKtbm9Vitts/8ffdTwT+iQWCfromuwbDxOftrhu3Iq4YnNPg7yiqbJuxpzehXbbBXdIMLUQscvK5eet0pHv8pj9JXc6xrxYQrgI5wj/U+hJUkzt7fHch/fQj4EBzI9h3sVEx7H9ZDiOm/yYMZEm78kJFliPBSRa8TKOXluDAxIh1vzOgJ4QN47eR094zaa8GHo373SilSVcVBm9UPIy3NOITav1zvc0+JD4Rk4A2Uia3Dvr1ebkdnS2GVS5xVjdeQ4VYFmqKszM9AEzyuY4HBZFVj+4ziz8sF1wA/aNSWCd5/4LNz2w2eMsbt2x/3mYsSIrRgN27rmGvdcoY7KBLvtmAtQCMnQpucMpQXHkjE0pR/4JUUnlR3s+0Ap0Wgsy2s301Z7ACHSbiq0YcvEOyPcZwtBAOfvMBZeCTNaXIdHFrrJXQip5JfyBvKGtSQdii0uu1RRuYMAjs4zcVSC039CWvI/XFyC9ho818pOhhtfwQfIOP70R/I/nl7szTUUT9gtaJ5IsRbwUYpaBgSYYVubv87zVDsBCbfsaSHoCSdjw5Tctcb/60YiMtf7ARZkhUPumk/aO7QCAKgU3of1+uCQbhGvunOUNEK098ChLRGleXrIA3Xu2r6X3C3CS9SMNh3TXyfVYCAKV4zBagAD82yCrLqAYCwofojM17nV+fO3/MNhGQTqLNMgB7R1SKibqeqNRZx9qqzvRKpnb8BQFonWMMjpPFr0GdGrDQabK2N36h4UFy+rWZuH8pK2MEc6+Kx1C6iFOkCAgLHff1/fa3FUga4L1dMhLD5D5QaE9rXE+OOkDn3BynZMZ9uP9LxJQAZC18upvK/x1jbNVUFjlAGd41dasfrysqyFOr48W2IEoo5gfFtB7EdB9nqEEQmOeDjx60loiaeZioxWXqen4IHer+NOCGjEEPxbItO1i7C6YRl6aBUagO97kJhecZdx94Xux7BiZ0LX0iJV/hrhtjjYgCRf79UFOjylkny2NGh09sVeZSgVGm2wnCV6Z5NIceuF3NaeY4mnIc9Iud8/aI5k/AB8QZmU82XBtCPV4XFekqKeBRGaA/Eo/MQWIRAPfen2WX7ssm3R1oABju2YwSrQg1vGlCkWdHewnKYmG7LwsrLI75F0BhYaZcnUydt2AW26nGfthv9E+oEjHks5pYpTmAfQzwvnNM8vfz3+K0i4oDAaeHpNL8bM/RBjCn61KYzzOpcuBJpEP4N0s0nW3nJmjP4QWopKpd5r9728Ab8pYhvSShlxqBmVp2RcrplNaDOkqeec5fiU0DEBtDL4KvPWtCgd+CTwHJAsFtpGu01sZqSuh1lAc1L5yMCBtYsLcfhSEj0UohvFb6cscGx88wp33B57gkbflnI9JYWi+++CqtuZQFmH5uVDgQxnXBLMziTOkG7C0yyXDtnPB0wnXUWm+aC2b28pzLxwozpS+hY9sFXTCO5+HEE4FncLBjg1qNGYiLDQkbG0bdhaaQ60zh20euj8Ieuox6vqOl8fS9OBQY1ltPECBTfefIozL/3Eu/WLOuxHNudOVCFdMIpYQHQ496r7ORm+s3Bt3zrdb/dz94PRCEVyoTvY2Dwsr5TCIhKJ+dXYWU/yCsEJBqErR8RnMd+xHjxdSnvHCgnmyKfgReHr7nOHnoM5KAMnASXs4c8+jk0n2CAsRo+K5dVoEDgMHmNWGltZ/w7+Md81wPXJj79/b4Y8BONZDS+wiezssyK4HLHGvq/TTMMopUXJ1YuUfLDj3bWnqSl9R7J7r2BLR2nvgyuj0uG0k0vcxVJfUJcl8HtlefqO4AqVkFlKSwTre/EXmwafSxPo/QLh8A5a+ISbdyCDCkUJ5N5UEGePwgsfMN2ef/1twCC7dFHN3FJqAj63B04577MrXZ9s0+5gLYg8LZQeIus38zaaP+1iiHJLy9MXEn9bd7qmz6TkEDMNXtzv0T5FIyIb5NJK3BK/nOC+1cywPpc9F4iGDkI85E/NT9TVYyUXHCIuQcmTTAdAz+nBGaEEPaM6K4XYxtbHQlcdvZLTJHPlAL7oj04u1zuccq+rOHQHAF6BCbDhbuUwbSwyXoeZpUV0/pUN8s6Rw5aViYKxUuwSfE9lbkGuBfv2kpm98F7nbOwhzYMKX6FIA8SisCcygM2W3G8Jjx+msYDWRLuDY9dOFRefeB01Gn9mLW7DJLmIQCSf2OjXhYIVBY3Uq4ZI2gB9Lmnidri0hYZI0CaeTMRY/uB0y8KiOhxZOujoRO1pgpVfxeTQrxDiR1/e4OYKD4La7/oljHLKrBH+8V3CxwkyXIGKdD751X/QGyxrtAuEXFT2dqPrH44zl5/tE9JYVdcrU0AJFVWPt/uzdCnX+c5DKTSjp1ZNqln4yvhdHAqPblekD9H8KL7yiZpav784s4NY7wnYbDhVXd6BAIiUHOufFpau4FdX2XhEm4AdTL2k7Q/36omp1mRT+Fv+467L2WAjWUvJE06ERl7pQd6iYmou9YneaOjcXWgdhUaRnDgQLNG4gguTD2jCE5PTMyy3LJk8oB+tvFtkxjM8qai8dsebuTqtGUteu806xGsTt9x1UeFzDv8jvTcdnhBzojYxvubbuYoIMv+8Sl8s+DO6pSntItjpFL5pjX6dKATp0pu8949sveWLJ6xUML78M4x9KaOpBu9syhAM+uPnoJRfBvepaAYVyuN7li8vNp440CboYYewrV9NF/Pwj7I0o533S6LeNhVmqM4kHtUS76VHlbMA6W1YnGDMwOn63geQl9jXhzpeB0Q2CzRybCJ4TQk0PRlSL/MIUHORzIwkz46es9DCQhYrD/tAzuHijcCDwlUlXOV7BdyYsL+TVR1c0CIJB7hIOdj7iJuk05Kf/oqPZl+mrYZ2lCpP3Z0IJHTxCnVn+iCa/zDSi4aWIhhm+ST0eFIHRwZTvPio6sKLlTQvArpPVTD7AgJs9JJD2Z1wxWtpk2QwqsIWZc8LvHw9r380MyEqDKBqUySRU70O7wdaR7vC0TZ7s9F1ogRHcd0OEWBo34g1J8RrJck3hk5i9VE4yuBX1z2vOeJyIcY4/2F1oOXyhbP1u95rfePMyqTJFKfs/nCg0GcYr8zxBkENTs/2QnF7biOOsJejsub39Sl7VlUgfGDUq3luWpuvt8qm6pLc9kAPTlv2IXGjIVw6jdKrdllCSGUg8PRQeqD1q+aIavVt17iV8PE3QXztGB6diumaKsRRQcyWPwBLcdWSJwZStlTypRA1OQ2MmSHYWSwpK5JgaaGKedQ25vqSVhwaEBZosXPvWxRnUen4chV9ChzY13SQ5NcXb/lcMoqIpQDIg9jFi8osnlVW8nEkvELTOD0Ol9itIBrPlsTbTcts62GfkVFt7bPvqhjistFAGzZtqhf7ZS1DDoWGJiRRrVuVeek8Mt9dPmEWbYKSPGDgmcBiH3/avNN2HGLKkL7ONy/OPhkAH1FaJ4sZ66/msEQ7ZO9J+Iy6mpY08gQZgPvWI3p1P/IXB/sHfVkYgaKTy+EeASMFofp3VxuLbxcBuEBX2kbwfea2GVlZcQie9ke2JCuPaB4zjcUxemiHtHlxLD+ldJy25ovN7cIzxnd02k1+sbCwi3O96kIYzZA6vA912Zqa/VmUP+7bTUS3/fd5+mp7jSkLjmr2pXWm7x7Y0XHsRfqwqop2EJTIiT/Sq273HDU0YaRyVzMDgEnBA8p6NQFv+Z0kM9R6fmlZ6vj86dpIby4dXro9vXweaKv/SgBJGYtxoUZPuaDPj9A5Ml2xn9XwgBG7W0pMA8K6+ARxHvixlRyMyXgpQd9kc0GsxTIQfOL4tEWjjwpguKSugBm87r2K3/zXzNdHmaphvIe5ivjq5ZyzY8sK6jwlbJOvCGPdZkzIBBONV2VDi6sNgvaADWTQAPSSFVYrilFhd1NFMSVGhPBozD/mkCPzawKaLIp2GJmhjFzuk6I/rcALEBuOMW5iLclR1kbOLIp0EdL3scD07o1CGNpCBtRGy4irmgpdaO6mGXf9fybGQq74l50OHsH8dxNBy9okG4morKgSS87uHzKhDFmI3/v7KU/SrwwcUICo1ibPtjgPC1lRpuzwUvX/k06OquvuRywjAoue5r4/83fZwwlCQQ/aoRI6LjcKs4RmAKEu2VYqOng7Y8PcTisEYQ0rY21Hua4vufVyfjvh6kJDTIMwVndp0Ct3DJz7mhobbeBvWIhZwj05Mh7o3eAUuTt+aTtgTuJxFcZzldToknS/kURguP6ZCRJ8vv2f7BfSFktRSbzIDmx3i7gYPRppdrkOc9afsCSUgTrd0nXD4tir+7+GjuhyjNf9MJSu2XAJOLh+j1v9NdQF29yOHoB5O34MEaPs7kQtV8rZ7tVb11algw0eTcqPl+F/faECOhl1ti1gLDpoB6HSET5XUBEEPsySS5iUq1KrySccUHmwDkUuxgREbsJBhDHCxnsocFnMkBB+EXWw8Uj6cG3T7TsR1DnuEa+E0H+nzpRRAnEelMN3U3HMB12y5LwNcBM+xzZ+vrY30fSGWsZvS/iVI8grdJ8zecCTgNL2eJwmSL+DgFk2PnLV9nH2W4roDgiC+d3AC6BznLylks8Rs0xGGG5g4ucv29B7UAMwZq92Ohs1cSUNCVqIXqazDBRrVGsuYanQxJD6bnuOM6Cq8StdB4zEOEecI0SU3sw0awawBBmOfOJF2iCP29Lwm21AXhClLwhsD7sgc6qlbChKQ7jQ9GPABqBw+Xpi+I4ukfVo6P9FXvvOcdgbYl5McNXyG3YmPjOwXqZUxgeJ3Uf1vp0iCVJPSE3YOHiA21tVd0wQQxyRYW4EU3bP2VkHQcg0V67aFCJ+DKZZ2OzdoTqxvmrOUPh+RlEbjAI/CzNAEqXIR8P8rqpMBv1Qjyl6dK0r+Knz+u2sCXEar0Ib2AgX9FdHpkTTRo7bq3QzDvNi6SHRcenInHh5gURcW97nSDxZ+onozQM1Na8O8QVKnpHwiSlmE6Ng5VdpM1Fb83hfH7dVs0WG0fGS7HY98xA0OfFk0fLjijqkWNO1tOz7KS3kEZujXhviOe3gX/PiRdbO1OfXn7fSQ2LXZf/cBAM3R2JEf2mrfK1wtkAqgX/JAHmcHWorf985q8MNSdi76CjesmkuncjeMCeOZNQJgxVfFbmQUfOEIo+3e6WZN9Ebt6+ShEr1ek1Uyf2nCIHKDPT1KTIdvREFB8M7ga80jmIJ4vpUOeFqT4REr6JYPv8IMg+kJFTnRQTsrqSPKQDbsrA1n+x0nXzqou0fyU23ypLIIufZED3ZUmgmw6HWtALgU6ua84b1BiNHSzD4xEpzNz8Whv828oZ65xv8FnmyuJXlBtE4QXOTnekr3OmQeW9Gy+IHYgNQXE0eeBCl/QSKUwVFybLEpmEYjh9Z2D1uccgbNwp7SJizLvdQmsvbpSuBnBUQhGAk2DVeMaexhWPBm4cflcI5j3NLFtr9siyGN14sm12J+gaB1JjRz/UKr+U4qu5PreCAgUMz8PnOdoyYDIo9IrfTlTtSiWBVpZy5nEAd5z16kt7I2XU85VhgkzmK4RZ4jfu0l6r7v1Nn3/3CyupSaRpnX8LQbRJuktJAli8I82Nqp91QkKxpNsOcQ5iQBUVfkq0nMLt7QCW9Pp2+iB4oTNSSdxArX+UwNSyHRxBH8RHv/yWtx6b9e6YqS8wrbKQhdGo0cGid0k65Ryn58+25c+T2a930Y9lWoPC6kND54MnB9C26QsIZvQxOcQOS5FBtC7TDk0UTNjLuS/SmbQi186TX88JEsYleHxAWJ6JBZW3mK12x63DrBFw03LMGX0j5ZpWAdRDs4KYAzo4svdpIZ9m9+u4iVKmzzSawFuo62AO6lUnCBQkf4tZFuI6ZK3ngx7zEOk2e4xtEpjGksOyJ7ZLwDP70jmva6KaQeiz8LHvGq/UTgdGFF9KXmFVP46Tyh4ssHjML+ZltiTvPgaLvw/eSjibuzOQbcyjtXdqZlCek5Rqaf9Y+0gz7kVkxQFFtC3b7Bh2NpKi7/NZfACDgA4xnht4DT/qkwmew/zVOPfPnQti3arUUEmO7Ak466hLOe6FHWNYxHpO+FN6RD2Uc7zs1OkoGOo23A5hkPYKPryzUiRwXihGSivWWKYmrU6BP8SK/mzcpfsNJGdlQc4tasZML/RTivwVqU19bku1C7N7K7u6qqk8/RPmtel2cVTGSib3ALtJxFJKI9Jdh1a6oIyPP8rUUpc5Xoz8bECpjpvWnXE3ymCF0SfWKfEoxXoFZxDKHrtK+1Z6r6RZNoOQ713MCk1gKNX6qYcP3ONCTGiaJBmism4Qdmh6/d6soZQpNv42hK/YR/5wYlhjYRUVI/cG7OKIhOKDHD6wCkob4hAbPf59tozQ3ZBshOKjdYZuBWVPai6UlYFZdBlczuhbKUpnfcBuhc5+TlaEkjokbqgnnJ9DSuwTngCvkpdKmPr6Rde0GZxmNmw8ArxgyGKYGKyoe7IJcMsD1GG0L6kVopQkihjQIaPGWoWWyi3Hq5PII9c27NQI2ZknJb7PqAymGZiLKZhNbRkS5P66iTFqsjGg2Y/+YymmuB2z7lOrMtmvkiGd8Jm3wQVvmJUzDy6SyFu3xea4OtaWBpl+hQqgTtcdde/r6K3n8fNvfikVmBsqlhdqIYqAqRqtpYUOfCS9E8ImS2rgIeU3YsHJ99g9HMQUiB6iCmwfheL3esAn21gFZJnVJCULPPNa4pZCTAnJwpxiSiX+imMMqtHDQ2PJzXrXWzR6koT1tmTlkPzbGcV+fLOcqVuRUPV9tkB1Q0j6oOgXuwthrQilxza7/O4Y4+qYJth6CcC0b1awPaQWMp8PuqG6uOCgGCt3SLLSyfk+OEGLxmSkVqWZyXmE1dEUdYg2suUxTzK4G5D+j9r/N5cYrFEs4KjAWONUFvOuAe9AWHPV9neZUJmxxc3Cw11k7Sy5JQs+T/qgllFMj5KKcflrXMCmzlNr6Z2PF6ZCqbReC0ju3QjJK+jucLqWHiVR1OyrCUf5NIiDx/VehoOIxmyyujNIzUgz62nz0EToX4jVGL9FQQEWtqChMRwrrASwpckWxFfVAnuQS5FuSxe7h9YEUCEg8S78Vi1JwbavVWS/rqMgR/HQZfcBdLxuTT3ORHyuZLzbXi/IhyDxiHUiJU3YxWWEHJGkEwNlUaAK/ggXwh3v8H+5AJMPkAlx0vF4nEV8C/T9eFBGcnMUdd6Jk6HMt7uGgxQ1N518LPmNHuke97eNKpS2OW2UTIPfKhpvEVS9nSGNitXvbetIAKNH0aaHyqIhcCXoQdsu3uOSJv9KdfSfDEyZmxliESzINZ6XQUiFJ0UrWzKNxB0/ikWhwf9Jp1qfbxvW8SbKM90Te3n6g6XrBe78dYJ8Vj5aiAL5pp8zWX98On4QNtJjnzApIi8ulgRGVT40dZr8NWhZe2KiLmO53EEWLrNyq/ZgUBq3J/kb3zm4+6/QsE0LPZR4Vq7NybAWXnK/ac+WVQRZHETwWXgcHvTgcis/Cea56zJwK8yCVKEnjJV5NlZyqUAH0mxZRt/S0hYfK7MCEETunbt/Bn3Plbr+SulNhivCmnbH9fx3tPZbyESQhRByVkLL0Exc+xDhqb4MAqArNMWP6P4ZWa3dTrB9BB20XBs6ooUzyiViyytDktHjcDtFPkDKQPibYeotk3oYnaifJ9e7ZtPJ48yQUGoFWYkzeDp2RH46p+22k11eDkByEYWBG14DfInoGY2XwvM0MKiqq7+h8BQCPjeIRh06dBfbFAyalwZUcH4V1OQm/4UTn1XfjZwhXIYJSifinYDC7q+1O2tAdJNBYiKECPedf9Jjwou9mh3JPcjIF3LVtDMQMtXqBcwV2Y6+rzu6aLvhAZ/J9bVLktZ+mHRbLPQUz56uDR1Mw2TZhDds4JKlZn6JymonVtPY43mJlb5BYlgVYsrhT5kHaWJe2AHKFPmXLFoUiYEredE5BwfWAHE4hricAYuazcS6B0hvTDS1og2Z2ueQO/F/Ec/F0ZfFb6X/589AW6V5ovqvcSXklUKMczFL3rh9ORfwRokiD9QQJw3qH+q17Qp4jAqJR7/2R4TcRO4dSBR8AI/CR05O9240fuM6NQSbL3NdPCUwpx4z1FTxPcA3Fg5WwMBxSr5DiV3PkPzIwcHiqm25LeEgehdjavHV6T8sh2K08rXU0elzSsvHoi4dH+hvpUcizDJeONlqy55H7bX3RWguS22sdhnhQUdUPSr4D3Bu6atdaHy2tMgOik7Ilwr7K7GWbjd9NkS0Vac8CHRPaK+u7ZmfwSNRIeugL6dTQgTUe2bKrSqERwWUFphrVBwe2kzxzedL+mouVsSmo673LUzRQdtOupdp5eD1aseFEXGzxrmkwgIa4MgLeW68yqOb0wvP4QNoZR/sv7xeUx6wlZT70+89IUDJK74jr+y2TsWAx5w3oQbd0u+6YUs2qr9NfUpAhcUr7nb/hgFfZrOEUd5ewZmhZK1ttnjTlArPFYj1Avzb0dEPK+RTVAv9h+otDr53S9FBDJII3oMgjetdXw67fK9s0N0Xi0A2renw/AapubmOPdKsQQn2WK+1wacmwQb4XrhU0uZZxOybhEtnZ/zvVPG0mtFZkptS8db4W2TcyMg67T7KWhHZoS7rAwLDvQcDURCA8Q6ZwU2dRySR8MG9fDAqNg0kuYKU8H9MQt0nIKsNfJ8cyYLw3m/uxY0VMBk3FRpUOeqV6PYg50fZ0vb2iNcploOQyk10XbaJsGyf/pwFz9n1H+vYKg2k1xBM9l769Sfopx7qvNyM5+s5pcSHeZv+oyJ4p3jwFJx3hrcBz0r/xlFuYQraXWzFcyJbO/eil55U2AXn1Nm8me+nMH8YsG49GAn1L9UEOzvW22W62pwZPhK3Fi5fWOCf9w</x:t>
  </x:si>
  <x:si>
    <x:t>qIIxFIzKSXyYOqr6wyV/jN5/Qi+pSY6iLMBdS871IV/P18suqHOjO6dvTSfP73BxqNFyxZjlRlQzOgfxRV6BkdgR+oBZ7mHnpSt87Zx9LzBosuuAOpSntSd0uGofZPDCh6Zzp297IImgNDpff+u4AFTJSeccrOpQf5iCykMfkmFZltJx5dygLLDckSRRN0WkqMI+6umb5X+z7pFxE+P562+1szf+JDsgkXXQFgf5vU3bNgllix90NgGMxN/5T3HR8pRvKHfiIXjB469+oub47iEe4XEsJRB6CxiylhvNeftf0t9Ld6rw/Mon2wnot53Hx4+GyJHb318AAQb/Ycl89foX/FsnC8/d1owb9q75juAHGaHLrJU9aX1TuqvC2aWscxUJl8RaZGGEqvrDoXOkpYTy1QZIMCTB+cPSa2weCuNguEyD14YMzI5iWNWiWkFx7shcb9VwtouRuCF0UmPHFEknsFBrRJJKqgOZQ/Am6SVgVyW02lT5VMMR2jueaP5ZX1E8Sjjoic70gZX4u9GvwlMP7g8j5Ze90Ne4MHdlb/ji7yjEsqCbVgk+xmSSAe0T+0suC9EmlLQWrxCOMdl7kFMVuAPNr7cFiNvmdjvXXwZ592NkWWHOdVdTBmvEdsanPkTY22WUGjv0inVAb1+Ny/jelKsU2HNfGqT9PyEEdkzV3KwPAoCd36jzjVNpigYO2duiJhO5u31AQuirmq9GT5cz84uRCtNpRrKpsxQ++tPt2+8O5BRVCScX3Aq3wz8KFzEiiINcl+aVrYHYFqH8zf8eel1V+d/ud+/0oZo4vK94RjlUuay64ymplEFxM6NqD6guLwZsR0KtWwycOcwymTvJZN8o1QhOdsFN1WoK9BysdHFLZVwRoo+9glDjYIbNUQVOr/O2gs5B+imgAFSCCOH490pLQpzORPF960QRCe28f5eOxXD9pFC0lv6CXntGfrmPiEsDPwcesdTeBc0yjVQ8TuzDBY7SA8KBjE16Lh2y9ujp5CIhSt5v1Q7Zkx1gnM9e7tgwWUKmXxBuBkT6gHSyH6Qq4suZgCfRndBaKrH+PI6TlWw/ORdH7SMybUWt5mrzuUjf/5PEIGP9LoR4UE+rstSlTpQArFa9yh8Rw+4MD9a2acsRvmKM8r5Qj/S5cjQQvQmxxeejKnq/avCKrV77R3272Rh07Q1WziDJ4FLC0cgFy05X5Kl3K0/MCpqfgVVomRdETJol4feslTATtrrXWr6GX11CIVKv/eSfgulO1OwDYRGPQNRkIMF/ETKxorBv9CUuDxJxFJSTVLwvnIadC48u9kOMg+aIfweQaoJ21r/5PaALaVpjN3csa5xC3L/Y7VJM6CrcplKc9fbQXx2V+De3pmvZKxnRX6Fmw5PIx669HYK+aBgIxZ/VzmRRg4kumWUrHaz/PuXBl3gPPuydjLvCDE02sMRNOTAz4K3irt4gw8pX9t5VTnqKwmTI/lRy+k4MBs/kFFZAVXkQ5MRxfmBUnP9TkoMkVBG+4a5AG383bHsM2bc7KaVO1kJ2u0Sajsp7uTIFeIpxfvyaDwu6lKlC10vJPVWy95yDTb5xFNZbDA2Q/tuq/MvUgMfdM10wH35WA89rYMT3cSJZ/iLmTxRG9ACESu/VDB3JURDSG4iSRYlqLUEW3MMDkqk1IuSuxkUd9OKr8/cACmJQJAqSWd38WBFRxt6PhRpkr+d1VxasOCVb/pqif3/x2N1QBiuVyKf3JfIJvfS6W4Qn4wDshWjqzn6s/04AXaFRAmIqst+FtlAKtPWkftTlhhGiJXF8zA5skgJvUUkQZwGXk0lJQUxXCXbBItvT6OjF50R0brJA0VF9C7IFDLUnQFC2pHU3mXtodbr7xe0+OFINRpTGG+ohLpSmXQuGpk2/5mQKiqrLOp8ctd8uqFcFSih1EXezP6bODMUghSk+tjBx6se/Fv/OtmSDhlK1LET+kRCZ9/6AemQynN91zn6NYQ8qDVbpVXzRJ34HHezA+7vlXnB/uhfmrHHQ11M490GERjJiUYzwgv43fJwnXgBz5c243h676CB8rsMUvVyt/1ki9tWmXEK6zvNIikn69j2L9CTUABWwvyi0kHiHyzP5RFZ8OC48FAbeAwyWo9QlAWyn0l1sW9uyqedoDScEueFURTkjaZ+Z8s37JLu/qVbAhEI4yj3je3ikhQmUqJ58bdzWnSVtEtxRuGpQDV71KNda9DolkvOnZDJVXCgv3W2Es1bxJyjVQqWlNvaNsSgrbMmPviA4JOWUeIRsZVZ2m8hvuHOR6c5hnBV1p3UrOy5b3/Ga28UyHiz4Vu4B7Y1XaxlgyF5Q7tEMjcaucs7GqoA9DjgquKiY8JEkjAv4a+MjEYo+0Mmsa4vBVIIL/CSvKpw9kku3EFaHdVNIn4rTGIknXUnil2lFtmfSMnJdBWpSz8K5PuLBglLFGLIDcUy9Za/CoM/LJocqbdUZBfhw17tvlvYGm60LuYTmV260nSYVx+oiRZMUKL2nJswNVQv7+KDdsVsNgQ7sR6BR/Lo9B3rulvplBK/ihzCXS4Py3gdEQVsA3vO1Jod/Dwx8JiaqGY1UPlh/rK5VeEYt8DKqYl18pIM+fc/TFj2VjAq35DyrkWG2XJjCiFpCDnEGGn9jnsni+BhlgxcE04RAY8SsixdIrw1A8j933UAfFo75eVQlzbgdSOlgdxjDwaUl+QcyMTdLiKkDToPaHOHVr/tbCOqggG0v/F9TDHrUpOv/Z8DanGR5JNhyPxd1ktgMCR/jNeur2IDirvTcCXrOZjJvbx2oTrZ/X6rtTPiiagrfEhM93QELnniq1Wxmcc6FP0RkbANqfMZxFVyDuTYnpJee+fJbQMPm16NxnxOw58bMjw7Pd5AJpUYD6WJw1EQgHDwkjURfWkY4nysa1Z47DbDHgYLCJlgjcq4hnZS97uewEd5YPy613ATQDI9qy40mjCiUVWG5LljXjA0PRODnwimZjtp4H3sJJNyKeIQcTKBmyF7xcgbasULLn+5ssnZ7n/3by+VJirNicTYaR/uAWl0c88PYKQjyMQFOA/yXQKOcK/Ldc2tIsdjNa0Ct5YT4nMLCxLO/MAk0H4TbvSVvnOhlFPY6+l90+Iiwxn5/+JFWAm1xWErKL0Xbn0Cgg54iU94uEy9kAlna5lCWVilsN10pMhDFtkqtPepX/FQWard/n7LGl3cX5bSXk7q0HlnjVNetZbCb/lQPSuWO69lm5SpJYwODxM1jrLA3GqdjbwBMou+f9zaQUQf5cb+Ip/KXVNhUrn5JRoL3o7kD5BAu7RIQEahN/xQRxdRqdMzT9kOWlGzWyVqlkr5aUJpCEhsVxmMY0bMcIdd2spdMVisVX0LaptO8DG1zaq7DyRjgY5d2+9r88QQv885Rf6rn0woZnb+XMs2cgFVv8cNBd2vL5ccfYL28QIDY+VZ3GrcVKRoJ/1SjM4mqSKvlc1f76DQiQGJWCxVqfgapey7kKjzsqZe+0qqnL4sCl9C4fPg+mHjIqL2+fs50T3yt6crEpLIf3I6DAHHeb2vY7yFs4GWdB0lIaVD+dDsyMN1Ur7zgH1Nz85R3OevJOVblBvs7V+IirQQ4W6eFKgCY9YM7LsLXIkah5e9inNSDAr/++8ErS0PoyxTWSbBsPaH578G+cFytUo5BlP15Ck2h0fIU0H1qzvLzGAW2GPp7TLnhK3OlqfQiF5N3EiK7gdsRqyw85PJ4Xq2lWkJd50rl92BoUJfF62IBD5c9n8NyoFhWCoVEgbTRjLAzUjr6xiSZwkZ9vm8JWJSJ7ZFTx1qpMCFuCDUvItoBzLaHNYRXDGrLWfstM2qCdudnzeH3HmFMPNET36ZDLXvJ/hW4Vy4d33ONlbw4J3a0kRW+ugVh7v+U/E3bqStdsP5eDyykqvsmZussl503Pj9Iz09Qk7y1WIewyNWixpDlphtWNd8QNRzZQXsyZEWBsHfW2hSgTX+8xQLI4xStgEVPu5aiDvNYhasRBsePPy9GTUNNL/ytSK5CvLPXxdHdR83Q5PQdYWp6t6CbUTPnZyEL1GG5tuYhNb6v77TX8H2/2cDecX7VacMdKxNebXkarLfz2zHI9eVN1mGtvEHUNN2xjq7ENiZCAfgPlT60Om4xJzGyYvlcle8Qh4ZDYcE9ScfagB+W8UmxbrzpR++O3VVWr0hLeK44Lb3jFYpuhvp4dIQm+OMBvbL7kwhN7kGYuK8pH1tHkfWA2hspTI0mUwRDEruR1ljkHAM4YgpnuhNrzj4GBYIBai009KSh8JW+dtWPmaw+jsZixWfSdDt+dgybPhm8y2PQk3Ns9zAnO9P+Wm0GeLFd2irk2an23FFGxy3glQNv1w+d8i/XfH+9scXGMihRpTdGOHiu5/ZbcfANdxoT38M77dOO7Rn2ko8ItOpC/SbsZK/aLvIVjG+BpDCzZSkxs+o3zUyA6PKEqvg5lH9RP64xDnKhs0HvZUh2aANMuger7GSLqVT8fAsJ/BSOcmDuDiQH211U0+VvXjJq+/qhjSsiZT2G6XawI2ZfvvxgH9lJBMn+gfYQ6jY/CfsfE0BsporZ8oShOZtKyfyq21Xe1Le7NMZ7eIg4yqS5AhRF4F9EAgpubWk+XKWdCNLFWIt57dABIl8RTPp+aM9tAev/luLrw0jWb25bdVZTVKGBojTh0SqnJJj/Bnl0aF+cBbhX8WwLFPCVPfT5MgZY8NrZdnV+SAebrA/Mdd3vy+MiMkmR7rCNlBpQTN6csyX3Vh0Ia5fg6p8CGeBcwKU83GSl0L2m08LCwxToCVbbUyV80gCdAGVxycLLdkmvnORvjMbC0CqfsYzwmJ90nlqNVgLfzmvRtn5H4sMrzxFkAIf1YM0n9FUn5c2lYi0XFRxhcsIaWeU9/9pq0CnlocV1+Mu2KXgpqc4FOGjfoPchYAj2lJGn6w74P9gnlQ7h3vNz4xY1vTMfzbTNUFmx2r4jhDiM54lI6hzfRiiSTCY4MAncNAN/SdHWiEECZegaLOvkTDfmq1yoyuyKbX11jIXTZg9MP/i+oTFrnJ4Yj2/XDNHNj8HED3BHWhGXYvFWTXXvbNv0h+Ipc8JKDtGaNa9tHL44C1xYVyc7aKKbYfuHZO0FpugTX25xAg0OuL+7pf1gTyag7mjVhBQmBNJ5wdgrtE2B6DvwtovvdrlPFFoC7Oscq7fhj7NrkXEjxfwbVmKzI1l0rUMPQZjds6OuljNu7nLSP/rUu2mKV4CbSOvMU9/3XEi/epzWP9+Y7PuwR4ltT8Ilt+InShKlkzj5Fo7F+U1qYWq7pIbkTc2ww1e8bufRcioUwtmjYQJ/wd+FkfJ4g0eZ9HiJ+kX1sKy3tPR83mM6rySgPXQOVSpJ6iiViyXCB9oVWWAQ0pmQn4tARw8lQEjbF8fkQcoWeMVgZ1/1ZrmlqTjnzCPKLZB7KG5nchysLxdJ3FS94d4Pil59E52tnX7xJ5T5fFWpxcyncGRWLm4OseqkKOlwDfCKQe0xTljCqD/qlDwtcizT4koDkGfaVUKjvhXEz6Csp4VqHAbvgrHd20OsQAz2zce0sSqlP3tMwfLWmlyKsSYBIeAV0bVEfqpYm5nxOSgn6JMezKNRNENRCE/XBWlKDQ+zuGT31cZH7HKa6DaGZ/ftGcYCDgjb2g8iEmZOIXT30wYQFpQ1762DNEZ8y5MPQBXMsUjKWciwKa3qyKCtPd40qp5vTaU2aIXvgVJMqkDJX+33LbbFpoa0JGMhjLpXyO69P5cA0bMj7TtaK5YDkDswRaOmFI4HnflC5+cgdNHGbDqdmr4GspogQS+7jTq2/7FOD+gMPCkY2blkyexH1BsHHpKO2GYX99jV+Lg+YZoE2dZSuANJm7PLj/PE7Ap82NjaNRCKfBAIgo5p1c06KgmKpeHnHDv0y6SJM10AcWMW8r7tSnw0cu9aF5Nrit5g642NVKcJ/q6estm6VoPFsfOPcSO1ov1o3HDJqe3UY93IzRDuoKuS9nEO7DA33pb9dExDY7Ohqj5lxiUl6Cfg88Rrv+YdDIyfMr185RywMgisjhnXPn6EntGzmm2vjWdWyItS8fhLHCVN6ZXEJoPUsceKsSwk2sxzjB+WXrz048C0I3vFD0QcYQlr8W83BWK19LfY+us6DdoWDwK1nu4yGJLrK26L84iDvJ6jr8Gv93ZFyZMbJHX14ovVzFRfl7dy7bww2cE0lY/iPxnpMx4lvb1xrqr6tiw+HshErOhAkLsPXd+nOb1nHSZ4n8vF8n0QSOxgoWyGkl2jkck/lG9a3FXZQ1DSIySzeuV44DcMwZt0tXK36pITK4dON1OlWJSe7Zq/NBloXidDwTOZ/nSVg75QTn5o7VKmVnpZVKrS/1rKvmsFffn1wJ/FKJONlOrpfw3ncWheyFlw/6x75mok2jfQwg10D/ot9Azv6ogeI4KmE8BW5Tumi4WzparMvQmwYXC4f5DJtKlkEeT5FK6BgdigTNeSCf7StvN0vT06my/0rdZUo60SovJ0wNf+pvlK8si74QGyl2Ly+OBNqUGiz0pnDnO/R8emLpHyj4vNJu1QWMwY6QdPtCex8LRGOJnD+xMMjtErwUfKhExM0jMug5eqULpLhOqQ7ZvCYZqvj2ciYBC6F8AHz9Z/zlaybnjLKhk7C7qg7EMYCRmvIWqeLK8II1rNmlnCQm6C82UpxRDoMWw30Rvtr+m2X68zFiPvDnTRw8BCGkJo/lvyNk8/wsokt5iV+0qlVkaNvFATHDWD7YEMpTgaYs45azpUMi/0kBSMyDc7yBWZfdJIa6544FnsjoQ7/AhEB4j0L1y67aQ2hmldJEy+n0w4kbhiDvKaOCelm77ztkQXhTydl3yLEE5n19QRn4784oxE2W6SocKD99F0Bnc6Vn2SNNi2WJ53chxkdwdOfF08QleW2NIYNkSD5tIncaLQQmo+sGTZ+XJpt9s2VWWpQ0X08XzlWmwg3o1okrye1WFmSdRje8B7P+O+grGykp49Rnkxe7hdnTOjd1ij55tp/G4xcpXv5TZAhUF7Xw+Tz7N2QlukVg3oEk3tQGzJRUyl+fyO9F0eAdC2MDcPQwUg2M8vPman2v+JZZxhuuFXEx++ULC+xgZIcHMgExDZWxpbPxq+sZa1N8cexrhr2r+aTvrK/alVLRnT3XuO336Ygh0uFabeDF7naJpvxjH78XQCl6DB9Skk2WN/z3k+qEpDyr9NSOJs6APuFVLhjXXdEwSTW5rjbAuTwXQIiIT1tRjcR8uRvxbOykVW0PO0NGulEhZAn4k6hgU0ai8/PUom3UrGamjOHjizG8jB8zn836DKgxnAt1sjAwp1oyI3572i/Ma+XOfV76i15aEu90+gRVlNm7Wy9KxHkmf8nULz8KS3YSrmsD3VK5hGJL6ALeQ1d4GNcfMEGMenZWhM5aRnS6CDEP2jcymQOq0OHL5ddxhkpHO16CQNayFtinXxbn4fQFrz9aDmYOZGC0xfw5ag4QOJk7E3eoYAXMkL88OYV6ilit1UDlhr2t4JTOOwWqpdDx9plyOSYBQ9Ly4vhPYqkznBltPsXHpxjSot1dkKy4A4SaCQ4KpVW50q/UZU/G7uBRwtMu1by41TZ6KDboMG99myzhEb5CLLxDhId44+Honmogl73k8Sm010eBVLD5oPqBfO+MPj4W8tE+C75TgYfWHEu8wzojrsxvv2HGFmXbIoW4jiamsZnboCIJHf5x7EUBQHamybPDongW0gEQ9FkPci/xKPnv3/Yqx8ArjwFQTTtVEwQnjmV7RyUQFpzUvRU9rB4K564KQ+g5aiXUbwAQGCFy7X07m7YQB9T9Wj9AiplUrBD1BFtMfIis3tzQcydSdLbb3f55O1FROCRtcso2uZMAgrh0tvZ40lCu86+pX5cjJAXHRdiJ26Npp+rO0OkPp8P0oY5f5PJ3NkqrUFQs8CV1p5hpDBX67VGAww0DrdgzcOUxn5WJyEsJzNeAXDmI+yzhX0z6nZGFDOBOovVl3M+uiB05uTVOdF0VcjNdB3JUojRoVV+XwlS3GXm1Vp4evnOjNqObgZIxlejGDx8VT5mVA0U3xYENXOrlPUuIDxywZ3TxPgAzc6MK5kJ1Yo1Wl6bxNH55SDj6DrXV0KFVmX/+5e2n6xT7X7w6NLX+xtvuMKc4VDFsAhy8fINtIVWqUQMwmiLHwjQ0ZfScwucAhJNJGk/KXNiloFUm3dEs46tBeQyIWrugIOf4SQCCFzL76XTc04P3YcF7Cx4LfrENUH5c16vl4hqgr2pMzJSznYN0LmuQdl7c4P1YQEJUI9CR5EpwiMUFpJRSZ1vG5HvP5Bxq6pDvFqTfFLP1QzXQUJUZPfx7XvySFpU20xWfCCXPUZazB1uViW7wKFKnJbU7EvNNDdRU/kSL5RIEnMPQuZWHjIJ+rxeROV3YWJ8z49rT/7zoffaoWJNOxvDuieGuWgqv6UhsEwOZPaSsiI28G9ybg6uzNarcLBoOGxUPOSu0KwhLdRgxtReuKiWaRmDm4MQgaCIMyvi6yJxas/s3EZQc6/Wq3silBN+xiIL7tF+oSwTC+B3NrDozXRe5CQrlBWw5Q3UIxXaVkbqDNuHxrGL8c7MUw++Umuf0ff2eJUt30byrhDqx9Ln8Lz5cv/RoqgZIZFzHsf8tuyL4KHBBIt78o/rDv9JNcXJi9/zcrQtbvN0R94GfJN4dplvmcOiL4litTBgofCVYlmgSQRDG4/2weN7XfKXnLv3IGfQYeidm3vvYbZqC6P6SD2KlvY1dz3+oMF/JeZSrIkl3/Q64yU6lFbGd0+8tAfcHxnuhCEBrE707a8AD5/XluZ1TyQr14JgqS7MlBdHRGPmjKBUlmKmSBKFgEXDmGPwfsd6TNKiQW7Zl1JhUVM+2H/SpegiaJQqocgXtKMA8Ix6+lU2dJxegM86ngf8hxbJfvaAkxi4YJ90Z7YuGQrzXjznK5Vytx9zd6OIddQt8QhaRLqzAj3k5GP32M+xHWVAC6U0EJi5mTe7bIM8zhonTe3OISHHvCovmywxE+atGnRFfLpU9kn7uovEgC6wR1v3tSJOBZv3xnQkswkDf8YQSRDhPyM78XcEZnGokKUEacn8raThcIAsgj3gIQ77vW/XpfqwZGMlOulUQsfN5e7aC9K5jlZQfEu4J7mgyqMSsIYORcvm5K0z4OTjWiC5xBWBpDNhE3pDHHFjHmxhLSkey3oMvNOCCVp6zaEDlrcFU/WFE95EyjNfSttDGFFJx60AThfQZZvZKN8HTb3Y6rXk0ue8VG7BWJYvOvwgJfswaHz8J8ZLdOx37v+rHFVD6ju83uwHQn5TAAdcuODqszvdQ985y4O50Rkjszf/u3EemG9D01gWEdq8gOXRykVnoRqFbCvG4m3RWDXSg3LfWoq4Zn2rG0d2sfXBQdXNoSoN6yZI39G5G9KctLIpnkCGPRAoXAsufMyUUDkKLueQO/yTzvBwIpjccINXlF269DiPbxQybIyLNbm6ZzmRtOeVHKoJOZo8hx9ZKZEKTiULBaW+lwS92GHwpsXE3I3T1SdomtRCEWTVf+Z9f7b9AT+qKutvXv98SPGMAZ8LwV/cqEbyGBx4kTKfUliOhPAD3yjYexRVo/9Tep0uCd9kllMBlcgIOhDOKp09eV+hEe1CFfnUHuCWx3ffLJ1J0Q0SJguD/NsRphaPhq8CadA3xEdRrvG2ID6tI75qcJ0VE7ngC0Kr9dkpRK+LqjPqjoQwnYdfCvJL2Dzh2uWwLOUsG3Am/Tlwityk9JjLJcvGzPewjCbFPYiDQQLeXz5vnUmWC59WF5yIacieaXH4R1OHih4wU2JjDr1jlnhKJTbwbZiFHebTelAs3OXEvOED8wuXnhOxXNzJnnFfeJwno7Nm2Wz0u8fV6zqUEdpsCYdO224RVvHAy01trrPYKqBWRh67jW9M5JFlbtUcOUM0HLA1Wy8rDZwN/TKH7bLFtTxHIq2n5KN81h3oTFgsEAKBZbQByhT3FtidNpSQDTYZbJK5WsdxvRgZzcENNQ68vNb+n3cgvkZqzFGOY5/KVfcx7M6irfTlWzFmueEV8R66ZFFdGZDRrEw0NtfM9wK6l4mxIwd1sh+yKM4eX15MZ5wERcww5ZvEZaWOWYvtWo8HAOR7pkop6VlHALv241xAbLl8itUFLqRloasz5e3VREWyZUlN4/o7+4IqUQCY7Wb2EA80Ub9sO5SMFfeyJy0MnJoEMwwvDRIjeYK+K+kid6kB3q3YW+UhhbOiYG6vAA/xA3NGGIyVOc9VzM8sw6fdYEAnpVVYf0XZucEDJWw6E8itJ8wQiAYFHYNs9iSx3Ri93f0oHy9IvYzyND14NCtyx18qbjvHxLdUac/h9WvAv8T4QPz9hhXYwnCpQO57Do6NLpixgYNPDrYww0gvnhJsHIZGEXYWCN66nK7EXfVFFcYOPUCEkhZHObUieLNcBB93eOJ1hKauwTzNZRtF9lbHje6M4F4ypHTBD5uzTS/Xwd/Og5wcXbO8ZsfC9yePmKdTf5vt/sFJrkmm0VZWu2oSo7t9519PlYamt9JG1G3XOo8v85NMecapvuvC+4fFxmHsiTsmLf0P4SrBGxlJndAF7nbShHadxketwkYTsQQj0uWeYWnejxcJkci+1rz6PpzhLvArE90u3SuQJhUhg8RVHGPuit3B6UiAO7EWB6f+DOYPWmDeRtgY0JCdbWhXEqBrkspejU69yzhbTw4fiOuHBXyG2F6wdEVN+2c/BqV8pxl0f0GReWThwJBAzxcprxlsk01DRl+RV/jh4f8+1qWiCXpOmeFVqYCQKV1xkXsAqO4JRtIF+76OzBbryi2jDKgLmhskMpgcakP+kdZNYgY029OSWO8jI+2N5/NKD7btYHa4v35t4nv+YjTAdBbfWfqG9q5/lzpVu/zMgXOQcqhsHZIV7+0qHET/8Yjp7HVn5f01Au+Kjm+P2VTj1w0ZbP0OXtRE2vMN8SQRuabaotyZuGFIo+9EN+HsSNtZMdxqGMvS5HLXkigOOtrzptC+kgjknDeuzgri4bHN1pnosfOl5nbbqDL4B8Xis86btjvoFIirJHRqBEP9flIH7Ul/lSlwinTOUHlmsutrABS6uenGvfHvbVr/Oi/N/03N9HweIeifp0kAThayYfTYKlODnytKcRy3xXZ6isC34x070URlpeXfHjHx1OYXALQQE4/Mc+gZxXBTJz0QznehjBCKKct/g8dcoENtHFFvr23s+b8uoI4xXrVOMWmFDIst9hrVTkamvb9N6GatkfXN+vPO60P/ghUVydfrpdNRhcSKJcvyl4O9976jamW/Eo8BqkCTp99p2YkWXrZmBzqfw7hPcxh406Ol7YDIrUTVbPKNv2chBdP1snXTiYKl0xUr24ON3GhzUPqQP6oHgXMJnrBM7Bp2YHzFt4o9gWLXAq5RFD4if+BZO8XX5YwFHhb+MGIoIlb3pjLGuAgEFzcYgacPrbTv3kllT78PQ8uuDisDpfK1pqcOCRxpoq8w40+C3A8rcioK4/tGYlnrg3HBFWdg/QuljXe7VHsf/gvnmfvlXP0ZNclWaplShGEjL8+qIIHLz6Rb4vFMEWd1n8R6o02g3XlVJm7tkEkSaE3T3xHLeOVVG8dW90c/e8FnacCXlsdf7P0OSfX8D77GmmdWTOmUZRqj2oxDFNgRBCce5gf2SAb0CHUPlgATryJFVJulBdU59ynmAqy2men52O0Cf87N63VDSXr68jPrT8I/lazDKwQJcvGk15l4b8kuFW+E+JyHahZV8um92inTm1wng7KE09Qiliq0/F8FHP+pUWcor3SjswT5RTIt1W4Zy7mQ7RpuTir5gjeGhebGHIPzy0oDJ7mVk2RguhAxorytso+MFWD7PRruC9Ixv19K1YKJ6bUjPIe5TZBIUNYqqe/rYDqNrvD+q+rQnldgiqLgfNBSOMmwktpHTLICpfLpZ858tXnWBs8F/uM92f2dzwokXN8p2kUXHZ5msOdKKgfn8feyRufEg1PK+wND/yAfA1pUV5mYrTTWAFoZ4KkGr5xMATDG0lsQ2tRt1b3hqbckxvQCZ+jn/5sMTvBLweIlXN/DUnpqSUtITH8sB2G6Arrt65CCvbd5NifK+bc6KUsjJDvzZcZAA/xI9R1uv1MnoxLRj/IwEhPjCpaz4EMWKbK38X6DCHHX2wGFjsnwe1l6SDrDEA556TL7p5Oe1rZVpqhSSqPNwktNplTRByl3mIsC79sUIrwLW2MAPFDAxrFZe3t9+fBsSec9cG5rD6V2YNBtt3Y7zWmaFIddruUiviFlW1F3oHFmJhDOdAtD+ahA2w1IsU0MBiHXGnz0VLOh+KAzeip183jAZXelFs/2GR9TyNYX8m+1ZJptGmfsc0UD+3eP5LHaLnxsp82ByEaJQctHYAe5Q3BoXI0OwUD4WRZqrvIqubXwo3vkB6ngYfHUc3sAC4UQDU5qdyQ748k0e5p9SC7/BaYnamrBDNty5inkCqL9QkWAL/7nvDDUqbaRw/6IUoDQF1jPp2lk7yWksf3LxAKWvs/j5z2iFBXWW3h4UTiynPQH9vPWn3dz6pFJcigvk6C9h2zfjMPA1eSgQ8gLSnfpsQQO7Wv2aFzMIhalr7s4vh52pnyqMr9N+oTaDCLOYRw07ovAC7aIurHDYjwjcen5k3Eg0bGcZHuzhMTXsuNDctM2h4kJMS/mozq6KmTvDPm5IncwJiyFDvzFetBWH55B5dqcQpiT5WPWQ2XSlyVptg+vnOJKD0FM71SaM7EW4INOaHYVG7lXjO7BILT7GYwgAxMQ3DGqiMNNzlcjtCdEarPGJQYgQmCqIDPh7nl+B8VWK/6J2EQaTi5sJ544yxgLz+EvcoBenT/uecVBADBLtNVBuX6laheoKqRqJOYIDYzl7nqRKpMKqdVgh4q6sGf5jCtV9R/Pr92uiBA4mgwrrf1mePZrTM9q7+5pMjdIMkK4MBJGTp/zNK+PkdaoQYWaxNHk+RASnN91AVavv+b2OVUVip2G1y30zsYALW2rZdHwk3jPaSbpLXNN6j2nAl7LdXtg4LDt6iywq18BAdm/6krrUcQq7L+bt3Sh4FlB6m0H2PgiCPTpPD4nkPYrjFUqYQ2Ai6zLdu25ex0G4OneQNgkILSPYOV5bR60WGxSiE+Vuuooz3uOMUFEVQG8myD2K6Iz+8F0l54uhOvy58hFzwjFTJf+74rReeYvVfA193SJ69braFPTtD8iHKk/sBqpxRevxNHGf0em/gNVXtKDY975Le039apQuCJQi+K8os6e737DmQiflp4JHlezHltS0YxVPkF9dEC3zi0E5nwVncSkwGtcoOr0IkoODY2JKij2tnJ8+ggjDKxk1O9Fd41cDkywepfCBWfbzeiA1KUlVb/2qoEnyZdrTeAWmOxMYYWSC8JacWZ4CKTOof7Rn7RHkgQlaTkgMzZBihUw5owVYdxpQ1+S9qn/6khjhP7TJekJ0ff1Oc2ympkbEJCpHm8mAu5REAN5vJTZGLyfCshiQDuLYr8x53yo9gBLRN0z6SQZFmyAuDm2S+OV8Pda8X5pz62SaqUzQTtuhK7FeKc602tYFnrpvpPto3YlpYzJW2czsDI7NJWx2Cj5Z9+Sq1P2JyK62yr6lxhSI3rIOAcgsY6eH5YtlVfg8XB2fOOw78hIMP2SmzGlZ1ZLq0Wipot7/cx/IEHEzUVNkRpI/h3jpe19Qbk44SfqJOtN98RsMs6wRYadMEwOHtF8fH4U0fnB+vvq1KgVK6bZ+JOCDnYuIvbspCYyTv0C/DuT4pZSEiZ9qSrXwAq2wNS5Ln5mZ+OI1KPh/t3v3XiaUnuIFD9bk/5EKx6vk5ZEBB2tys+CTVoKDvCPiQW5betUykomYivbGihIZE9gfCWE77kO0c9P3Q0z0ld4y4FNhkDlDx1KoBmq1MO9/QpULUtXx8by6QtMRkPDAR5u+HcyFX0imNvOQ/Ni0FkXjTH0VQ5OmjNr/3W24hc0CVWupn3z37HZG8huafB1vVSRa41aeKpOCthzbMA2rhMYF9K+5XafPMtTOLFzOK4yoBBXVejrjdwt/atY23L2IVLJnknGObdV1GFOoUA9OSkKaPVgFJQwuFBfA15ztjo78ru47F09Fls2zOUKKLLB6yEuM173BV+UmnWg5lglsBU6T/lq6yFLzdufe7xsOFq/f8giHjYTwEnz7Q+1jsF4KBbeR87jv/IuxMCDGaHryXF2JSWBunEl49AcoBJKErTKuEftS7DWsuIE3MP8X2+mXlKdqTWhfK9Yp4/x4zncb8eu1SRu2lpeBvyxzRuZ4prpCyDNg0/47xV8xi5zxiecLz2OtYEFJPvYDHcghWc20d1InseR2UfERYENbNHyMIY2mPkXkGoRgzQJNuDDswI2vk3E/jZoHVTAIPwMdXh959VLiapiUa790h8Uk1D5xVvTlaxBASjfFThmid4gaAM5R+aq2l8lE+h+bFXdBLQKpeqycNyrgzkM8RWjDzyeAw11okB/4Axee6ODSGWNK1rNhe+NxICoMgybo8x9CHL4qD1PnlOqEuZS9G+F9vDDjY0LI5gGxQwdbFLuV4tgs5Dqu2U3vtrHx8v0FGHBObywrA46E7oB9xbdP3WY7rYhmdz78NMMBFKDE+ijiwPKjuQooMtAchEYmO45r8bH+4LWCy5fABuq+etsa7XsnXiKiBAgtWkx7mjOYKfnx6vsyfDaT896K8BWh43sMMeddeUS3mIhgV9wH8WtCG7YeU8hKM8TrPDg0v6Iz7S0zdV/mC4WMAHIDL8OSFMYPRl3syvY4exJAzNeF9XVDYDRDLwtzPB3KX3/pjZXGEQNEASSq5ecQbfizFCpl4hd0xX+Vf2qVQekR0O//by37LZ5qlO+rZUSTUjmDSayMkuWVFq8GvI4H2PnAGxLXSp1vEuHkmXeHqX+hhFpZmd4jkcUTOkUMr8xVLnuwNh/EZE+PEL7OX2N+PaxyS7JixD4tS62u26G9K1WisLcuLJnv2rQpejQBSdoG/VPc+6lgsiUcf4pnvt17CqynUmycD6ybhtD2JIW2+z6XglBoD/wssiCcvNsR4qsvE+ymx/jZCwgXFUq+bYq1b+FSyzK2+3SvoeBymeJzaM8TJtrtcc40roCwfFDRVGfJlQjZh3GtPyxwGNOZF7ExGGl8XFdAvdH7dCdo3oR3+ZSgXQwgEHCTgKAw6tnEvs2vqBmxJ9j/C+239yNy4YqSAYP7wQs5Ui/qtdKjPpIdC/p2qgYvUC8hQ35GTHAmRG6Upl6ghhtTRskd7zprBu4hPdB2Lt/d0wADMyjfObSu17PO4N7BBQoXR9itT9EezHR73pOoMZntlDAdN43q1VyQDD1QJJqLPKPO6K+DPqqujGgRY6DJpF84ktsiZKUfQM3tDDk7TL5XFnFX2yFJ3MIATK+VlunozANSTa7nWqzBsekG7u0fix1erdqV7xAXOpf7vrFzDqPQ4Ltnw82Hyg/MceEtuPwinw+ph7upW4t9Y3iGrdOtdkaRCGVQaXPey0oo+EYnv74rpCNbN07EDiTszw/6ol373WFg4mlIJpFI6G4LzS/thLIsI4qua2M66Ke3H7R4Vfp/2IZngHGvmbQQbvO19wOtTTW7FdFVlFP3+yjvw1sAO40THzylEiKYZlTP9C2gr4JDtQKOP/c8fgPK2KXm8R1vlJ1Z9gpzcRwNU6b++NXHCocSLHEW66hY1Lm0nnMA2nrZGVpQ5zDd2ng7TughgyqP2AXczrkLCmNLtermBLUH03A95LlP+z7UHZ+XjLRV7v5BRCV045dkm0pEOs0UDTe7T5vJW4ehNQ5kb3UvwBpvitmFaKmfPLExFOIfyLYyCfbfaKN3zgwFkYi3spIfUDTapvfno6JVGUxLc/3eVukvinRBHf16OFnLAEzD6MH8C2VWZFCXA77qex77MPiLw1MsOIbD+11MBzr3SKQRh5qd6gQAux1qE9OVS2t+TXRdcTcnXB7BfLjdgaQtPpFivl9aCsw50GGDkksnpBlVtYaM7tIMT1TEwsz1EBiHZcdd0kvZRCgzmPU3sl9iZdQDJ0kuwEbpw351w1QAeOaoMmsAo3oxb0MUu2gCd8+9aZ+i0VtJeCYJRUYU04/aqsIAoWOvRDL5oVeDQBZmYJmPyXfomWk8UiO1gSNzGNgtfLhl7DtOnOEBO2kynrZpMbM0Ws4DbKQCFpMuYZaNb4u+tfTaakkU9OHKgk8eudWzolTnb9jKxP4I9lRzoBXGv3GpCQwlD3szXQDzc6gIbMgG03kxD03grMlwixF4j2d4moIA1zfZRuYDpiprpy8x1RUKhfQ8WpfOD2BgSNXUpLnRcdeCH5bq/orvnbEIFaof6QdQtk8FkvPy7c03Vd7P1PeBNq8sh4r2vroe/kghvo4tnbFYqGtrp1vmswEJ/EIwQ4ihYOgBvwCTTcJ4IKa8N5/nirXgW1UKzJdrf4oJA0DDdomFnugXSI9GiN6bGOZ+lz/f/e/ZwB3TRTZn2T62bCmJWFnOVGdC69dbMv8++6ZU4ExTJnqGCnNF1qatpf7R0Xeq892VLzzHB0CX1jBhagcKjjCbT1dhwgtlW7rHtie5isIONyqW50O1Jk7LZ43prnmXEWfsTyOpMmOseJW8DeLBKypo6vzp8u0CE+NQLkR7YldDSNvFQP+gfrXirAF/swNHG7LCdNVKJGMh7DozMFgb44HWDA8tsri7KzMrnzVWCKq1cSYjIzBrBvEZgAbmFNzqu8oK7zFoJnDH3nUXO8SZIssN+DeT1J/hiEKKCCW70lMX1ah4/01vxbi8DqGtwOUdnrRbyetSW/AyYg/55SrjeR2ZphSpCL3MrKZEwdKDOJNW3zE5GC9tAJMwPHHBPniPjKc/MxE/OGpHXUCT2iVORjCI1MPoqB1rwhwdd2j7WvwFpvUc/mDDMOnuW5JPaa7MRGqkNWX1izoebbMFhVJUw45N3+dDF5pKU8wwiH+4h1u1qWUs/NHCVgjXQZTTg/aWivoE6AQ0yCaJ/d+IXmfxlwJycqKZJz1IgaliUib/JxmuhfFv3KvlLNSZryHFvjkliuQ/N3K+wEgm9Q1eEoYaB/8hXeoP1ounQcq5Fz4OsT2OdA6GZGKY/zsTScyWdUwMWZrxL0qCS0B2m4zqynOFg9q6TF7IRpaktxneRRdztE1+I16tv89zepFTzye3YWWYuAuTggso+nNwjrp27kWet/8lns4nyVgLJs+bvIKgYXnmoJ359xVQM5p45CIqJc8Pc5KQp+5WQpW5Um0tLL5wi+MzgPMmFrP2qSajxqCLyqVU3dj8f/NDgO/k8HKVLjK84TK2pCnhKYHXIIIdll2iTZ4+oRYrNImmOFvV0K27ch+4tq+gjrhFEDsvEy+PlgXbcoLOtBQNMsrejJgAgLaCvcNypJ6weeMk0kTNBwu060YIMVta+rxiwmnhvCOdyaKX2AthYjq4+2u8sTqGU5SjUGqCkvo54x5LEDr/vUbrdH54GpMtMzaalhJHVgvXGAQkek9NC9YNCRjU4JZU4a935u7jnI0KzHzhIzJ9gZCeRniUC1km5PoX2PceKookSVo9XBhDG5pOLb16ccx35I7dtgSo2V9gH3eZyamgaMOr0UtAtrwqXz4G29EGHLk03GbhIoAVOFxorCSnrUiy+rKbSVXqwjVO2LsoMcLgLHc6ksU70NiypyosqcVSLuKFI219Kt1lnrfBC9D9awuX9e1Y3kvYjjvdmZMwV+JBbRKZtIAf6k6RvylyY3YCsNC29MVBxLmGmQh0WXErq0UupAnLACbHvsDxysceLe6fK6Z/t13a88mNObfem1dJZDJwfmfHCkR52ScUbnwoFCI+rsxmvFgHH6rSUS5HndKAtwe5jmgDS28SeCPfgsrYaU0PsRY0hjWSJfRM7nRLv7/rC1bet/flktKLPSW7RpGoecE9sT2gs8Un0QcOoWX+CGO2czVbFqQCsfe/+gFt54lvhfddB53nqUhDb5Y4HiVVQnAlAJEHwUFOEqro8ntkOMyKM/cHiIAsWvTPCceH5PTHjYpZzIXwaDWj6vfFCctaAmHXi5g9Fzsjd40mpR/ZblFBI9ts1Rimcp9Z3McOw2pe0RQ6WTk9nHN+MwdXg9ZQ4blkx4IftWKhrNYO+vJ6JB9OoJNQkKtUGYaWGrSkh0MY3LS2B6fYefTAoYiw9QEwBAUp9p9v9mEmRKDUJdLszoSjqgErWY5c15HxUbiO2iDGrqbfp+/M2V/ED2A5q1nSS/ZeOvEt3LnuTckgHrNGZnLosMPovTatA2g8rucHOFMqCvcmgagJpe1uQyiWD7u7W6mbYkGZuqJlNVsj/Fs5yhFhUM+HcOec0cK6a+dpva8i/M7ZV1jXG6oCYZB+S8+55CYLIjEBtYbTrZ/6CuvQijyj8jX5Ai9ptHr9ZPB9EGZX9A+EIYzllY9npnJzqt5DqOqx3YiZbxC3OufY6/aZoz8BkZ56zYlFEiD4fqWhJlKZcmLIPtvyL87MdH9A3w+r7wROd94ufq7f1AMnx0iCFV4WmKj96n72RnoOIBGKs3lQUrwve85467kvOEisQ5Kjzqyo6ef7zCeUD0B11pddVCHOvrSta0DjzbXwo47sM0unLGpME7J9ln2plKiR8Asles1pnR0IBH152fiXH2sFOGwLQwro/LsF6zTm+/1TAJL8tF5q+EgEqzGw9fl/wMO4PeXg9xWuwJ9LAty65oBA0ie17YQa/vPZdo2LqgBU7V8BnviyntNgx7qAk1FQ9WYtrbAM2VX4FPzfVke27qoxzQeSqxlnQe6Rhe5RbWYtme+RCV2uOtakr3Cjz/GpDHMhMUUbcIl4Ds9hgJz6GZ6g2SygFTjcB1dVgzc6hmXp+txdOc77vuub8BMbMmjDw+r6MW5Z0zoMsS3pGPIcLANtc1K/lfBqufjO/M6qaJaXnzAb8j5aqyCgdDw4yCk+MBfnipQax+zvHqRx6Ysb1NaBWWgm/TjiibN8a0JpemkRkA2QXIGjNKXKhhR+fR/3p7eGBUz4slOeA3X4yy3ilPf7rUw07qUlCP/pgknivSU8NemCaTWjsOkdFlFsSApbwnMXZp4inwmgRlzZpi4gvK/R4cCkwf41yi5LunbpX7loehCf7J6Zh8L/GOjYTUQMtAk+72Sx/Hu5ggVlaW4DUKjwPlNFx1LRcsy/HmtbC79a+UzrvUAuyZWWnmja2Ge7uvCdf7zNJphcFIETDuITjqYIafmz5pXT/++2L7Uq58wXkELa+qzH6Cy+Z3mbZ1ZVbTysx7tBMQJ5ghVPnn+soA/nKXwtapdnLMsdVsPA09gYgF3nnpIWiemiyjL8/kU6M/vXZMGhuDUqTXO+Hwo/jaHSWpIuf4aTxxTDv0H5pq/cX6Dym76zeKtLmTHvYUooETICQ5UT3Hp7ECZFg4pBNWSKfVHvyJmtMteBnklVvVGT8HnpcUgXBJJJX1QNeouzLHGE+PKEt/MgRV5195u/OP+JyB5fgrfSEFtnOO6O6RP7CHJg5Hoq2EYVR9UzHiUl7pEO25cMHrNtXY3JhACxmUqSz+FuI7uTRksk2PqQ3tONj6cDmbdbx+AGUOyRFBFj8yfBlkP+/8IkhaPg8cW5U+DRJjjac0D9ptxCqSmAkWBu4YG4xeeLKt+jYggzfOyZzXjDUTuLaUmPJ9C0nI2e4CILMPtP1dpplE+rYnN1Bd35sDG+Q+771GzATA/sgvKYZlyhSWg8HTnhtu5etsR/fAXstwJfQW3/3n+v9rEoAhZz9EmD+axyLz5oAVcmF23GfWdpfflvuwbSyQZW0sIscJuf/awhPG88kO4rvsnyDR6okHH0XGOVKCShuWxd9Wte6MfQtQRpS0558gHBlIihHGf7X3HDbzkCxIdjM1rIVZ04Q+qDRvDK3o7IZS+C6/E65MhVhQgeqw83LE7mQie+egcQ6/lDkLc/El6dci2LnATbJoTUDGH0l+LqiFkCoTTqLFoyIl4HpdEKEN/HC0g8Ka8SI/ZpptfdZgbmpdJbavLQsn1vHEohi9WaFFmcbQYnUJLdMdevNgfOQVWcI4FVR44WmrLc0eqGtSZVq5NTQtB7tNcpxV6AvGc3rUjELde6VMQaQweopAMUlfKbq8L9xlQKIGceVDSaEgfcDp9/3yU6l5iRLb2TzTU0MjhY8UMG/2EcW8DAErThJyHFTbg2gQCJfTrMokOldeT698xQ/K8Fy3ohsCKQfDN0UufbbbpLlBA1F2FxLPStkS594iE3Wl/bGX3Fz7suM+qVXJbouU8QqCjptoy1UUxDoeP8KswfrNGUNcw59UGFA3iTAXMN2w9OGFqiJK7U3svj3eAeH2TPwvcsGGe3Bt/ZbCrE6zkkOd4ismlSkHTBrN2hqhr/CfaTVmln8CfEu9PGtmCpwGBjgKUt9MgF2haTAp0HQABbgjLqV1vPBZCOO1lbU8niV7c6KlRR6tB1qthPe2+RgrR7E5ce/RjAxzlo/g7QtdwtuXThtkHbMkJ47LGDJt//2eJ/h4WR8+DoEgEIjJZddAvDbJo5JmyT7hvUi23zlmlhC7PsOQXQOKYi1t1h+X7Vaunz7xAwG3+Qkc1HkSW6wx8oXvAjMh7I36ksLOUNDYPgmO41hGJHpD4IrkVkMZ3Y+DNPs5q3WjvjYeM5vZQTv2Z9VSEMNLgl+rmgthr1l7y0kwyCoMtvzn1gA7Z924RBG3Q0oNZCyESbtHAn0+9ivFQh/qbDsYKHnd4+cCyWvaenFNZxs+rWh3YShrOzyyPtAr5p8ZUMoCUjGqZefqBIRlD3kinrjc59B65thPrfs2a9+IranAM7jDKWWylU3OxKiDsxL+0ubNOJ8d8OKfxdDjNBPm7cnmCHR4adkxrWRI/exiQfQGE4WzY+8w6nPT8t7TkqNK3NOzSc1fSOH86EkmwiiP0z3LiQg81nl3hX7breLYgsJ/c/YQH+viRstLHi8hzOtV6m3UmO5zxpdwZBJ3U+a5/tIuQcQwCMwRGpYpCCyte177aJMrJRdq7OGjbvK8R3lUL+wJ2IAAkUPikJEyvkG7Ok60wAWZ+oc8NzOlH4h6ldNWPAVvQ6TSA2/+3GSUfrWJ8tKjubxWADS/oIoZ9ER7Lol7ECIATbpATFMJbsr/j1teAS39VhdWpr7oroGhgmnjvGVIqCR3s8VaSD+TyvGnNqvPiT2UpCs1S+VHX7dKQrc+DdH8O5uP0a25hAZlcry7H5SP+dneB9K41eDfxKOe/4BLb50fdlHyD8O+Nz0JLee/lCp06U73xYE+OBhuO1ApNAmuDWuBoJKboEQuvVUOG6bV7vKeX4gwwIcms9f52Ick4dssCprXGrfI/WY0tdo4zikaxPfdT7tGzZVhW//3uCKTCma9Sk+aJeLiYOaW3FVtKMzsXQOLrd83VzqTRAczXbWmmY8hhJrKRtZ1HUF8wdH0LPzQcntcgxWvXaexs8xWgDqE/LdkKwoeqPr17aZGUcSwv/REVajq/9294PZtKFx2TgdnKf2yExRkhUV3sM2VbB8/iw4GWyoCDHGBvIsYo619SzxqFCYlcqIeYVyM4SQf0CIsQ5O03QCVs/6TIibiIBLqVTD2Bo7zCDKSGKhHyU9WZwvY7oKYsCvwAQNZn6gD3KSS4gtWXuL89AnJAuVI1fRQy+/Pf6s5/GzCQ0MvIWfGTzfTglPaddVK56yGTkGk6/qkddRZyAIhozCvHegVEUd5+oQWJ5y2aannYnTRiW1W7Ub8j9uRZHStRr6sZnTTIFA/QBnMnShdhs/8thapVNwVtRmK9n/DeLFYv2vRQ0ubX3llS+J4/NcKV6NtYe2fWDrz2T1O5Svwps1VcbYKPhB2oduPiqgenzmCoKHk4DF+36acbqwseYXeXAo97xCGKGXaQGBXcRB0fSkqAoXVSV9ER4Sf1k+6uu1cPTbcHtJJRwxqttVyfIHYQ+/ZBLw2AQ1FWyd0R6K5jgi+BuLwGlecBusJBm/5kRSEWCQ4Xs8v1lNIEtFxztKK9i4nKTyPdf4P5iAe9pXOcvXFtdQdURFfgPrrP1FoNkS1OIynCW/PCS7ZR4VY/RvkHRyhmTU/sYNzxCGl78SymwhPoGbPRgdOgthnnmQURDNZx/0uOY2eJkZmVctsttXJff2vo/ZuDMpm3MU7Xd//MAkVrDfqm30OSVLuMUuW2loyQlEKGdS2hRu2t/AijJNt93D/pigUxHhIZ30O9qaTFJHm7McOXDM4hVn8y267pODtcVwy8Eug5bVYJwc3bWXYe24pCWj5ZF0XY0U4W3edsAooG8rljvIDA+WTlINF1wAlVfg1OEjobK3A5E8bZE1PqxAcnT0TfcJLFhiECxNUO/zmqw0Id9n0lojnSnCjQvRvsBA3FRBCtexpJcA1/H6Vcg+UUmnDwPPTJtVWH+ycbx9CM+OBp+Yp20iQ26eaYimMmkka4nRSaRhXVrrmNbKo4Gfcek4XizgTNXHcKPKfF2LMSOfe77+eniVyJhlx2OxRuFKdnuX6j8Zm9NjCz3SJz/41EbbXQq8U8nYxEt435fbsabhzq0w00HMdeubkon7COQedb67zP4zPTBeXVs8m6blJ+acpD9IbM2xHLchekq0m2P4RgX/xztZOY6W45u9i2ogP8yu8gYMwK5GPy+2pl8JmgbbX3B3ns5urV7GeMmmZJrt+DW4nzSEm7thfZ4+pByndftX+TuYDhpD0htryNXh0EiXpusslTY00YFeOG8pyDZNS42BrjEaOBTB+etivJ0z90sXTqBt4n20mFwTHmoUjVPIwrmVwJ/IKhBxHN0cqx85O8rSSVBthJyY8gPMMvJYifl234wzRapSYLHXhdxvPrvltSRiUNYg/KMFrz4E7V+xoK2O3CH0z/NHNVDAteqPejh0iYmUCXzXMxpRDgk2oZyQZ9q4KsJHQgPTZHyX23TojOUysVBp+3PXwdj+gdlK51UV+DffBZQs8mBtt2r+MFabNecYixtEi77WRqaYv6gt/wiT7xGh1gfbWJx2WmOHTtwEQMkfvP32nyzmtidDPSxxFBaWBLVbw/ZHdniqStbj6q2VjJUW2pFkyhOybCHX9OyZ4CCNWbSbyuOjhSKs+/J5PbBZr5hBVmajqRgxyg6awlHQ0bRHsIwWv1+Bf9SrNevMkD65XGFpqx0Nex3AVhMXabDwgv7aeTgP2Fu3YCf7wz/x39xQaxEHAWUvV6lSI/H50SgWfXMQgnqacAfD3CPZSo3+1yWEv3vRnuz/JGGlHu9zCe6BGihTJIggfbDc4UnFD81Vyzz7Wmk2G9cNZgQeyaLsrD+OQdkgpSEApThsuncshI2PnEjhrsMpx/SPxj3hoOVMYeb38mwuDByzK9DLYt7j7p4L+oij8vM+3vAMlQ6Gja3JXQgooCs7Ietr7KDAEQ6+Tx8zgRFTzJK1PuXdG1XrP0PxC2JRQESm3bA49jPdUZ8WTX+7bvxuhJwQMxgts3qP6JDyvssAEmhAkrLPVAePGX30kST+zJofxhwYGLEveF2SNxRboo6cHutWHUzTBbFCXJSdySaGmv3B+ygZKLLFlKs3M+BXYjbklA96QgN3QouxU6WVRGH7m3RyJ1h2GrIAkLwmVZEUzn/Xbvl92/XXuq/z1QjXh+54FQorYCrtrl5QFp4I7VA8NsxnkLYAsyq5opH2tiLEa7igp8uDwplOcdkFbThCvy349gSBLx75Fj5auAlTbMmYJJqp/IGWA2sCxsKDEmijsvE9sm4RhH8VCLVj/iVyUhiIXVIOaYWEV11ZavnLtt9+KEJiA91NuwmkCGSq0OUHJcNuLHMkOyMS5wvvHpZE6sf4mzEp5yac5RFmWu2Gy4DVo+1xq/SSoOeNiJHGZud0TZSTAw2X7WpqFrpGS7L+67lF1t9Qff2dy6769r7OUpumSgb4AV5WpZGrnOqmmmcRWF/25Dy4qYkzH3G6LYYKLZi2lSpMg6iMpzb5uPfgZYjcL9ivujWyl8oP2gvxuIL0veQ0BbGOzJsXgdPqiGZDj0FpoZN5+AxxcNVUYnHC0SGyDHXgjRQgX5Q0Khm7pYkSqF7Uh9N/1GOuet5O+g7QTwWvAvouH1FteXFqwkDw1rS7+cjhl1YbxszIH5b2H1rKIciln0DEqbogQtBqfIYricoDu4VUVLpc961d+xLL7otwnIvMVlbHFWRDpXvPYcYJmSOsX/7wK/Pn3ZC+D2TMPmvYhyRZYDQzctaJtaEtBnHM7JwDw1roBQuQnjW40ReX2PEfkthp3rI8lYMqDyUOHz3zaZezgqjAYy4aosasmeeKfV0ham3/XuU5n++1Kyi8H3UiM4prGwhsNwwF8ROAP8fD5SUtQhDJipy/hai/uFbcuzUfk8awSA2V5JrRAujFntDtLXe4mcnxJ6PMvwTDRMaucCRinFy9PZ8ar3DgddGUtSDDM0h5b9B5kr20jQWAtfQdFn5Cf8vSu5xtiKtjki0LmAimI7jRzNV7k1kwRIfnjxdkapfTyCanmAxfea4/Hm+WV1sCAuVayxvG/d/bvcZK1UP+8N3QFpTxqAO0P8Mpeq1P2mJgmvOpVIv5NqNstx71Nv6yMdK1WDhigCfmW4gFPNwezUrLcokE6er47EEYQSxAnhwReJ2md0oDo9vrAAFojrARk31OKHxvz6XxKDqlcb9HOIuR89JODPXDtfTlzlirImZKY6IZRMzCVi2Qb4YGj9HnjWW/XcyptGEehfeyNIcBL/VaxRGwTOq+1FnYgX+b2BfI3troGbI4mh0pZCFd62jqFzawu5u2Ba36mcZK9yVf90tZI1oF6C9WciUtsRIarNTuuHlpSQ9KrViBRo+eC37equcHYR4mcJp5p7vlUQWICpMtL9VGJFtOGuyaZsW2x/lfzWZUlp/vbmC2wxdSokDj5pXCNft29wPbVZUCKr7KIPzzjUlyxx3ZIvKHP2iHB9ZQQ9BmBrLlCxf3Wt7b5SI1SyUa6mbxHjrubdhoaAm65z228eIQz+MswfghFdIV5uxP8FDj3nLmcv0GIst0w8K+z5ZXTsHHGU8GDFjY0FW8iWXzVWhsyavRKo0HEHfku/TjzueKSGOeb4UL3Zx8294lNnP6UjPVpXO8uPKPeO2phB5eWHYPSfANny/A/JEBdpjlp44bPWmvmewQyrH1jYA1g5CgTArJd5i1KaONwBPslx82YxQ5tkBtVm4k4PH4uxyUGNokdBxwSG2i3vVYtUI9oRiFDE8tC4lr7ZfHM3lwXeZuGL15Ici39Mtau/3wXjF0SzBLP9m8+RDB4Qh7kFAeZPwemy9HSL3/xDy40ZSPTotM01zx39Alro2/TLOe9v7cjYXqfzwnRasj2lM9JFfhNpI07TWyQ31QN9jD8Vrj4+rl5OIXqxpaJmQf2JDkTWYnVbIv52Un0vini678wAY6ZDMP1XaMsi+GX0sqM2gBWnyyEqQox4/gRLneZRMRZ2Qa4i3noxAEtPFqyvcmWh2QuSTk1d3Y0nuUVPG1DP83lhFTnLJRh8tleRmxojUJtolAgQke8Gnie1/ZFSxLj8hnvIBIXPi1HKJBqRKi1m8x4+yx51RrCsFHOpY218GtYbJREu+XQ4jcG3gYfWIoQ+aJKA9+afVdcpGtBinZu8qxBKKkAm/zZDHv2+jnpXw8QaTUL4BrM08Ryc4/mgzkYuqlZTNpBt5960ouzu09LPPQLqMDXzfTlPW9UzYvx9gThk4nRrKlS7wh9mMB3+x1x3DLtDbN6tGH50OQ0qB4n9LcIX20qMJXl0nCAVNUBSISXLI5SHCgJUrORgTs+x1pumbkMQfNexpfdpEnfHLLLbKRCAS8yoNStCbYHf8iHJYqpItnlZD76T+7r3MulILh4oyseh8OB1htHaJLSJXwq0776BbJbGzjYY9TpTVtgvFCLchI/kzbQDorwFz42xLK1Z7eLFmyeGYNAFMhw31QdM15MJvCsG+gCLN1tK7ys+pZ0OKqxyGxGh3vaa+cHujzceD+m23998VNf9o+xkB+gFOR2b5OmlAJ2FTA4dC50WiIW9nTlHwjhe47UQEbP7AK/jnT65Ho9QdNQsIsbMNiEHrhrvUZLsAuynCShguKtE3WEUKF8GmQv0U7kG0T/A3CeRZiAw4+QLNFMWkY5USU0G116TdmMWyG6/EvUdtVOZDOJigrqRt+URd109tmBlWJAh9K/PRoqhOEsp8e+nzr41A+NkJJAtqYWPX1LF4m5vyK9jDAvX+zFshRRBwmXCsT+Br1/9ieDC9MN1+N//D+RGqSC+UsSPhyan5Rx4EBTJk6Ou5THK3gota3608Hnt4o0seOmSj9gK5iv7wVEaEDz5MNVbIQk8Mw1u7+G8B56DXE/5lH+oilc3XYacHLCAojuHgx+m93DiEBGlGZdfSEr0Db811Vz6v84zdDnOrUTv83/nj7O29xXg09SoNsjBtoqXIJjRuHx6wZoX6Nb0mCdBtgV/eS9cHPguAxjYqF5dM/ZbEv3P5ReIDzvl3H6TZhLMZL7+DeMWFeqDqF6qQluJyHtEO1vv4aGP4gqvHTfFDtDFVXT5aRbYg4pOqEKnTKUDXQ+a28qC6deniFgxNTneZj5NkdOctrdqIwyTWryhPUkksgIR/2S6ZXCif+Vp0CX1TL35d3GCvSL4wY+R/ot6FsNMKjNP4vsihpfO3FAvlWJcYtiNVxYnazlUNqzJrsEn2GSorvvFHybC5kSLY9FiiCHiSAWmcq8/k4bJyqRRhziqmQTh4PrilKhW5z2+PdVo1VZFcN4I9u53drjeiDI+H1nqAzc580Qum65jNze7tWKgzCRIFPBL3X1Dzn7w1eqHkWklv4MwZA0BPRj7K2FB/mqTJfYLewL0dz5JlMYzkVkyxR8pJjYrJtBzex38/jZ8bxzdcEBCyd6VUQb/v9JTDzrjfZZPx+3Oe2bwpxnFvvoM8VUGZoJtNlEw4Dz48rE7bZGBocWP/Dy1CyqOBBehy6KAMqApo21jcQJtt1ZEk3wOiw8nvrxipPzedIXkScPKBOVXC7247weiqb81VSMjqOLAkz1/CN7uzqX+kEPAqdd186maGHeHjyoqp+XChVP0dbDdUA7ENLamv18bJc+bt1vw/TXvWnneoddnaLT7i+chWfah8BEFcLvN2RosIyG0E8yi+w6niaW+Ukcqp7YtmqkZdNCyw0ulU1LmxD8euZcnMbbuCVxoPJ8UvlwQiaehLAV/fn7Z/k92RHLdDTR8LJdd3eFa331/EwCqTsIjUyvVgMYzKss5iPuhoGryk7KSUIqjyYG7iY8kD7s7CVIR3a3AW48L8bx7eBcn+UaLcQM9TCIB/Y/rAzBQCsFLuK8jMNHQN44gV/yr104+VlSiLiUkgOeMhMLaSkYkNX1a0B7REKkBYFy4Zb3habgtkOVeH9P3xZX/53W7I8/Zod0SBAB8lBOCX2Heg+G3IQB1XlJG9C5shf62bUaI2UvDzLKrBRIT+lN5f1dE+V3jcIaYS2Yz+osEZ55oRHU0fz3Y65tjcjmxYGn0TOya9qvNCGRXPgpozYcCgIBpLOYZ0MM9c3j9pFYy2+waVrPHcNm/PJ/Ko7H/7k4fhhAYA9sqpvSiz6FbR3aDcNaNskGT5PS6ByHY/j6gQNVrX7vfAdLUCp6UH8f/9fTkxOnGLazvMzqXjkl+Q9L7DAnDDhTb0PqS3t0JacJxiXYnaK7WHGypUEXjAPqplz+SqY6VscOjDz6RPKhYdcbMR0Cr59vVpOcAmZXnADUqNpfXyXtaot29fk9KFzWgMB+CWvmtrDPTKPD4gBsQKQv905eN9mpCMNyJ/5zPco9wdiYF88Je2GnPkNjq6KpYsnchiQkyzMxSkjjwkQo48UFrGuuj+7Edz0KKPlU759zBTyAVWgEt0zp5+WHNBo9RxAfHYEXAkDiUMZUsHSqfI4xVbMJcHbnL0n2etX/z/Zvpc0WwCch6S0prZL3lVl0sGU4TQ8qsVLqqN9oZJRxc56e3L97CwbDmVU6chNl7DmoQqXpB+0VOte3yTpcj+vrmWSWJuvh/NqgwufPRCxrrVrwnEc/K98U6Bjo1jICWV+J6Zp3i9cDb6fVA3EvZbjaFRuVRu0Pd3t4PFKhTcNW/7Dd8BmyzvYVzkyfRDhpF2f1o0b0ZDU3a5E+5IsDigtLe0GcNNTx9JYij3XLvPFdf4JCVyO6q9VF+7e0AW9N4hyo/s1UN1h4nW5oMNMsNbMC74+cXgRFfwVEW4BaOKHBchEf3Sr1MxJ/PqMkvj09dOYNacVJusafQ+pFVvqT9PCT+0xcopIbS3hRi8N+0aCoLrChKhnUIr1pdO1LvAF953bIklEw09WvZpF1O76PJ0gCKMk190wgBkkqdz1jofk5/POMJHGo1iCENnsms1gIxLDMhSs6MLrjO2wlPaN0/URSmp+MHZiobpTMnZu0s7jOJRMPL9A1ReBnKigAMrQgRBuFXbGkmMFvnxqZvAUCKtUasweUq02ZQwEIQxBqPy++UXODMyYQ0EyWUFEIYjyUDVCZwauL4VENF/QZNgUWxZM/fBBOtmKbE6qSn0eTjqWayn4EVYNSx7Qz3cYKTjQktQxuqkOkwuNZNLMlrSw42FDYHT94M1YtVwE5j8XEPHkboHQsyWq6NteMQkozNFjHBOyezHpUNfsId+sEYBdCge92/zb3Ty6JFDeYRRx8vY3RhyIv0kzfHSrtHN+15pKndWld1vmgvRrhaZrXVObDNWZgfVgfPH1h5lTBPsdSVz1wy+SkBV7x1LPYFQAlFt0ItLh9svM2dFMxtAJ9GRPVF/4RGeFKK/w/p80WGP2kOUHSBDb4YAAMF+M6se5BWtcKNqkVNSWQxlkwufL6ZwuJZFOhz3eWEVUDF2uVdgIbElX78GBHXLzdmRN+NzHQYaOZFUbT0M9PldfStQfm7y/6LrB5HvO/tqLalMbv5wYQcSrbGOWEgm1H9psK5RcmmTSqIfwsw3z8SkuqzKVnpfqzouWyc98/X5r6UpCe2nOPdbE77XI1UVo9OYUNhCPELTKXaRHFmxrnq5GSbSykksjGqhD59j6ts+3+Hz19Wdb7mSCqG7kSihO1Iw/0OIqkucOuOkSUOVXHtREbz+u+/CucYsJ/J8FI+slU+NKEJehWKbLL3n13s9a3Tf8HSRQkZP9CFT1G1lyE5ysUNN5YfKlSows4lka0ZXlyZfz9tNSk0OcYpBUZb9kdVXgYyfLcV/0sjLUHkAoK2kc8JVMc5ru0z2Mm+nz7YcpcJSQ84aPnv3DuDt496/OH3RkT+1zKWgut6v2UewsZWcfsw/0Ok5kGK7cjFBstL9au9vyUhMoDwrNthUxrfahEu6EfIx02rF9VFompoQFPEIOjPp3q8Dy78mUClE48P8cjpn5m1aUMLWkmD1wDMJfMNFTPIDDfFrOEs/VOfTvsf9OskB6PefDqJcj3wMs1JAe8N49zk92kkTURKQfkoiZBcLJIbdQBs3HxDCVy3qWstAcSKGcFECDdy6UbeyrWXtW0hVE8QCwY0hSUegfyTufZoa9vYj/XfUkvCWh6aLAR5+YHfsEP8b5c4h4W6MIlGeq0ZoTaIxW1WaBLI3rqnwMA0IeXgd/+6MxQDNcChD1UiANc9IX+yTeuDjzItWagQN8UkwV/apGrWpAL9Dt39QpR6Xpl1ozFeTROXoyQWShW9jrbQilzrTvvp6ItDSoMfqIZN+MpgSB22s2RPZaw8xPfd7Aeu3T20nzOcP187ggPZVRUXn1zq/TsbKhX0BkUPEUk0NJFLxEDI6nyzwL4m8WchVr2JCr9BwWuFPixN3GEBk02881aPeCmSZeRlrA6XjrjAcOUx4wcNiMSgrqaDCyVq8+khlbqRNZtR5uMRH+trQGXRM/8F6ul6DsC+0b8cVAPmjYIAelpTqfVWZuuk18TFyNc8b2FwwPI0a8vbA+RxiwTMWobeVFBkd1B0i8vk/nJ64zCs3v3eTbXpxD5OOJVy2bwQeb3D7cnhBPzGvO4luQmbAWuNZ8rhGJEQ9HA3PBwXew5nA8rm13/7SDpF11JiEOohX3E++PvLxyKPipYApIWwkdXuu4vHHZcUSE+L1HhDSYdr29LgJE8I4cpu812loxVHz5FAl2um36174khRw+e6cQlio9uGJx4GwsoVNU124KJm7Q4+4eFXaBqYWcKVCdU3JzaZ6mHZNg9kX1GhfcHcy3ciXx25EVcXKb9wwlxg0RR82Gpz3300sYpo2w6Lb0LSG5CPF3Yaf+J3JYvN+3ScK+rCTPhAt83Y3ZmqD7W9ZfDS1yjIwBMS047pT3dI6MJy7dmNd3GrZtzL3/qF1cdgF/K/D1nHsbLHUHf46EOmbyw0p5Oao6LCPNv7MESv0svN4E2BgYTmV/DSZ5yNCxceunQg/48xzAooB8h3Crd/gmaXNA+ImlAyLvUIcTgSca0UHivAwwnfmykBL9FvT3yrwFeaFh2lYem4NzQukqpW8KgS5XqabZKP38LJRFW/PR0lgzbsyI/MZ1VgtYC2/pzPoOZFNuwC6jsiAL/YnwycjAX8zBDrRTM+fn6pEQn1bZmIl43qsNSZSww+zrV08uW2UbUH5gQH+a7e8m8NR4O2i0nWgPaT1EAkhu5Mno3IZ0VMZnPr/mNTd7BPKz1bK2DKyuQ0me1MSMumr/nSyg4QuGAsTmrZqKzCZpPHvckoQEb6QLKyfUtqW7DgtrFNteEOsl8gRpRBmy4K00xY7tjHgnohcav3/6CLtkK9Z6MAKmVTwc2aXGyE/cpCqs3oUUgAlBwGFAIPBAThDPOHksaMfyuupZBDs6f2xMy/RZBQ9x0kMQm6nHQ/0vXd40XaVnPAcBUBO8tjHUreXcw5LDUfIx6Lkt18fFFhLRECHVzI3UXDOGMbvVc3Az3F+XmxSLjQw8ed1N81wqVAJ4Lnz486w4gdCGZGdbvYrV5k99ShEG7hiMgO6VuDMGXlintlntz8zORYyHdI6LMSsFfOTTceEKE2OSJJFuC7jRMpltoUcALFSOZUTwXkcPFiuh8KVzn+nve0lXAZlt6NPex0KDuBKyGhpuA+VxXzFop6OfZ4mgTcrQXlGsusaEBI9NNHQzd1b/cZhJCWTZH2zPspAGsj9J+sDsigmg3/gON0x74tUWXFt2EhqHUZNO1thFF9MNHxZSUWl+kUqeyOdPnuGV4ulbXXHVisapcW8BoV8j70vLYYrxRdWo0gGt38t9k9Go8T9YGgIrMFXtSMS9tFyDtIG5jR5S0SWFeAoUU1o8c+KijzP1hnGgxf6iJP76bAnryKNu6052X8InKMdZ5vPoDqz3Rmfgh6JPdm4AzIfjtKtmFgb29nbAp8TlZywnqSG8YWLmGkGSQSm3hDsaPc3JrlJNgdN9r8lCuSKDwe5byXZG26LliaWs0dJJhktPDSewwst042n5kJXMufmtX9yb5xHsgcgIfsadh7DvIoTxFFzpL42gPCM//HmHHqCaAxdzrxGxy7weT6te7aMz3SrLmudsuVsX7dMJWIORL/co39kwUEESpWIAofjDglzZJnE9bq1JEqbdS3eNCci31BWXq8c00oO1v1WWNXpoA67UCQYovO4enEm4+nebq/qzhZqd89Bt7JRbShkDadR08Hvit0rMhzQFu1MkumuPv14V9jgkXSZ40IlR85TkEwiZYpgMvCsXGGU3RoJ04CIhwghTOy4cCrSwTECbrmB1BiejBZ+xtY/QJRQH0Hd2FCihthgrll2DOtygNuRpgS9Eei2+NhqwFoHmEPE7CAPwy0H3XJPTVD/D+kCC+6DSF2lzqKdEsuh3Ps38WOdQb4f72FN5TxC5cQ43wi6kDWDVpjNYrcCQRM9F93cRiHi7Vg5KhGNXCxCrD6rZ9F6OP4GldDMEevd9hH1KwEatgUc9RcwCYFsVa1xq7bW0Sg01WRhhMDPmjEWvUQWMu/9f67bZlVn7Ke0TBlNNxW7HxoeID9fIETwZM6Q6640D8vF/Nyb9G+bAtg1utYH2W1MXLKKn2BHVKYDNNWZ1rArIp</x:t>
  </x:si>
  <x:si>
    <x:t>9FLA3DKRIhiOERS75mfZDgF8tXELk+1ww97BuDZy40eMugTvXNTg1gv93F6PRMelP6uqO3EfpBdI1v2pnm7yrGZtnKoGk/No2TdIakVv7ybxPf8W8LZ62bDniF59D1wIGHRio9TMOFTl8Ts4PyexNI0B5k34a83/DBJwqrhErX6OlCpf928C2EyWvZs5vEW6Uc8LCdt6rSY2hhwm4Lg7jwz0WoowVPGhxbi1iqlcbblitQji6pLyq3Ske4vrp2TgQRwSYwMATUaCdIbgmD6u7yp2AKtleBs49KUdYlpp/XYPysmxz7nsEsx8WRqNPzSlqKF1MQ7ZFaVcIyMUI42qVTGjgJtsxH5140plZl3O3OTJRLxW2g5kJm0fpIUpI1H2HxpPZ1USNGKaaQPfc4xUbZZCezTMcPkg1JraN4xludSc4k1XVhnAvf2H3xmhmRjztYa+Il4Z2NRoh6YJ4TsEnBHlhHRSsIll6rM+ynN5NHLeXaeuoibMGrwvMg/A5VmagHDIl/q73FPrPOwFk/1dZb9Mlq1YxNFb2t1SNKOoy3OII4TmD2N7ygA4GUk011j2iDg5DdWqfjTTfJzdTck7xT4+PZp+34zhim3TICNaCacPg4TorozO3fp25bXPVXu8CocjnGjMRQUKkUfn3mG+hmg2hSaG5S1rWNRXoSdjEPUkB7JVARdYRex3uPf5c7w5kYe2hi2B1ZIQOA0ez+bGyZeJe1q1Ig+mZjcAmFvhD3gMB7OXEwks0UMXFesFU+UNfTkN8OnmsC9t5ROuTcpYt1K9KU4izPTz86vLeOGZ9wvoGAht+Zq7xhR13LxsKQ2QRpzvRc+jOIe71q4EyaztUUOP+hh7szgV32NvscVDb6tMvdSLM07OG/RR1IkMIvFCHIg+NHPfSi4NNppIb5c+66MzZxXc3imhQ4Q/SkpnEC3bypJoarsqiNYiieJAaBDoBBk111gEJMtoXyieaWUgUvth16OD173IUo+VU+w0jV4jLIc2U3wJDSI6zRytM4GenH+PcbWn4ASc54adYFA9SLFa660QBgT1iOIpr5Cx8cMtyo3FwV6Ta7x7B/M3QfNb//UAT7x6YtrDICOwEu0h3sM1LkTX6q1nHbotALq0fjMNZgtKKXatEXyjfrstwIARDtL8MwcucuEylVfnIY6wxMVkMJlgZTAl5PfUVLUxXUBIMY75AKeCtg1+kPWqliamRbjkamMiswIXXBApQ11Gc4dVaMbILCgtFx+xq/H/Pk/SNNo/XCjEtohmHTnoOczXc6vGrGum656+99qGCWCnqxQ8YoSPudnq+lLyJ+yz3SuwAaHLz7W6QrFG/YZ2KhqoyRYtTXg1FdO7T1bpSmlvqCjeKcvgBa6sbscn+pu4DwV90oi5SUZIVZEXqW0tKkA728Ig7Gv5ycx7h39dHex6EqXJvd8d2eI6RxdOcMbe9T+10bGFEn2+7XYGPW3ugUsDwiPiK7jaTSQZwQ27qMPx5agJtV93psfpS/vtJcfKv8HVdHJ0nZNt9VJGF8Exc7z8YC76oohxQyV61fjYERCysec/91r5X8JAUcewOVVk2HiXuH3fLsXDgI6cTMnG8ZwJTyQVoTr6TwtCFYUhaaD/iS4i8nNrcqEszaWKZAys6qxV3jarj6Us68wCH914oVWkSzvXqG73iVeYVroqPEYPN1HxSWdYhN5FlHDnvNjTmv/tPBDdzunrmp+DAelMU275xkBjKummQtHd5YxTnttRGAWgVmG3T5C6NCKHe+My685AfVwdh3EJVXVddoZehD6zAy9Xjnk8o/fsCGQ5Dd49en0+QZXum/Xaffz9TK3j56Sdq8TLRg7H4XYdvwdXpagWa+M1wW1cTY7/pej2Ni78YKmmABpRI75U69uXifSJjTjjpQmTxY4Z1PtJ6WzXvUQphSRaG6pvXYBKTUlxMUekzZTdJuawQPD+A09UHYOwrvt0a/ikkIxE07FP0UDjVgbIb5JlNU+cBGb1PymTM1DaKAFRr4/yYjO1lY9mzZhXYYlyGrky/TjNWQMwSC5BVtx+EBEkQFnc3nomCu5aDB4WW5pr/Pf4Qzz/d6fxyMwJi3jLJax+8Ikizb/Yg9jWCyKByuGolaIDAGYQgC77JA7MIxF3OoQ90lyMZ6J+8180IGT5OWyFPfn+oatk08cMk3VACS9Xl9DA+24SEIiFlxir525Bin6H9kqSFpap6n1BmGqIIQhWWnP67BDCbQv2aKlpf8+xpkyXXkgVcLnw+uZqk+meAhMkCW6/KaX2dupDDAMMM+v/pKpJ4HkVmUNmhUVuR5jpEo7co/A1qWXIIvi/MvM60wwrX23b6vKl86qQCpLjhwiQalsBDzmf9FbokWKszdh8VSEK4Z4jsWxGbW/2JsWplq5RTzNFHhfF6UswqbSmXoRQBM6/UZy3acvik+V73seowqlDqBcnEfAcZez6gDszXHp5a3DwrH9ABefnYuInfDN4FemhFs/rXrP+paUt6p/D2mWMUl8fj1YG0FaMmRsowDtA4nl5thiuWnEZkpQjAmTuC4ZGwFTkCyR9NRX+wN2jWfUMg8eMKsUI/iOoO/9y1tlATDmHFIIjdbT5lnFKlMg0mvLHrvrUxa58JRO3+zfGIA0L/K2ConrJyB4Pqja04TGDQeWDIrqzSWNrcgQVwhn8+rzUg8crV82xmS/GVwRWY9u55hnqTPdCmjuSXFnfrRfuO8Z7Gzsmg0WqSggrrIEZy3mv+tlrnkN7Wz69xYoNh4vV0FTtovpuWGkJfOmpAsayWqNCQR2N9mUe5eucccFHUatnjRg5PaGxtHw337wdh7uWIp/OqovXwvAc3Cup0Rp1tzqeRfim1Zt2mwYFYS1V12RUV9HIpVCkU6yGdiFDuHeLgGm2EVarryU+5LvfxjBbD3RPHe1RpsaPu23jjgWqMmVyYmgPlOVvubf9tFIQS5TlHaYeUa3lim+n4Imif0C/o1ePHM0w7Y/HuxpbK4cwMxnUHzbiA2/J3Z8nOE0YmjHkjF5U2/aoZ5utpdC0AX5jrtaaLWLmz7QOtIUAF/R1APLuCDj6YqoVtVXzQXa1CcW0vpv292Q+tpYNsOYGB0rPF4K7/3zMmo9Uoq12GzolKuOqiXUDpdUxU/6tSy40FEGkyAgJygH2/gtRXtkfWmYoUPX/6BjyTauklXs2qZ9YHuG24YhcbxM4XOnR36knidFcOjYW3aw2R/Pq4n4/dNtaXUjyJN6vCnh+CXSiWnU7kQJfYwzoqcjDD2Fb5o3B77kzY+CbiH6bOmTLJ0OhfJh4YpqNXeoiuPQYhSYCaZt+fpdlSg8QE3jN/K/qhgGd9ToXOEpMOD1gvTpwfzw7HmniZcQu91kAi54allvbvz/PTnWLinLH3jw0oJourg+GpaHwVWESzlsOt56odjo1iYVFRGfvz8o7LRFB1dpKuBvLXZR8uNocw6PyDUd8mYlpGioDXHGVhYLNru+VrZxlPIsHov8+uMnypQsuxZMwat03zwDXEDQXmgxb+Begmzpm//v31IrbKUH1l10N0tkEcAnD88iq3mVSWQ7NaStU6GDg3GXVFwCnHlgIGXNF52baixtbMSi4U0onIz+dUmha0Ar7no4TDn/hPcEYEzg/tbyp/kiHCljnXTvqoxQyyT8bvJ+OUEgJvd3HqGSTgBpdTBctUHHRQQ4+T2brAfW53uYevf81/lQIpFgbcYZu+0Q+JmIFHjPZJ9of0X0fleSo4O0jQvTg88tzIWz8VFGAK7YoY0x8IHT8AI6AMzhudr0fpY+jvOQvxs/MHehxgb7hx+/4SD8StaZGEW/nFsOF8j5zDIqHRFzdA60GYOOdIwcRa1R1TsxUer1sdzUD5w5WX5fxgnF3/CGcSoOrCQqXc0mkAJQBuwVVI7ZTZTrQUwGBK1Lb+LCbkoMEywhcmlNGPYY0Q0NZA40jnjYj0fiESPrCHXpNIrO884i+YGpoRlI/5T4u9XZe1MazvmOODi+GtzllTKlfFkt3TSzQf2209u/ODCTM4GHcLUjFWD1vMKRRuSZXknuOnV2+KnUDNtfKyaW2Lj627ZxZ5f2q0OT4iaXC7t40+844nlsk59Oq7AoRwBXrxvHOSfj4liDYuU3DBDqnr0v9u46yoa/PhsSVPrrxucn9LjH/b0AnCR57FUg3RMGQcANQ9WhmKqqpLb2iWNl+d6fuirNh0V1W5vf7ulT4PBLZOGnD6jJDHzCn72R+qeVvbcvEBbgT4wPIxRcfW/srPuz06lQtX0SO6Xa6qQ9Sl30zvxKgnCVPHRRbWVJulLkNf4jMi+hTQd9kwGI8+2sbU/T2ptuivrC4ZmryVEEHVEXTcbW/uoYfwfbXMhbdS0lWRvBZx+NnAkiJnAUqFFw4Kn98Wg9o79xg8Wa8Hte8niZ3qe/nroAr2nPxerVdgb4F2csOo3Zy8x25zTzAr/HmB/GeUwF4htqtROCTT3rDqMCEe49bsvvBYj5NFt0zhiV/9QyilCnFTb5kh/0taqt0BgbS0hydGWBBj32PmNP4FIRJKqtQap5hx4WuyV6LwDjcXzid2xxLv7HIcyQxWoRSDBcAwWzjKmII/ZtgbyF1e3BJ33WSf000ojGQtf+fQPLKq/SgE8NFAdPUiNcm2TT2cgDHE3FKPlIoigyQ5q4/Lqumz0nADFXs0OkEigirVZagJUAZxSCzTPTP6cryFA3l0L6Xx7IXmOuF+q8SlMGcQUlv1Bd9LWZJlsrxlyDhW5felRouYbJalNEJFzGn1PtO4iA8WS0TneufyDuEdE/+bgRPAog5LdAuADHQ8E4143RvjO64UnQUtwsSnIlNxcUxo4xxBEm07TAiqmolEo8ggH9H1Axbk5gkjNPpfg6YisMc9TgebOp3zUeLTtZBF5nhmYPgFOGoGNcRdATneA9BcB0VUrBkG1wYyHY7zXX1LFa0f0APqBOyPAoEIQXi4qbUL4lnXref6GI4s+LAtoFsIRMHibwk0ItFndOa14ht6DFf9IlX2t7ZSNQvM7trjk082LgaZJJ0pG2RYv/CGlH17IkaF7Lf5yeNMHT+DwFQEHqnw77Yi+DGakO7wf37v9pUH0HNRAz5vdi+aSS1JWhq9RfTS+8SwMizrFU7fMQR4xV+G3Fo1pyC53+rPD5ADTG0aZKkGgK5ee/JSdjUn/g46GWaAmr+Y7PiT9BysRd7+TAvurGJYlaqsEv12xL3sxKg527s/PWlGmEcCMreD71YaSMTEw1P6ayk7QkH3CGtdCbAEnPHL4WNKlQXUtdHMUs6khEM0+V0mS5NlNIAStGLer3885lvvUXfTmW8+1hznVv+IjrZEL5Klq1waUV3aUhmIGbGKh9BEUBlVxV9ORqkYTm1BhsA//exF9jMN4UsXBtD9vsnO97eZA6wYefMKmWJX7CznfO2UKD7Ln7q2aPrOvWGot4qaYe3/+XBSIDBKWhXlLvBkhbeYinAs6jGy3dZ4A5N9HqDF+zO+rF/2BfB12jQgACvI0JXK/PubBp6RujwNiTC1nzrcJo1JtJ9phmylpgNmoKFmLi/P+3s+inkwp6IkpHxd9LYvFv8c9fdHGLuFeiNANZ7KLwvhwndZLdkqLe+8bizdgnduuFLYbdaEpw/xWUhmyzm/PVspmFLtFYTl2YNo3sxBE7PHJ/UGy3N93xZSO3Gl11e8lMM5nwA/vzE6LjBzur8hheLl8Y9e2Ia4Qrol2dQ/0vDSFDwF7qLu73QuncekNCr/mfbfLZnCVzP+WQ1xTfFiqy2oQZIKbjRm4g8aeCV6vIbdONqtZS9ngxdGBHri1jxjaYVVZBlF41eR/1D36BtyJA4nXBQTv9uuvkoiSgB60gofoo5mQxC2BE8rG5U1nttIATI+OuCfjglCEteD2tFpQIseIEPDX60iaFfzoh3SCU/8n1qa0oQT7oXjDmsfrjEvgtNDKsprtAuXFo4UBS0whvi5ACfWjQqpH3u/LKNFPyGCoVbpRTH9en5WmXR7X+qslxCodU53AJpEYn+8nSiPuU7sF/wijRo9P/VZPTpYok5o1msPN/UQckXZXHu19PEPFkRH+aCaVOWJU0xUYFz0rraXbmvLOcDQKirLh3lLpk7Xr2GLLElc43Iewk/Ee1XnfzKTD+2EGH9ALoYB8kJ6iXyCm3w1I1A4aNClefXRBQU+EsE5szWULZHZ9Hd+em3SxZPZcSnQiYYjlGlIj7ge6T9MEPyGB42lZ4Fcg/cfxAVu6qQmZ8DpkXnvIUN5e7vYQoajGabRzAQS5RSNwSF9kPELdWzG4uApSYQEs17ME52g71Go63CI8DGsevLVYxNzmQDViw3LMyoot4KW3rNzdYk9Ljn7jJvTD+2E7CZhCUkyhy0D0c6yw6vspwzfkIWQqM8FY6wTS29ouxXQ5uUS+aFRprZRZVdQMTZ3HG9+DEJA9XHBi55TNH7d/wOjDNzzmawYDHEPlViqLPW1R0wa1ruOY9dVTdwKTAk+RCkrXFzHWWrd0NMtSXAjt6XOE1G02us4V2eIu3Biy6R7llJP5He1ZfN0mYcdWA+utIV8xzWGYDUEbxeuP86UsKZra/YZRsDnho0pqCQQc3n7aAZ9wwSl3jYOLg2gTp0uW0xgk3yqKlKtyeaYKfdSVRKDbrDYtmfNGJF0sZBs/kaWbwVG4X+GCDfkWFdF9adgHKztab9hkG/FPKe7LtVudrIItHCJQy6dpcO3d9d9efRbRTapxG/0JzRXY0y2AIWiyXlDBJ0HtEtLtMSuai1RxLjB/Qsx7ea5hbg5rz25Y7KN2RW3DHRcQ76zmSpjtu2GrE8CRhTYwOES8tqd1mnNRQvZsmZIc+GdrAeyafGNPdPcCMHPaA+i2Vi9I+ENTYpjZdKfK1ErWfC1ZbafLql5wZOqkfeDBJlCZxkHpMaKk/1ctZiWEZQTzE/uGzpBnLNny/5ZK5GvQziUrtMTX6U2ZVRgUg8K6YeZCQo7URrxhr5VFMdrbaQYjwT1Nnuiqc6QW5N59W+xoXVDXHChc64njEzZgUQHRowsB7h0SoX7NgwnYykAL9lUviqdGkKTB5qTsYZrAk7xaFVu/Fg583yUdBHylELyz8d1cGzIZemqR83keNP7DtVpHTdLoJv5WzFJU0ymwD+C5fy1dBTuWzYBIfdzvUHQ02EnIn1lygzisCTVBXEM0lDN8KHJwssw1JCAkXsMyPSzMSlx0LfABj5a2WgTRmOfRLUqbfMAzF7qFSxdO2SjIeV2oMD/cxSmDpTbaOXNsfpMhLkN65955ADtRR+fjehfw0/xDMwG7ciXj2Q9XjzBu8xXj1tFcmgQVJ5IkS2MWEtxYfrbdnDf1HUI9RIRvsjixzeq8L5oaKWMBoqXNeEd/gQ/wiBlA+Jy3GfdnR+jhoUYPrIT5ZeBywc3a6kcdiDxh4or+qgqQcVxnqL0PzNy7iUlkeYyrY12jxLC7KemtmgbezzTGqnUlzx2UAsWnGmftpbFm0H+ujXFS8wjLoxH9dNiaNi7He/XC9iXaCTP+UlKG22TCFzOdCKd2iqso0wMbf0EYZ8j+p1LA18WvWKsHdF0T7ZVhl6BNgzKjKA1DEecEYH8emTHTJCzMFvLJiDcqmuMfYvZo2nBuLSh9fLaPrnjFcalqUUoKZSKAkZLruBvr5o6cMtTMJM8uflxvSxwxyeYIg57QPV9hjCgaEOav9VlYFNOjYKePYK9WPHeRgf5M8hfyUVbidH32J8vzULPYoth6b244pwWIfsCbnagUBvJy7eD3ecrLxW9BDYU6jTKpiMk3fSHKOrYBqCc3hFlZcPxRYNK91Y9R1QP/WoI4J745VVBNZE0tGcXRtw6JdYLwFCBjKbIMPS5NXRme1pbgErEBug6noVxTe+JWlv3+DFyZaTx6QYBGlF7z6SCQn6H2311sX4P/AkhcLUZEMMCUBWdUwxxETtT84Hm6RbjoxrN2CLkdLclCu1CN5KVsY8jRwOMaOScSsTADBI2aSugeq+bpTuSuSfUbJbF7S9MBjSD+x3A9XKzUpBPO8FTAQacY/b9UcCkJZu3FgT26GdgFBeMJG0yIq7C5r4NWflDRIyG5lZfmH6WeTbEXfXKQNqFCbje4r8XzE11bwv9IbCP7bcPhJ7W6HG0paGYyh5ORETEKOpDjktT2/yeMjKx74eaBsakqRNfDSCJEdMTXFnmcsCB6wCfGJg0sTy5E37XGObWqnwjs3AvY7YRyF7ySNOGR1HGqdOLFcF47HsUYRQWEYqZECyuQZDzhEhyH53xaMGGyDe61Yx4ArD5X+pbPkJP+zOsVmWx2uZvJD1eHv6YNkMKVAspyEnCbmBFCtOLuGHYqol0/8AtJsAvcGWVFL6oV8qa8MT/gya3AxvSkVnsD0vgp8yRAiFfmwO31Jy1ZSfdBPc1xakt20mn/GO+WUZm+zYMbb05rEOLzk33TTMjXUu07A5nUo8PxJu1QYNTG6bKdh395fslBRWFdyhKESjRzSMTFBKvoZc8mOHOcL1CHZ297uRRYmfcgvwsz9y+RNGOIRkx1D95aAamXtBl3sZ4oeVdxX38eL6rtPOqjki4fyBLuCGdFy1/p3r73OL6KoHuda4v6uwajhciUrRK7KiSbvc85EsiGJa91VdnjTU9bp/0cOGVBMr8FqsRv2EIcyd+/PMlFCYv1r7g3JsdF1lfO8uR0zXd5scG2bxQpdVKVq67NTI0/Q8UgzipGyAlHeC7uVHRMgq7CfeeKhkTRTyNtb/9G+4JfQkxOWECModZk6HPV52FoTK0VSULKQZ7DBLuJda1i0nLBsKunlqBdf+sUVA97F+ddfPrRBmV5SGW0kRP+wF2meCrFT/ejW00NKQEWP8AE80ImocA4zx3G/LWcogrRN36evG5GIEDtdcns10y+APfkP/KptdguBwXD5aboYyM1cJyofkwQxRsye9Cb4HSy8bVx1zEY0YgExyLoZCTV8dj5Px7NJBBYQ1SKYQTjwoZKy19FzOhqbJQHcZG1YIl+KuIjBJNYQMCoVpHvYssm8JfKCHyPYRmU7jEb50yutWWnqTjdQgXWGzOdE9yUrtEajfTXQKGvnnNETOafb176tT0fUGQYss4aVFSwDlEmTiYVQm0AVHCMyOEqmOt9GkoXds2TkF738dbCsscAx0Wsko/RK/ihebjIxkEGgVqAjMVglK8HzOWP3Vk6cXZFf0xFD1cK8RT3323c7cBt6uTnIEZCTiz+Xymm9uKKmT9ifFIWHD6T12DtrEr7Y1QjYRlzjvFJEMhZYjMuZkQZ/yN34T5v4u57s1t8KKFs6UA9MAtl8WTrlolqgBYA/AsJjVlBoDU2BUrPZwmEv8D30EHJ7VaWe4nmMdbAGvU8CltRdMt+52SA11iW7yNpj/LBaEOTXnUJchjAX2wkq2BovwZTZ62n/QpFHO0mg6FU3R7S23J8Jye5AszrmqL0V+I02E63mCZBAplQb68Rn3bpEzEWp2IgUTLYB5JQaySE39rRcSzpeYyGYewlgsxSxSYCtczYqcW+uQbYw3ehD2EWiTYkiJVQfIoDt3mrvwIHI4FYN37XyszwfhFE0mEzozL/nqs5kg/pjTme3xIl2N0T6HxooPtAVfI5EWn5YuuYU9t9Odt6q4Ay9mWCF4+GavOctwkYmtnjcVglVXkR/ksdXn5sVQaAA7pbygfZf1belvkDM+NeUCNaqij3R28/CU5lNCgfwOrwgDeMKZGvWDp3oO5S/+zKWKr7L6MBN/NBRcSDIYwr32hZ7E62SKAkcdNqfY+Lh9Uije9C2arVJQ3QUvXqlQGLWpNWv013cEQAfKsXZT3tqXeMavm8hwvXWbGS8vREatbhi6ofkln1urX0r7TAIua6YL31ZUbweRJQSVh2T9nTHeYjWShuQFrP7Pck5MaN2L57twS1oJ+Kl45a6ojziUpbMF0+isWUeJAaYJXZYQveG50LiXPUnw+068r63wsnVgXnesvXNj9VEifzY5om3sh/xzixDfgsXZxDISeF/ib1jtDfEOEv66AdUg4dRgC1zXtLP+El+g2hvs2uUJ+/6EdCS3yqNluZspU9hMCwiJKIDqSt77ggxz6gxFAI8nMuA7etCkPqI3OJMGHO43gLcbN2a81XBIAdSirfv6kzAilPdGDm7aPnGa3oNUjmGAfkyZDjWLnW5KELpWqcqBEpO3sMUjwCkI2IsNJGsEVTaxq/dbDw0hUgW86e245SCccY7kJukdNc+nkZ/U3Zk1tBczOoKmhYSminbVuZK/dMI/qgLqjt1Y8pqIcb3+4KRIYj48x4K/Sx0h3G5kctC20SZb5j1qMGlqVPeUKA0wxKwCWkQ7EnxJGzhvpHtdult+zdMsayBGgtcF1a0wZiQyWjkUFwkTh1YcxsImb3iZ+M2N9PwHF/LJgGplfvXXEETpw5dGWDEG4PalUyX20XTj1KfVL65Mdv5eXxQ/vmu/bc5wRKaGYGsTQen4++Psutfcc97P3R7+AlgzqwnA4TecRDj6e9VjbAKawctU64K+tHsD3GAc1BwrFGONoG/9gkIVlhlJjxuEmlVTRGEMhA0iEFKkEZeohBfRwQKKi8Rj38zG4BH4zGlatQtQusZxyNMu6a4fhgVmEuQHZ66hJrzl5IL6cIiTHfXdTlpwP/1RtGUDlyXl+VBeRyRpq7jxi8jCGEjk+fWkxGHca5xvqK2obl7tUJV1wgTfj5jSh+OxTsZ9w22oyzi18IHY++OICFyLtFUhsGP0YJ6jbqucaNRSETr8w+8cvrv8JAbAvf/P5wrHPrEWdCUuvkv5m/V3quRuie+OyDcHIljO3mM1Hn7UIT55YtVfxdS9SiMdtUkKtK8uAKQzr5upNxxAnl6rnlmBlL427KtQ7Y1w5cxIo9c32ELwTh/8bafvQWWXM37UJiodszsNDbDe9SdA/saPWkAfmf/Bt+5YBw8cuT/p5h7vTxoYvZhMTRqiIHihxTS5RmRtHjXqAfCgZCnYLarDeTxPtHcYXM8d0UHd6WLmoM+mSZhTbl9k6iqjKrKiGh8s1g1EZ5zTVULS3IgIu8nfCfPcQg2CS5bcAukaWqP6H1HGTQ9UjpgWJ6wvWQrcCpL3nsx96Z01Guoc1gi2RoTfVTnjODcpaTn/0zJoXeOZnZPb9KqocRUiac/lK4XMqtVwfJ2ywMd3t6/oWXtTgBf5BXNXWEGZX0eyrpqrmN57al/sH1ZFv6+pcGzeplelYN3vuM+4YUUwnbkrCLeBSxfaqaWeuAevx/iIbSRvxpFwuGMUSkfO4sOf2yM+k582cULU9HxcEhFXZyX81LVn7if1z56EeAYuK66uYZvXwJ9So8IcDT8FXiEbwDftxeXfbAz+8sAEVPDvcZscAjBZjIhNT2tyO1ue22B2/p3LYN2JM40xrRMjpLEi6wyCLVSVgnqrdeXXQ3sfO615ogXr6SkdWHKjXm2Y0vQOtOe97dYhaomxuL35pILAMefwudhF1NGsQLrKLm2IZJakrscQPMb0jBWyVjbThH5SYKCXw48my7jHT4U6xI76+hx7egejXemyttiD8/wR3AfZV4FTgjQNN3H+g/rOL/ESA0lj5gSIzCVlgmzLFgLnyvO8MRUB3qOuzLWSl6scGHcMgMwMQDxgk5RlBm/1AWB95DU/NuoeKnFOQ4aHW2tRSzDzvrQWbHExd3QLI4eijqbyEMGMq80Px0j6ut1fYVXC9LjPSPOIr9GNPC6Qj/jaN9W9SzHKT7/fCg08SmD7ZTW3xq7DOvPT99Xn6xbc+tohftIZ2j6wY6V3PSPLUDNYvXoWFKWj6D/unyrxNCSnevcfwrCpsAvb5aX9Kq66pzfVAoUcDl9RCCVv7HHqkXE4VOKmhK1uqJUIa6Nx4NcJ7Zh71KyxU2KIJ1ODWPDC/Rk/gB5v3tYLdt0NIXDZQFTHdDNNutI3KAa1XRi1AMa5+BZMwh4gXUuvPgRz6JbWJkRQTtGes21qBamTHBHetUBwwvGf0j2L79vwm5EtrrzpLTaoa/sE2y5ueWAOZzirZ1o3grSdjPjrnUZ21k/BHJgg2sJUyGuvOGKZ4vCsu4xv8AOP5DU4yWLGI01OF/eJWVBc//WZCdO0hOjv14onMLq419EOpQPIaODNP5HUdkp4wgee+ao8kehDF/vnFDAov7cgz7xyWGd/XeWRsJrdb1/zxoUmAF71jpu7+a3l/MIqRuPkpvlFcSM0Y4G/qCIZbCV7lQJDxmQas2wO0e5kSigngm/ukC2qg5ZHIdH34IiHtmdWt7KOUjIMrEfyrNfy9vVHE3a7YxI8X2G/HT3vOEA3cqjPp65SdHHnN4yBiUkw8FXg0Kpu8dXZZbYLkgNc8028f+rnwmIM4NWho4Ul7z2ljWRWhoXZr0KzE+/FoyBZgkfPHHJZnPf1Z6AE7fi8zGKEUzhCGlnv/MZmTrPaV+YmTN8MTerjHoNSLo6s/zyMega2F7D12NRqVURw6onVT1nYUmUUfuXrH5eJOEGcTjsLPb9NwFdQN3TVlHu3Hs3agra9zit8EUjPHob9UMrx3GUvpySgauiOU/0VvhpjTgEtH9e26cIwik29xPl2Y4OpzLPeGOsKOhxRsXOc6yMAeb7ln4owH0A6CML6XIICaN1vUc0rLDCDKr5h5EwVTCrDngYGr3v2Q6oG5CHQXliSXyPxZlR9NwuuTfIovh1dnYXrqFQgGm5zxiqWZ8V+aqUekFDN1lxRTrv9t6v16uA5QwR4CJNofG+NetJlVUmhWPXhxR94pDqOnk9XBY1eCfSlgSYxUx/yIxl4LLN3BWB2IjjLUPMXgn20hzo59BebYSLfIQ6iftqTy7P7FUqTzl2IM1CTch1nuEy2MWx94NownFxv5NjVBTU7mQ0zXCHPzFbPrJpjkthAfYfQIeOSU6BNsQVdIhaVjItEdY3ESz13LeV6k3M2GVPcm4xopGuQpFUxM+SiduVhI158VOR7ZFemW7qstj29Ys1DY8zpUqCJBV2UUB0JJkil+hw92I/Hi4x8wVPEtoev/rSb4iSTs3Dhc+4a+jA/vWmbTJ4K7PsjgQtAtcAcHGGbDgMzO+Kha9ct9SynGzF/vfpRDtv8SUgkY7+06jwMV1jUcKqMh25hGu7Y6Y2FGAgn0O1+1CV3GdUwOA4VIC5tmEi600CCxU1Xt15MzQ5s88j7pJyUnVozZZHQsnfdvWrALPveIyK0qcyMe/ff3TqNY3CZge5z8KNG2j2wqt0C2s0ihem6Uj4ACPWk/5QLYts9RUxQLbSd9bmg/R49gUL6i3u2SSlBX8gkbaPe6fysHhwysTkHeP0Po7uYRh5iLpKS/Xh8p8cGGoPEPN3K930upNENiAAvmeCoApY45kI/p7B9dIDyAAQLy4va8A5rBjxHNoO0miB2TZR4dOK61BTQ+5r39BtEzCwOPspbkyKKdMoUTGQl59PVvHrciW5wgF8BmsdE+gl2AvQrvQMWAch5U3WnzE23bznVY0Y4eYwiKY3UT4BMU2BdIYJEoY4QYj7nGJ5N7CbjaTvPpRkFinPVjGl1h8SX6K6Cgn4gBBNmpVdr4y5GinaGdzK8SuMnqmct843KBsHAQ29lRYnvE5CnMDU6z4p+XXXkcaO+Cr//LVqevOfYGoXu+FBtEEheBQHR9B2rwQr1cGz9AcgsfpbjfobOwkKwfLXilB/djIgpGKeBC68capYaHR31veRSbNihQn6XY/JlQmMvOz8SSiN0wDuWVIp/XaMn7FlYInasaB+faSpSLwFeZ7bmX59CsLS02oAEpJAwe6edYlul7LKun12tWnJJokPdV58j5EfYZYbKvWHEJMhOsfGaFYkzUvvXvsOWm1tm2G9xro6fHXi84JAuBHb/qYA2ZOjazS/Pl7SrkA7vctGon8ahqydnYxSvNY90bB4wOOkz8+eBgYtEYYODLq5nE6/6NsDiTae9liUQVWw7A+J44tXOie3AgNXlfdttOu1+KqGFCZ9hn0Pm0Mrx4MCb/BuYvtPPnoz5zsB53dExEUU46Su8YQOpO671pMoXTFkxJVv2nzKlmKP/EQcYKUsIKREYG2GHPDZT+7368BgVFkzVGQC5XhyWyuPcYFJp57L1T+gFfsYTOdwPeqWsJ47Dof8QxxKCN9y5ci6XdMlYnIWk5wIEc6zvnFuGh1luTa/MhNLnn24tCXOJbcrc3bBZDt+wZY+ohpu1g43fyUu7Lh11RY+s3ntWSSA63+sfrwOjISsMs+GmSskTeGdsJwXNMMD8eE2AShwRbQinlPATbeSX0+J8DISWusvCgrft2B6GMhHLESA+UUxQjrO7zOzBetEpQhKN8+tyD3Nhsuey0wpSojD6pePVUhjjk9TcKBKaW3gxHLEYyuP1gTWImfkx1JMDaaei6IBnO2YCdpzUhIEdpT+DBALZAcTxDAC9jzkhaMBf4mGXqfPM/iimvEBgVHSLTqOSISPH6/Z89Aor/uU9uLh4k2HrtmzzZrHbcxk+IKDwALLFe9eYgMiMAzJI1rj3cFAm6Sk+/4Unee+J7ILWb8EbRU6nsWc0EMO9AQ3+AAc2Sp2VlU3He0Ro6sCfToGc0Pk+zRPXNxeaB9RylF4u3OIzqrxhnBLks1AQkGTaFBzjEkKROWToSxOHly2o7hY7YQ9OJstE+SUP6B4wRQLF2C0lNKBAPyIUpk/gKBj10iR2yLN+cGkzSp2PYQE71T4oDKkw1fMk6qvNOL4sM/LcT9ZZVgsB/w+hcrDREHowrwL+ZYBJN2oo9guRAkXS7LtUoEYeznf/92neMsV8qSxuwVppZLxYghZ091QumlBNeN2bAg/ePkA/pQViR/oznyJ18Dk+7bx/yaYcByfeQdNzMetffSOysasfXzDH5hdZEUOs7Stzw/uWsCw3bQPmMddnk1lgj4OVt5oBRNavDNfgyaKTe+G1FK1ykV19ZjVNiBjQ+5eS1NxNNTS7tesTtrexG84kIbT9BjC8I15UYkxcM925LK1g7WHwgRGqsHPKCanmZceyeiDiTUQko42BER6HrKbJOJaMj8ALN2wVFPnKA5iP9rn7RRF7zHlH5+u3AMoT4oPxybz7pv2MGxaT3NS9Bpilpt7Wu2oR+bY05+xMhvDrIEARjoS7wCq2gNF4h3gTYyMwmkTBr+sbJoFNCMQ94U06XHZNrRVuKldrJ0k7EnTgrtpvGoTqOAagVOBYIgGJtntw6RWx9fL6n24iDhGIaQ9ifISPkuI8Feke+OnyzBwTYxJVHtC1wjm5dkBrAekTFveV+7pMEnFzspxTdpDJ7zg+TR6Shtb4xXvaY+XHl3JyiOcdVWDRmUA//kEto5EGuWbfL93g2NCbZH4zLB7BxM8RiVtpVwnaudOPn10KXkSE8wvjPzZY3tMK5fKwcP0nF+QA7K4p8aUgmGvZlmRtNvKAODQHtX624RCChI89DYqMEhg950/fhuCcPgo94s5fU0aXesNZkcTrnOwAB06i4LPHWqWfvfbGNE2PHRHFmTJnX3uKIcthR565GjWhacjYXl42yxBx6DMhdJ8UExktkzvZZ9AYgSU4E863WjU9F0weIK1U7hmDDWleSzgv3cItjZRPPWmvRZLYkhJFUHKMDOlv2IENFDK3qkLPTo1iQr5DfasN5iuSClWxXh6GKKSkrmtqz9TDQC/L/cNnKpcmMqRrwg1AK1np7sdOTK24UjdkSLgXQin2fNx2+8b4m4VdGMoZ5jjLpcsqHjqCI4Au3LhVtl/sYaQJ6qtw/H3RMcpfXmqGHAnPbR9EJsJ575ONAE5sZ4QhqFeftpnc+7hK3qW6O90MD7GKm3nYj11JOOT5sVKOLTmZBFIbLZhhOcn+pfqzTkLlzPwKwyOxDNuOxIycfVw860LB+m98Q5YSRpzBUQWrJMHQiWI4q/9yt25PGXGV13wVP8yI+KKI5l0+xLGOGtcyEdbjIA2Q+NMoc7hnGaZo1WMS3eP1j0smOOAW9hzGh404Q77580vFq09uu3ge5bv3o+E6v4HjAb9wO6CGUp/EHXTXZV8RHiYs7+OnBAtsYQbvjkNBKsoij6cb4BTJQDQ5OzQstxXeELQq+EYdaFL6reNT0w+Fj/QaHXqn9qU03AzMDY6u4qiJXmHQB+EJW00oNoh6EvKmgLPvVNuFUHv8VEl1tuJ/6ysZmKVFFqgEb2MnsE7H756IPo8ZO7nmi1ajKHKiwSfLxK134Tn8sd36Ken5B7k9D21fqzsRH2O+IR8bs5lzLUcq0+eT4ULbGTBkTMreiLuo2LBgGqxEBwbuUwPPhVlOoTFR0PCrvuwygzbbt0y07D37kR5qhY9hFUkvCp8rlGVXTmmlNMH/wBrERT56TheyaLy/1UKrKGjgIHnBqGLFot/lkz2LOLfcQPa/35hDbx95hSefyMWuDSr9JB6o3N77SwzhNjhxohHsiy5IePIpNCk/XGkrNJlf54j6rHb7BqP4fTwkoIARnqN4erAZ4f1I3LsxhTc7XeVyiyFtN2hMyHWTxwyHHaEB07lIdBSmGywCYPy/0ZAqZoX5cpIS+pK/RTIHFdtnqBW7gJM5VPUqA8WeVgMqyMxiuWAXmaNvAGIvFrZhXd4AFyD9n6A53/7jRp5nU9LRynCbBC4phCnrS7qX+qO3ldxdMF0VRJRa8QggipGy59f8cKjY633qhKEjobtbhrihRxWW9eQE4S7YRIPefvqcnMz4JOK7FCVP3DcoTJa9cvGWHovsCx9Ellzjps3xr3S/b5tbInje+CJiP4NHVsl/edrma0N5NXQflsauVFxQlOVfAnrHQsiyxcoiZiWj8uAkStnk4RT2+ELL97Hb0JpXPrmgsaOrgxX2vtY1DBOnjaIqCy/U2owEaE/dzGpDbIoZSO2ET71WUPoaQNHDtfv9pKUcVrFdzrELNzLyUmgo3QYurX2pV20W+fgYa0CjAajM6EGMDABX0PElOWJmMMGc6ODsZzw6qd8Y8IsygLVfQxixI2ecCmIsA9meWkxtKgX7/gDOFuFS98V08+7VSrHFCYpCc+9A+ci4ZR1CZuaJ4o2OPuT80/kMtyzt0gnXrinALf8lxu2RMyp+hRXSLU9zMuvR+njdsn/R7df3A1r3JU7orogAHfU3bYRYejs73dATRNz3EAhHsvAtUD5HXYZ/r7Iz8j3JUX2LsynJ1/LIiAWE+nQ78AhA4GOFrqxuM6XFzHbjIWgrCryB94PAOWOPpPYQszS7vWYa22757X+kBDfT7E14AfkthilpxDmKIZ6PZUO8FW7oti9A1TaF4TqmfqoV2j8G5XsLfqBdgqcdLgazvgoxvUTC5ETs6J1tKckUN/tYKhL4vWBZbHsmsGqVWpB8j0LN+uXEsWWsGOaeZNlgXevKJKF2Tb7ngLTvg/3g8trdZ26h7bT7626KraTGzBpgAaQL385Qd1KASntYF3vhGHI3QYdBmmYpWZuV8TlTzwDVf1msjYERkbvah0O5hAGYWxberQ5TcqGd3NNG03sCoYvHMnnDdTyQ21dXst2WfKEVAnY7bpUnddB5tH7yL0VMk2DAy/Hjd4sp9lEwZnIQk7ojrat8fDRWPy8rbCDVp/KA0WB3+UMHXLOMJvSYcGSbZ6Ex7Z1SSN6KM2vg62YksmG87zl2YL8eITh19IGhvauks69WkV5DAwvfxzHdwYExWhOZS/KhAKGfQO8axDuodQo/8exybNjlZiOCwdiova5wdltnvbceuf+jHu7GrR7COVuxGNLj055f85aIVxnxS52KfS8HugiFwj074DKSXuMYxwEA1SNH8XTxU4mtCwJ2O9vKKRw7xuiIHb19QsmZXgcC18IaeaSzpZ+ndQgQDbjZ/SMMlQDd7OpW/44oOSZskxMGxUZ7WKhBufpUGwg11Ypx7N3yyvv//igZtYGGmODt/A0WqOKJlzoSwlP1cxxwgmALYWMNvVrId8Z69caJ6smQ4QYet5lJBI6KigokHfwz2e5BEZtTky1n5UlskwixOzXyMCYD/kJJopz6joFwmq7LL+9lf4JYmDik8fOpiD/VygBUVK2JumSoDV5LqKTM37+UzdFe7HWAeU/MpR19YzZ0aE2tgfJHj5EAvJruVVDnXbLZWM23wHRrQNEWCnaZxxLUDoaV6/QQLHopNwAPgIoWsx/O2Hsly1aQaX+6bG/MHHnt4FvjL1r32g/U6Q8uy5v1zZ5zrDZNGAH5sjqUws1A8TBxIW6DN1QmwZsrAv4dA3qZez6bsSbrfoEu05J0Z7fIZlumIH95/g6fhXJm+JF9CVA9I5JZnqXU7ZniP++WADRp/2xjLIIkjka9M5rmYPfShy/XHC7wH3j/vOl5j9v2Owdnd2aRyMTDuBb16FFyyY4ZE6z8rptMlCbkEaCXgRlciCqRMVHin93WYAsvV00FT8zpB1md2OEvRBR+lVF57bgPQ2J13CxROLzQchVcdkXZLaVGoZxdyf98MVX8H4nKEQlB3+LhVBB8VI+7ZV/V+Js0OmX95fOXXiPUuDUmMX/XHa3cI1oyhifPUVc9SzNgB0ZzPix27ixBfjtouhaEJlhrDJTAX1joMkbo34prNHgXh2m4voOGg2QpROR4NzY1v+yriWmAyp7uzVW5swmtxW/wnfTxxhkgZAsl9/5zgal3EPNCjBTUuY6J4X0Jp85SqbtPjl+XAT2u4Gr6A7uEPAqtL4MUnUcMaX2TFDSsikt1SQf/tsw5rimTsQfI+tjJqtepzLruihXQt7ddyGzOJ4zQpQ/L6BWaf5KxdztwPQ87DnvzMjKhPPM/FiPijNwD2Al981et3gf0TefoZgH2ddoyRP4wkSxdHpgwPqBBuBwC4GkQfLxJ1TeXN7X6LBFDnCWFtagonON/oRlkEZWUae9GeQMK0Wok3130kXvYl6gUPXUIk1ImGfJoK82wBhAo48lAapzUhFU/4F6rdo9+OWfPNTC7O1QJ4USQJ4FOopTH+u5Eqhr0dvpPce/f960OJkNYuI2NURocvus3KqKICl/IpwJIXK0iv1txJmpMKWcwx3GMEaOA9z1iAhOzJ7HV6SgbHX06Q/2SOumcsfTa3juWOQfd19A+Hy3tnLXPWPZwgNcn5GFpb37FsmwHMEEE4Oz4fMFexANrtJhnoUr5fLVj6GkkwxLEZXdGSBaCv2rt1Vp92BZ9P+9eQ62F16gloUIRDCetDRCWWoPfzMnH71jEKLPwZbIk8K79Z7QGYz+KdYBYvtgAOAtBnC5zNCTP0cOtKiLgIFlgfkz58PEaL7zoeH76IRPnKb2SSMigM9z2ztw6dSRzNeww2oaQJFWX3zsAhGHAhWGfpotuqNvK0pEeigxbh3hHAOwgx75QCaf8og63AhQmSsvAVdgjQylI1bpRONxdIXEagE/6L8DK4GqJB1GlkY2gPw52Ckh/Nwipj1lbf8R4XWFcx5q7pATurBS0hAdmWudltzxLgY8GDO5Ly7PL/66K5MZ8GDFP4TpXPnvFcNC/JHA/9A8ENEAhCbkIJP1B/OybtgrFMd8sMl18T8xoHGGnnGF3OSjpUS+BSg6wA8KI9SOHSb1afVz0nwgQytthKh3gTJerLN6eMhTdzS4dUviFsjfg10mO4f95pQEDnrPVrjK1/TSG3aEH9F7jZmIxNi9x+7ebTWiYXokEYdjXEhh7U0e3fKklFLKpa6q5MUTXK4ejIJX4sojpl1RiHcp0u2bTUmDIZ9RqT2cTdDOq4/TuuCjvbboh3+d/7H2ydxjiWYbKTR5fzmXZuhLqd35NVTsSfw1o/1Qb3Q6EFQE78B+Fjett6SXyzalqS5pXGp5yiXQNxN/WvVoMsE1wi3TxEUCJQzFrKyfwx8MrZtivmjpjmGURGIMTOzTEwm89E2N8AP7eSwUyLpopYXvn/Sa2yER0mYj+qXTbKsNV/pisfSiZKakp98rVVSucXVFrfw66lZRWXsnBOKFZivrDJCPu5xqMobn9JqKhsL88lWY/zOd0qZ9ZbTM5vn1IqQmNS5MUg8SaUJv6L2yUajWhCe0VED5glcziINlAUz0hK5quDWj22X82RP742gffrJ9KbVIfcsnlIDTu0GdD0msz0ph2w2skKuBOvHgAfqXAcuj/0AOKMP5q5NnCxr777bCU0gNxOcVXsqHKzc/9IgPeCwSHW+v8yGPifGuYrwli+zZkvIhDU9WcBzTErjE5j98rPUHJYodlGHzYqq9S/y53Cvr+Pp26xUXAz25q/vejrW+v7CU5XdEZNh6/sgTeE7mEdOsUYXrptHpQlzIkVz3Pu5NuKb5kgJXHQH0I3eaQyhq974pVP5oRS6ZL/PX5uegozg+08QOuheJOeQkPo3TK+GJ1IN6szoV8T/i+up/OMMbVPxjCecq7JrQwJzWmlMfueLt3wlCp/9pb6EjzVe/Xh6OT6OmXKq9hgoQ/7xltSpNgQFn5LN8rhqzZmDG83N2qvpY2C/1k82XwIS94L1JzMnkeR2itw51+LWJ/D3G9u8Cu5BuFMIi2mRClYjj4SDEkgRK95aV+kVr6gfTOLOQvfmrh5zO/fhNnfnpf68XEumm+4Iq7X/vi2X8UVrBXie8e3iIt8oO+8yvBYM+9vLKVkS7BrCZHgo1fs1lEyOmmrTs5fLoibUAemnm4+DOVhADnt+avqNOQ9fHa8IHfhZJPG41huPn12Ct5Z0tEDxIm7MaDZ+XomQ7djlS+ogcBQCIXsgCFYVEQQ77Kz4JEtkDOBpRW5zoAPtUDfXWQbFsF+zxWCbEM1dHx3Cwg0VtMxg7VgeadXK5rFgWA+yhowwH26LAklXLHaIzL4Qk/rtU7fwuuvwK1gWzE8LdWKlDAYPIuLX5N+I6od2Lla5mKPMikdilS2KQTCsDmK6PQhYHSGxQiA+bs/LAgREBQqCgXDLtc5p/dhwCD4dVTWDC84YWLssscm6s1KbdWPCyWzW20Y85ZJs5TfDA4tFGWYDVKCDqK9IbSJJ5p5HcALsfMWYU3o5mDdB8Bqg8NxAKB+T7VgVQErcYJWOryOX+tNQ7MgKlxVE7nrpyygLONtQ3d38rGr4SBmKY1HfY060ggb+GUduiN0Lr5t8ubpsETBziAq+aiKYW/zqtNnRaaLev+kwF1h2EMSN/3+tH/d74pFnZsWas2nu1nGiG13lwC23odRS3rsb5JKMR/j0crJja4CWAUQiq/vlVYqGdfMI9q0BdihH4wNthilqpA3QHLk+xwLqSuCFrYtx9YqbGpgSIJCeikQlv1JMkv16A5wOyZo+qjAaXUIiFyH41Zomj301CL1xgLPc/YIzEDbz2cTUm9IqeJPs48Gjpe5DZR/RJAULRy8oIZJwk2WsIvd46utQoTPbF59+IlAT61iFvMUuX2uuDqMCtK80W7HIx+P0TgAI8sl6dGzh+wULUHpeF77QjFZm8ytnUxNzCVog3T4B5ZbZHIOJyZZuTJvnaBoJuacWLOH1+MmQpBI+SJX9g1wmkP7APHcoVBlnSQiWAcEKwcwSKxu6SEgw2Qm7J11C0/9sr7mOJwmqVUytqcTNa/k00UPz2ySaHeRuvgbQD1OMZKI38bPZO+6HGmP7IikU/6GN8IGPxxfqt8pRi5rb8WORXkn9RYwfbLdvRbAMrGS9ALbdaDikp8ikORtoW7b31D5NJtWHt6TTaM1YC7jYIXg/NddSvHiT+aBKBxE0aWskr34mJdcb0AI8gyucRFQUsCZyhyuo8j2rjdWOERD2JNpMPHjGbvexBEySHO68AAmqhvrWxs7dkBALC6o4VxUfng8eoPgQlNFPrV2mZFo/urCUKQtLRWS9YeXQFIlg12u/rkElh2aq3A32s2aofaK1Tp3i4o6TQZ35PpqFP16xq9/rj+izSh5OEG2Gu6Dz2T4utL7Ddao9XpR8mMmAKFCGJZ91ct/yxMNZBUubF9+zBiiWaEoaIxjnz+oKFkMFlO2aR77NedSnbv4oIEL3gpEXfnpX60GWAJ9cdqCOF6MJ2XlML0G2ciOQkoj5P6nieG207EX4usbSkEB6QCYDwxfh3YrrU/sHRxk30inzgNYD0U+k8G9ySKp3S7cKFrRhj/3oPP9fCSQRju3FIH6tUTeWLlJwHJOiCG+frSk1SkwXGUpfSZ/pjNB5ZrzdCuTiF2eNj9Mj0an9vvA2vD89AfPWm6lvWo2xwcrYIcB1+g6BNY2cnwebChs43F0E2Y97c7sWvp0yNDJnS72ro74aTxjECR2Llpsbo+5QoxhB6s/in10rt+UaAqkkOH4/XaBX+dIhOBUAjmRzMa7Q/pXGK5IcVb8Ig3KYnk3P2PHgPM3ZmXSnkACnav8V7dKq+1BUdjdPXAWH8GrOyGsYto1ppFf4MfQbCkVLAiemOQYsJXVC1OhH9n8g2lidkcjGi2d/rcwiAmW+2io2cXxSQhtFA/3wZL+4/3V5rfZJOjynHuYe3z6DbtoPsRKYE8aMgU5SIYfQpspTCWoxJ/ovtyuq/OFj8pXvYLGg2W9jH4zikt77F4CILMUhCQ163sNc6AaBo/x+QsYzrQB9fdewg+a26iatPoUHtK5kUYw3YS/Z4lAdJokgEaEkWOzvZsTGNe6kQHsTTdwe7fO2K+SeOBmZjQ0VOKTtbaG+sMD8bQky+fC/+ZBo0IMxTGyOABBbSuHI1YTRI7RjPbLQus5MvoH/57DNJGDL9VjJXwBfnT0FJ+1ye1Vomi40pxPxGPu1oKFYXX0Y7U47w6S0/aMfrRcdGiBXcn+9FPsmvrYmCn6GnTB0BuAoRAOFZobAnEfHn6+fS3lhR49vsm13v3H1SDMgLVgGlBobZRyKElaQZUjOFnQBKVWesZLoCwK4aVHawAFAXS2XUuM5RXby7D3pzIUTcKFf7w3mNCoxFBrJOzPhUErn2M20d9HpxMNFXD+ATQSMdDGc1QMEdBdT48akUmMv8p0kHXDrj0rtUpfdEzoPwfrn8+vjc5CLRIa06119WLBhp4vry6Vtj+Tes84Jq6YTRTGgJADCzgLfymmpetJ1MObXRE6nbI2Uc0VSKDIq+sJ8CjzhEkrtE2XuQPU4lNxX7XgfKCWYFQ5nCRbENlP0O4srigdfKrgZcCYq7+BvHk/cBEMaZkSl2apzNQ/BicCSk3gGKfGCQi+jq9Q57PD5WCKJ4Nyx9WvBn5hplA8a+Nv7wJNI7iZBF18mVap8u79TDeku4PL+nHdKJZn1mp2Ra1Wm6x8p2BX+hSgpyrdv4JMRANqqFUeNpL0pKLPGuhU9lHLFjTa+gP1mVI5W1S9uhCw4g1AuVhVatw6qRCTBJx7/to11ud5mml49CuE4nzkqxbXQq98xMFpOlPv2DhUpRhyyhsOjCBHIt/wx0fAzt1qjC17oZeAHdyQfDidjI5P8TvD3jMUGtkz3sRszsikLR8FDOho0SN4+3wFvBDwcoNjx5lAZ8mRcPxroQAz7YtTJVt64aF2p3EOuxwP234+SlXDJwPUr45b0lfPbNMSBl0QugCON+lzhkQ1y213WXj97qd9krbtK5oOsZg1Qtng0/WiGYGT/3u9+KsZNN+aoXD5qs2jW/L2iUPlTKFjV/zowtEn3nN23NFWTf4EG1v1T+uxHddh9EkFmuV8DpRqFS9mWhvsSq5smhFaUIzkYYT5hlpy11GbS/kfceXugUO8qsqb4s4T1yB1gXSRHl3i3CrFTeQerrcq8N8jTPSvV7IQbZkLyBnCy8bN9miGty0aFLkfno9cBuHiRff3blYLsrAftZvhT2+SXsLdpet4ruS/CDaDJQwUHQEDv0cNIK3orKjqUU8NX4Tp0KlgouEmRJgPUennxRKXNWa8Vmpj65HDS25VJQUuVzvLvGeBXak0GIQaNK/OO5JiJ/n/33cgKAhlwDtJyV/tkncEWJkvggxS/l8+qjg8wKQbgFhmbtCCNNKYzUkKVbdzbeGyKLHbGHKTcnb7rF1ivcHajFSGcz7+wb9NbtLNqE6O75oVffe5pkWvUSVDljWeAQVwCxDMa1GZoXlTEGtHBgmiXxlNVuGqNMFpJZg3DG+dhku3O5oIb5gCU3h+/ZTLp5LcOZiNU6gN3p0+DOs2g6beA8Rg1ef4HbTf2n+uN2rPaJNeIBmictrUzqtrlvKJCXRS4RC4ETYAwP9g8DPIlMxhlpiUUa780Q+ZKW2/1zxGHrbwe4Wsguq1cZN0iD6sNraBUojucfF2Hf3llAPMnY0WSSvcQpm4WP5QbZ49OtYcshZGORef5gS90UPGCEYbsFTyx0TSDYKlAAml6biKTi46RGNRbBKh1yQPL/R9K8zZRVZX5IUN+1KPDriuXNQ+NaCceZAI0V+oU4+snPm3Qp9bvQMM+rqlSNSDslemOEKtGJRqBF3DIjYt7h8utqG0Tbe/EobIQFIaP9wvCGdaJjoBR47HIxvNwZ15y5qUyCJtXVzoIvPaAcsUwAFDH26LdtcyBNKr1mlSqZFbaIrdPkbQFuH7mrsTvl0K6ljoLB1g+9U1WTP4L1f2OeMNvFAyMAh64CjRyQ1PVqv/AE8gkGI+F7NH6kWJjOGoiE9krOHXVnJ95BLDK2x60GZKDF3NOzle3wJ+RDc4po35+0RDla2OhzZVB3zvwWiuxm6Rqkz1JomtPRxw1XTgTnGv6mZXhIro6ceNaWFRPaxr4iWhlvuX20U8iwsFukwVe+B57H7fGwNlpPN3/HLZkby1EqNABVtngQTQxHPrgtFgNoajHOpjCmdV3FNrSCIysZfuYnMoFAdnV+2TlzzZX6u8piBmU8KtS1jHa+brQsmPH0nntBkKeE4sTHJ0zXZijjEaEB0H+DjPFUEQEXd5RFYWXDec3nLKZlt2UununPCFGA7+7vCMLW0jI58ePqERIlBZPgTYs7frvznZUfiBVmE6a7nxzE3XEPVEmfyqVgokoG1zVzmU2eqzftHll5/FIWIR+oAIZj4J2mFSOuzYjpunSZ2iXbA6zQtQE/ZNShCV2sgYxrNFvY/xqwPUJmCRmCNoZUp6ruUh+QwNScwyEGaJ+Xsv5idmDq5p5LX148l+agQlXQBTogGqm0HFBnRV4vOlwWKe8Uj17r2QF5wJjX41SjdbY/FQjTX/fUoFrpQpYLVF4G1134G3Zf6162Dyv4GIP35B5xNmJYZfXpCBpcgYV0RL36TyG73rUontVY97HXpqed03fdnfMjCchMTwi7r7iQBZRvGCAH5aziqTxh63ib1PldUFwYaP7kqza0O0tpZlgRRVqwzTw73Kqns4lo5hEIf7L4Yci8cY+xvzf26nOUdOS1TJyt3onf1wGVpdgMjX1VwWrCkhxajaYlPtedc8HigWgpzHOo5aioOSEtxrIDEZOvxhZFbHNhzGQJ1LxL8jV7qoDgj/NhETwhMKPV6VOQmvKIXV+ZP8BIjHWdCyje/cD7C9xURf8N5t2FymzQaP/9B6kX9lG9219GrpPIJxrREPDuirMUaC8D/9e2e046XIGN4XhhQYT6WXVkTldRyov9eiUyP+vCYx6juwpXOBj0XNgVnUunnfV/5XSzUYCLuDT89alrwL46/QTl/GBOs9IQfiBLvTPChJTNT5XtcT6xavKAB7cynhaOTjV9nisH1icAwMIKYVBd0Mr28gkh7N+c/Y60Jk+G8+toUpXfPEGQx9GP+Swz1koxKIqKlj+Hgm0r9ugcq7ADe9mTvDcIcdCvUYssdN6r+UfnwtukulkbMROcWN6gEWoVm2q5izmyHE8iHEhkSsfg/jQ5IF/JsM58x8rTtG2vvn9S1ybbIEerYunTRT68vX5I73XVpPnpbg2nhdRvV4BF/7QCCFIXZ0JySL1yS310vgA4aWxOyPQvNEO8SrzQOvJgoHUPveynvD0/eVBsK1yjIWKfseKbHys3q1xHr7hNwTxbstvczQotPfMBe6A9pzBUrN1F5+jhHAzisvHE1gfdUhX14NUHvOxpzTyNN1U+ow3fDAC2Oyr/Ew0Rc0K217ARIXKFMa6AZ/4p0tofEPl8c+U5IujJRcYjc1dG8UVvzooznkYkNzNgq5sUWBPg1X3tmTjqX1Pq/hENkffnnfiDo0OmIBMHcymVC7I/3bEydnRbek2Y4V075umsVBoawf5bd3olRStJcS9Rcnnl2xjF+RItWpJx7MWSJv1LxkPMg1zXvLM4H+1KbuG44Kb5BbGrS43JbNi6mdRe0ml9HX9DwqJ7cbp5s8ZkG5g4mVYk2vrPonkzuEkjOZo0eEXcZvGy9urANWd4DSBpPHq2GtKy6CARm8hE+aJpRrp8Z8dFw/92zSz1rweWFAxRLett/zDNpLGHCcK6cb2XfkyoF1SDC7o6FZyJr3MwuAbBV4ivFCWeJLJtZHiwluy3673Av0WtgsryMyCfhSMVBPfTPZp6KJPuwltJUNgb+GCrX7pY64TjjnJbqwIIEOIGYyCiCCRcRMMEP3FaEJ5f5JNk5D/v7LHnogV/hUqGDn1u/ZHt1zUpRbH3yO+gtkGdNu0ymsO5gipN39/S35HIqgEbkSWh1cwbXQvH2kaeuGWKQHDfUz7/Hf7IFidqyMj75rI+C7SPxJM90UiArrdqGltjTNkV7871OF9QVNHHdoep7IBLaOxwN4CEb2rGYVxt2xalCtA9WtJ9lqlyT7SjhNvM5Q+2RHZnJELiWeI3B1ppElOmr94QAj37QTG5ot5XlyfKN0nk2kbhVWyPNlW1up+pefzSfOj5E8yTWnPsaOQZrHULxVRQd2WhzSX6JjULDZgb+UF7L3kSXCWtZG3pvKL2gmESHtv+5FlwAomh+SEELZgWesE8MRPOdjNBdUqcj18+4H555h05kn08QxLtp0cEO7I1mG4Nn40rNJVrPX1sYCYMuGr57fkIpuOP8RN7O9f9ti0W4IAS28wBZiLkanQbc5Vvtz9zNPlHmuXkUPEJSojGRwhvTE9IrW5KdtD11ENyt4PV50KuS6qKukcc3fquS2lM4Ss/XQ7yisnMCwH1udWwb2RTfO0o213x2bc4EQI996bdpAxPbN3OtoEA/ndfNuvPdl/WaOgNzHpmvH0NA4Kx0fanM2TQUlmQ+Sf02uvOfi+XsqkYvj+YZI2UOkHnYDIZrf3cS+Z/VqHI5hmPdno83N+icb/vHn/NKdDzTb328SMQtzE8iFbpwD+rcqfz2GUMpMWfdUE4/0H/f8rYoHqawqkopMoZDaRbI3rQOLEq72Qc+ZZO1SDchwUc9zwOE5ka+tgK5J8DtfALTzyJcbEWXUrL4BobnGCruZ0VB84ixxYRnlhUgeKcOP3JS9zRiGIZS9VFEojwkk0pJtIGRNxqMfNwf/jv2MQ6quxYKtHpQSLeLLroh/81UOw5NzSVV8/0E0kQ9j6uHv9xEBf+p8VoOrJZPAJxa12Bhd9Z5X6kgrcIRBJfVjROm+Eqvnq7kPe8rNLo9bIvv0bj9rzZDUa3sgvrIbCM9miW4/07NkgwzQJxwBKnRRml7nSf2NaYJBmjYbtENc/RQrqrJ+fJnf+mm7hWI4wifce0P+v5sORreCTTPrK5JF7l6hxealqbWLZvnzcyxMQTjDulCGIfTPAqR4I53NKiTxVdzfRsxvK3w12AE+ELpupuTWQyEaDJ1oEUJT6Oj46mP7ZY2kJp6we87bHunoBd6A6rYhqNvNT/6I4NTe1eQ9u5djOddHaEUQCpKVwHhoJ4cugJ3JcZg5JurUzKd+irJW3CJ6JDd4c23JMECk9RtxkLwOAmcKelmzCs3EeYv86PiTGkn+HiKYCP1YRzaf+fGj1m596Bi0j/fN5XRyfpbFOWJZYDrSngvPsKvZt7ABrU5LI5vTf6GPcknPmdRr6uUsts45sc2ceQvsqoQqCbTJaEJKHDTLqWb1ENt9x69a3275/CdseViyFVHjBG4hpS7fRMNvaku9EM/D0i/ZxqKSNuqCBCzev+KwmS84TT3PZyhr1HIkKNu3Jyl0Fw4cDkNNd3zic1t7y4DqpSwmW3Z2+1m0tDJ1VJk3kVfURUA4Cc2AYrgFLshBcUdsS3TN93B4pkW9iLFiGBrCLfJU52l7omjGGOZ3VcKk+c26g0lqyvPCzT6PbhGTkhgZcnGCteXUDJJwA2qlf03rMx5t6nmORRpRYuQkCJP1fjhBExhiQnrNr3+j3Wclo7as/KE+jzgHBY1+0XzEWOHdxQHSQVoZi3RCQwCoUEUBuzGiYaegce1gNR70cT3u937IhUSxDvhUGAUrp/jzNuoqiBLJoWloK4pTxQ7afNr/HU3JBrZayi3FZPmC8QFS8nv5wjZL2Jgvd36XfO+M5MXswhATTULYetyULOzGrVRP7xyb9dFEM2aQ9AykG0Vij1qbP0XUc7QRsZARUkQqjXNShBuwEh6PbYiasqiPWaPZra0u5vyDo/4d23WhgA87nSn5LEJIXKdAxN5nmIP8TtNglTy86HWHzrUhUbBxVY8jNFtn/zxxxNq/HcGqGzEHPgVh4kK7OcY+hF3x/on6FYb0l3noYZGemTY9X/SIbyRIBoF75VerKGwzGdM0ABwhiBrlbKvhBZYCJKloDFPiKImyt6elkeatJWl80cNSoWTc4fLJjErSxTIARXPVjK/Le3I16Y7uomrH7vzZoTgUrY0U/IEg1I+XPESEoWzpQx13J5VdvOna7Etr9SMU9P3rJ9U956/H/BYQk+bnDxvsSBLFionSemm+4wYYrqa5DJqHfvypW0sLPUBG9ltu20HMvNA1g/uCp9BOxfxIBtraF+capQ+4rRxP/lvdn5XEAC074+ejrZrrC0nn1+WoTeq1okvKcZ6AI0QfJBBp/+QOvVnqUWjZUwiYWM/B3duXUJ9i2+GmQyap86IA8+/pB3a0KZuVXGEN86IgdXZSHEvOqcnkDFfauEB2AlXO8KbOZwxaeHLwNFsgFXFvAUJtaNz5z7NsBrMLhqtwZL9IpdziotYBY04tm0VtpRvwpGqaVUPqEP1s6jFOyeOyoY0DWWBFYfy3xEi4EIVSwchUKSp8ixNW2U1W4ffh9unbQzujNt0mj9uHfmyqTahyVvH1qkQud45CVJQ9k6NFaLTYN9k7eca4TeDveiLYNw7ep+j/3ldCk9G9PrvL5mAkNxgQioX/1veLzTvuhYBGqy4C8uDVAStoWg2JjgkTchpCPoEMWP9Xet9NnGGqERtilTRc9m2I0QntRqj9aQqODM8UouBpZE3TpuOQS/hBZQwANmcvb+qGfd6XOud39mSXRhyZffRUBrEuquUM/2A+3gOKCmtS1w+F0yeiiJA+oPXxrD4p2QfYjJIw6r2sr6n62tCVQUuNpBzD19g09Pczkeqg9VqcvkOMBdHL+6M/ceJe07dVud24P0BM3La9mH8FUFsR94OfCDs6Gww6aPGxLuIYM85GPOoMXSLEtmiCa9EFvWITqZZsY/Osj82R/qG/WTqYCK6glyu9Oo4dKZOpjvcuJDyBKogOL4zVmE04H9c9UY9O2brQ3+6z2Dg+u+VgQdFn+IU/C+3u3fOtXC1pt0qBkSBvnSTpXVLjAnIwegKogefeIs4Wxh68d7xb6excFwo3e8mypfkEl+yxl8WgPJElh7j3NiAAQmpdH3xVANM6aaiPDC+vF+opDMEOP4UKg8o4fGHQwI4YBlyJTsEH8ZTcq6zXizhbRsgUSl1lWWnyzT8KQUsTr1TeU6XCYugF3PfQSXCrHc3ydPI4DlxZoodC/3bQV1tBcJ22PyRgj8yN09UG8hWUTyd1Ne1kt1uiIIAgKD41k5QFuni8wWH5eRDPaZ0jZJCaiQE/A1J4J1DngBtGNh/OWwT3FHkGoJafQl12b88YzyktPdsEaWuMt0v+eGvqUVPIdKtGXeCceoFuHOIQRV4X4Ra3NE1kxkHm4CEUbkWZysUXSfgpUD08bylILlpSIaUElTlTkCanxpqy1nH3R8mIrjRmzFnpVGa2xHT1Yx6279tyKiuDQKzNhKeNuS3wH1zCR1ZP7rrQzzum6DdmUQIGp6jkcIzH0pOY2nImD5PAi6cdhz/kuCvT/JKQgZ9y2QBn4F5QX855yUXzsJegnSeiV3GZwbx90HRu9HZVenY0v1g2vI9xMNmmiT3sw+tMgZo+LVJUqfvotGpigmm5z3nGwFP9kTdsZfsi9Bp8EzTJfx+DJI1lkViFZx53A7cucPNFusf6YF6vKxAdmoFQ46n0kLYXs3sxP6Kxr3H2sIHf2U/AfKPb6yxBpra+BK3NHR7bLf8hIElgNZ55ydPeTd93tLOJR0pqKKx3wTDUgEIXVvVXz4QMF+6fC1D0NuiWjn66GA46m2xZzKLtbEnTDO9wFH4l7uOHAe/VpGiUk8YuPsvzvLOpfzNcKl0nnbzf+hNnQuGYqT7OwcKwr7XrRANBh8M4PLmy1TBWblSk2au1Ugd76+o+jDYn+xWIEUpZpSl40rzTyoBWmpZjwrDs7VFx2MngQO9XtEB2+0i9RpUoG2XO1r2P1UcdmsZGQOpGjCqMlzJLjjnap1RXvpiilmYG7Cofm7vpQ7oIqyuqp+0fcu/5R/KR58coExStHtGzUGRwQWDKIq1leZQcZ5MwRoe9u2PDS8f9oF8Dp27IhT+w6O/ashG3m5RvwY/esIX9IiirLLsHu3x3USmOk4vAai0XfSSRE9S39TOB4jjLi+B7kVqQwwgyoAlrIAb752eBC5Fs+luCH77SrHmVO5l/6UoL7xsP9xkVNYgFmCvtf+xUYHO8qFQc7b6JmcZwqxgzMnC0ex0gvHb44BP0iG140SF6fMtwonC7GmETanLkP2GIxRsIL9FNUTxkel7JXicAeI9MTCFrzVSYIm+y5vbimkZbaHTisnKeo8g3gjdVYisZnKxqMFrBQeV8L+ryA4AWUgudL3mcM7exAa+FhYL4oVS55pyH1zrnsFBjHCiunbX3aCUKfpD1D11YbIJ0GxL/w4+hZfHOyv+5/+nZPh+2iGkn7AlevGnP8J9DI3qkOGmv1o1h8bjlZo7UFTTBe/wTJtUOM3RX4Dd+UqAFXs96z94WWZJDExyLz+lk12PNVTalFQBFEltgPoCpicBMWOYj9NJZzmeis/EsoQ84IDXXsd/M0DlfVl6w9bHNf6/jdULWSQWZMoY7oGpeqFw96MJuiKuyOnBWk99zvEaGFTRP+73QMqhbkwZDv7zPTuXwdzT54V8gBz6lxxcwKsCTfqSE7pe9f5fqaG31oGf+1vJmwKK0fWEM2i9I5ZUEBuftSI9m4CrNpAC9y8vYAOQr3umvH0csYj4pzlYnvE3j1Q1EOn6AFwXZ7GSfQGwwj6DaTB/FHWaQtXueD8FJFsztEHn+k9e7UMefCI46KUt3KtaEO1TLReixGbUHwmAteL4ROwl3JYQE4lamCY1zeNpeRd8QJjaOvau/k/+VsrX/XF0+TtpTHAj438vB4ZHD72LZsbcLYt5VzWFlLzDpUPKP9bMM6jD0xvP8chK8re9sKdfsapCUFvkPt0lSjS2BvKW05PYYH+YZzS421gi6bxlqsOKo6Q6Q3OtgR4Us+CpYqkQ5VeinQ8lvwpXIA7Mtd2BaWUTDvv7q2macVbPh5MXsaNnaUpzD3H6B05AtzImXtEw9yulN76niYegbnFhlk9f68ISdjuZONamskpPxPxS/DGrOJjJ6gbP+n2g6yGaoW2b5e8gPlwlElpiPmVzp8P3mp7Yr8vVfxW87+3MJfiqSUIt/680a3QrgDdTX6PpCUt9fYsuiyQBLeub04e/L1EsGqB+H/lHAjLObfA1STA2KpeG7yDlSnimz6fpFD+yVamvkFM0PvGRHR+dkJeBPqGXLLRdIgaug0H4xT1GyD1jyZ5zdr7vvR32vO+UvQrM0MLQJ93LkLWxrhAORxeyyb3V4SwTp5EbB12/gzIDhWBOEIsdoO9g/An2Ufjagk/NvBO6JmeAunvL6gWSzmUvG08FIXamjSIW0JenGjhsa+1wRlPZcBN7pjjYuXASGKQAg+g8qLI16akK3BvdNKhELB3MF67mhpq/DaXKMZvv4+fycVgpCyJF55FqBAM6VgtNwo5qfdTBXoMFmg/wq3heXF37CgDa84Qihwxr0Xg5fBa/FmieNTwv85q7TOQAAso/sPlDjggY79pzjQTdYRIQeqmJ6VaG3jZh7R85gFPscPW3kgZ9</x:t>
  </x:si>
  <x:si>
    <x:t>YBPimtVWodl28rwe/nAvlP4wki13fAZz7T89tRy/x8MccHfR3SttEcQYeagkh9ie5yobJJce2PGd3vf3Q+yJ6XyB4WdkRD/ZdOM2jV89AeFL2eTG8vVpARJ3zhdTpvUZcpeWvXhjMkqAyzwtAGI7fosFmIftQ7NrGo3xeus7v59Pn77XLdOVS27bR4BInAekJrlhdWv4fzYOYsBjApFLEnBbaeLBjabeOUafF98WJFFX5D61DYkFAa7rAvnZ/lECgSmXZxjbR47d1MzI5bEFR1uolGdk/4y/Qi8hDrqj6BM+aXmtgdvzxwiLNx7M71+Ra1nAWMyW+gjlS2fkxS/TPtdsdmreXi5I+zA83fsUys4koF3aGdNmX/5puLlkRFuJb++wpKYbft2Gmck1NkhB9oGqbg+3JfwPR7+4HWhU7NVrT65YvYvs82izwn+cOCqb1QVpCQ1Vk78Jg0D6nSYb5T6UNuQh6+oa2md+TAsgMIMkkHXcr+72BkQLJhYmFU6kmaP8fxE59Z6UxWKMvlN/5HnKHlUETi/Mxdao+k51kjqKx5OulUAVpHww5N07QsyW4/L++LwB1ZkOlqzs22yl3rvfly6Ik+Rk8e4FC1uBg+M4JY8OT7ToRWmfnbMgktp3WUXsMZ867yzEs/aUml2QZ2kFPOJohmbDEcN8rmDK2azjn160G+vYEZ2FflliMvcrGvE9t+z1d+X/os5exqHDI1wSeUzqi1bHiUlo3pAeRm+V6S5FWd3CgL9U0CzU7yUzkMbmNdyiQYDTnwCAwBzRKOmbT9RaJwkMupp3UiuUr+XurwydySiGyOd7SnK63mYW41eR/xb6w7N74H1KfUK0ZFZ2ZWD1O+Srv6bwBLcgaiSfPs1QBbP0XFj+lrM4eR5GiWE0s2vAuDkVXFdf9MvgaXlv3QQI6eqvHX3ZjzXwf6phva6R3GPcSEXVI7sLWad21LKEk5jsjqiX3UTEm7g0ySViaL5gBcwKga+QI9FuuUwDt2+8MdGwiBYsFNaeUs6rrV38u1j3Zs0o7vcfwxJBwQnkV5/pA4aXyBAZHU3YA5hNJbiLWfsKCTQOHpL715KqhHaGawpIhS64uQeZTXVZ0YUNmijRYbpfR0DEHzhcmRUEfQOL6e6MOnudQ+YK59fltc9iys3s9E8JXtx+x4PINu+mC9ONAE6Swqos0rj004m4B1l2fMBI4ogLh7rrjUhhYLYAY7ZlDwAAcS67Y2v0aCTDxGQR5GaKXXJDf2reHDATOIWLoxclPYXRMvmjAZ65qnoeqjjDjCxo3N2l7TdZg2NGsD/0K8mV4jFs6MnArGTEX65pFziRvxxsTaAHl1eQ3f1LnsAoHwBeSZvHTENGZ4G7oSIRTTXXc8R6HirsNjnz4TydOJcFKJS6FOK948vyCyLEMZNZrDW8/64m81MQhJhavkd4KORI4TJcTZfMoaADYf5+EWMu7VcdNMqx8PCch/1t6L2BqMgl35RM2SvdY4rZ7zDBetOva1hBHr1KncPpGZV/MGGJeBmyOJR1vZofW5Q7y0nma2GWryS6XdAhipexk7ZDL6Cbm3mNWl09hv80WzQpbOrvYMU15Gk0e0iYNwvZFiVE0OYopA5hQeC3Ly3R2sJMwMWql5FYxAXglA5AdpOZvq+RoMaLRB+nm6w1vj3aPxC8RzqHpsoIBxGDh7j6Oe80HUK10WkQS5jsLFBXaqkb4g9y38ilSfqdaNjHLblaXUFV5dUnKzKpPXiK0cncGWdLkEFogh/SXdRhlbtS0I+vLR1o214arzdM96kjeb34wgeMgqunTMliutUauh4mxakNRBvrjGl/aKzXcucakIXNgRWhIBcu1w9gEHdMTJXG5HkU/VetOuAv1Ig4tktkn+LAfTXyLqqtW4F9Cdfp8/V9DGndsvkyqZhOkAG2bhRZYVjLfDMZ213rwGfOuYOFKC6WuLzh/cDqRlJXc+OhlIyEGQywy3fcbgyHTPZQSScv0qoAd1t5cTySPGK3xqGmp+nCONYN8n2wJtDciI0ZjnFxarfOQZ9VzrQ5SFxlBMKp45/UTJQnk5GSFfa6XjmRrnathnQ7FWA/7o02xjZjM8cBglKsBvfusertR8sKW4OHbvG4Jo0OmoCFA9PyZOF4Yv5Hhk7W/Ub32aDDIJ/5n61+anHmv7XY2dipwWOimJiInUU7vssRgyCO2nASTeEfL9BOVSnQKyNCPwY/TEspLkRu6W2sOLqpKpj70atFc/0rA/cBvJj/2mwZZclbtNs14SipcWWBGHrRwDe3FJt7mkZrxl103Lv29Y2+ouPQxa868WDbln928PmSri4WcUN4Bx69WzhSl1sFLDlNB7IOyR3KwuGJcs5OZyS/YFogKHOb551ZVMkU4RZL805gjWe3Qkzxj5lSIbgiVT9k+H+kuRmo+LXYu/uGm0bR10q9QcrAsxJGPhVgzBdLW07rWaTZ14cGOCghF4mPGVTRMiUmxAfyRahrihRltBSMttlFOvvvUDXg76PEEwfiXUtC9OdhdR/PQM0VG2U1gIBZE2ZkYltxFMQA39fC9PWAUKoUr9O8t3ZpTVMCo2eZkrsOFyELT0AhGaUOnhfIPHXIHetzDJ27yODRw/rUznvfsef2nC0sq9xOfmBjJ97fCSbhi4gKF1PhFgRpbsqxQr8+/3ILdIMv5FIJABIzFcChkuxgOhB2EChXB+HzVvgI2d4O1XOC1biZPEASV9/UE8k2d4F+Xorj6Ankdzgv23McPY7kMQo87qIrRVVZOGkM4P7x9VKfx0fpU0NNqtl4dc39N9Jtm7COO/dV1/ToBy19QZUvg5Iqg9fSNp6JNII/gqGq45TSgc4evQukpTqADS5VlJhQYMFznr2E8iYT93Ua8BdN48CM4fK/rR8u427GaeZjbN6BgowHAlBWLgOig7SQiy3hJHwQhOjgTZJuenHD+9SbdcngNNgrkgNMlXASZbh75ZmiwQVHCEC3+sZF3WeZPU3HQcPjCMBKsfDb6A8PsgKd9Mfgec8gy9KRyZIn3dqdHIYS0hhLnWqyZNw94qyJpm+N4af+RrqJRe+R/9cerGv6JNP1dkcjJ07e0i6iwWC+222V++LzX0MF+fd9Fqg7Mvl+iR3UPCmwuAip1/8fCid+ApnbKoYQ1D+HYNvNMBU1lxZOruwjmxdUjnynz5OQxg63LtOWSn1PB36ulNiwtncNuj2bXkm6ZOQCYEE//yeLiCCLetXnTu+gG6ubEJ0KgfFMYX6QV3OUhXobVVeE2+7cNploqZTDC2iRs1CjdUSDpzd+XWzKA6V27eeS/Z4ov1H3i6Vbmx/QYZLNE+RAex5SgTw8BoydIYU9AzX+LhUYkM/PokN3G6CQr6F7+vvK9MdbbyCFDyhJhhpMQOj+7VZ56+AvB/GkGah5dvu6nJZvpeBKClZcoFeWlh+87wesYn19m+R9t4v25W+NUKuCYwC+XXknftYusgeNfTqjgibgfCrF5BjRwmqIc0zZS+r9jDI0DRUtGIJwS2BV2i6vKvXoKUnvgm6k6dHGnH1JeCfbFBqUcXWqO1tB+sH+nlqR9Ht/uVmQkwTuoVeMthTKddpO9TmIDLv6FnR9YfL1fF4oWY1CHNX+8SVmWkTZETg0ioXA3K64hgYKwFuh4m42969ojmlUfRoanH5a6AV/9CWtZuyK38GxGaZDtr4RldOW/av8NDKFxD0fUdV+7WmEuWJLKBru3vJumEXaLG1XQ1szp6egTrj2QbGi4yaW0mR8SRgZnwTF9dD8rd80chbOtf9LgYzLWsFc4N6Kaqn/r97oJdrGp0JCt3CV1tx1x9Agw+TnsbXo6AU9Nykx5oPpxCKGwUKildal2RvS6BRq4l+0S0GgBUWJJ0Mh623X46Q3qfEGbdEJtX/gBRRv7XXIwfVGrubcH4JZ3Hl7ERz4Q9a+DElfnwPXdNQTqQ3zqOLNXLSYIrAFWNUkMCWvU+kGGaHwkQCFSMJYpqsS77E476qhmbvLUySocfL99Hj4Oxpnz5Toe47nBC4sX+QrRN5rphACzfgLkvSZnecuZ+T9vu50R7CpdD2b2B/ijCpwSC92lQJVP+bUSnU+/lYv4FY/8Ygq0V12bzT5+qnmGyYud4i3kOJusEXRYOhriqCKINj7q6cEIhuuhAOzowEsZF6LRqkCnIgjqivKDgUl9VpLEJZcMjo2MAAhzjcIoeRW52YYJigo12T2oif1/KpifG3GR6+Cu9k3EfzwAxJLtJWS/vyExqWyvT7bxBLKCKKfli6r0pdvnAxfq00Zk9C2bFB36ESg3tO7hk1w0XFcsv9WTRAiePaPpK6zWnRaCs6YG1BlBYxyN/9SeyB4QhcvQXCpmX8n7DEnWZkcnR/TAKXnz28RpY6vP/OrD5gACeGvoF0GfGaI18sOxfYJvRa+Lh0asN4ZvT1ezMHs6Y4hyLSYq/Ghyysxhi49Z87mK7LJhU0RYOIwREYiSKDUkQ5ktwcTH9L61Oa9O0JVzL96iVbVu0Aazs1CJEZx8ESmNyonXXOw2i9vZm3gBcjqg9o1JtVKeirFCS7x2J+EloRHZUYSitebnvyzE9fBf2Cc2efYeeZswVBxSNMu43ER1toMe3ZBu5nQexoiN1/UCqCT3O3igBqyIREsfAK484vRGnElCr0O92xdBYjQIliIca1EBVw6F21P8jskd/BGV28e2saIqoDRmf6rq1JD1iIeu2CDZAmZ0VXUAOAIGFFtIQBcKB3Kw8pSiLdAU+O97JOy/j8r98MCAQBFeQOKWpm64k1te3vJA9OvWdMxCfGv9MHOVhhmySaV/12tM6pV5xvCh9M/v/uKWaEH5m+FIkKrKYDBuawI1EYVPHCQ6yEEdaBs6v82a4rSY9e5oZTWWoTwoA4yoPRi51a+gGl1U1wWxrx1gTwXxvvq4rtt0rsIlnrhUXmEgpX88gO/akaNm4+DBLgA70eKqM5/WNRmMZv2udGreGWgqfqbE26ysV7TI0TtTkOmlJPvCJfJJES8Lglevz2816xYwrsJ1YgVoZ1NLSHNg8OlDLj47BUUCetHukZP7lLYJMOK80uh3Bcc6wzKW1i8NHpDCCRg2Se/eqtJS6i6sXTU+LSbqrMJFeVMmJUoSv41a5MCDyMElG+tq8ZwGx7fY+xAwiCPk+FzCvGRTVcFY30OcX6xKkx9i1pNv9ZRSO/t+4rTiWb2uJdcM31Eq/l8ebo9mbk698xwDIB8lCOyppWyP8z49Wo/EwavGJTfvcWNdELEr1qzc4gvxAQEPVIaDUMz6mmMOdlkrL/KOUl8L/W6IioctSwSlR7Wm+u9mtHsXdo018R6ButQ+0PAHyeCzIfnrtZOQWHDdkAex7sLPh1kzzDAYLEX5CNFh6caf05i/J3yfeoh0woGDv79ZLs/aLabOT5NFkPca7xvht74mrXeqtwj+o/c74V0RaNXwcLY6poq8zIJl8398J7cCTb9PJabOLNPlKPiN7REbF6GxpJpTfAgbpV8zPeNGU3FZrBIFKYyrPa7GF6EGD1ZWuTFNOrkDpykcUekGAm1VahMiuBOcUk9PoL1yAfpOlHuXZa6uxE04607Sh+2sgbcbRgKfFpbpdbPNpxXX1Rv86h1l5C14tzGVx18VoGhSxXprtJGsxz82Riu6WYQ/gLp8mD/A0Q5dF1jlhY/0oqEYyQJl5woyEkPwpnZYNtIE4jZ8PTzJRQju7xtFvshALDKjopa98M+SKCl3xxu5nNSNnoulLMesyCmahFmyjCmwN4fVv3zO3npgiD4kpIwhXWV5g0jyLe7X4I2VxK0i9JaWBfqq4vyukJ1YpSTN47z7NVbtFvODx0T6hupW5HXxHSnI9rUjn+BpLdsV+QZVYDecC4gqlhaKypJ06Sdd10+zjJNYuoG+ZIc2ZdZYlU9D+YrbkNclJjxrDo7KLppZi+RqmFzifeUrgL8dR8hYxguhAqF4SL6QxEBUqMaJhrCi9lZApVH4McSMBLBt9CKjR039vw87HVcLRwi5Xo9YcBo/t26pXVqrgJ2E9zhT3Fz99m88uGIaq51b+EkK7Kd++ds2qkCuP+sSSrH6adW/wWhp4tT2aZfg5pvH+53qJ0DGiqNVryL5IfkH3OcA9LhO9InI70URfgBHCW+5yozk2cP0TiJMlvxGXHHNHf/jR87Syg6rlduC7kshsK39FDk9u94jJ/rI7HXig8B7DMFDxqM7pXK/BJOzclKRUlaP2ZUxTrNsRDrmurpOQ2rrtAWrkm3eBxWs80eN68hOkuyMDDGfgiC2k4icS/IRVp0KRRosk+Z7YdL5IgguM94gUjK0HSvLIo4rTHrROf+Afyrvo4fK05suH3EsEgC2R0NWz7VCpLR3is6p0LIgS3UaiNE29eY/WM9RDEdVpNICXeinlgGR4dks5gaZ/39E2+EHOMWGJcqivV3rwbtkHdiJt4bs2o+IJsITQma+6Y5/HuojdIJU1Sck/dJn1injrBZcLVjqXgtYXYsmeYuwhW8GRrnbNJlbCPXBGIywZMPofU9WxYauc4+Qg3n8pWNyo4nZStn8AbWAHkYWPrsacnOYBH8I9yPqz0tLodVzPVJgqqCPEVrtk8OaZDpfDYgdEUoM555UvmvqBZJ+p38anyDd3wB3cwnVegoKnlUsCqcVgqfvtKqXvFKENIkpOp7F+xGUYdxKrvvJBvSsAj9zC16bOzA9F4/OR3P7DfRPt6CS4W7k2mzsPE6VZsrwpCTMRr2gTS5YJ0HMf9L0NK73UJS+tdMWBwl2ZaG1XJKcoN92xJnGaMsvPePRbp89yhHpSVPAAAOESOOrZR/Y67gATZL+SoM2HoKhOKWYlx1LEwiOODL1xhlJe/xDGsv9s4OS86KG0TDbS0RQh7TFsOO5WoEyoNMTVOhCFF8ztxnd2tiLxda20kLc3kw85miArFNoAFaTrth0eNtNvPg4ZnYe+wOu5THNHxXUVP4JVlJwHSIoxFFxSZAsFHmrIg8oUEf0YM7RdPUukBPJRgJHrT1OF0LNx/NvcmS/yNM6506AaiMFLcya5TGoZsWAqHysBkwvdT0Fbz6kzO2oJQUOS2i5hCMkqG7sjVMnyvhg4qm4dyZn97X/SMjzRUD/esLafTMWeaWql3C8B7E5CBjii9kbxchquGuMmvnnlAx84lW/VLdmzomPTJ+amwfIA1mT5Fr5VdH1ZKRLJS6fsU/jCMmB4NyExzOYf5LwQIPCXHyBiwlESGyCXI0UAoziD7ds1UlbiYDQPU0BQS4ORi4bD0erhPYCDQTxgob5XlgdrMpca/qWhkb+ibm/zMz5HlWcNJU3vSM2hspJV06ZWVMyZm+BoSR5BO4D5Vv366PeBaf5s9TMd7XexFHpHXsu7xUVGNsbuYWj1oSOmdulvhQA+kXMgzLoEsspxWUJII8o5bZE6cRwzd7IPVzBac8LPoBzXfFaQHqYRRJSVYtY2UFQgQMz4J49x1OdnsZ8Tm+WoGYzAJhrXntH57pytGvkEyaF+MN1m5nQ9JtH+6smg9u48M0U3WwDPbjAOD92mtQdn/GX0GkqsXV4+lpDLHB07OxoxtolHgHzIEZF7qG2XUpOw0/WXPuKHRYqtvp3tUb5AEHTQVKyk/Xk+vULQ10CCSsjRiq6r8rOa6zHFP3efe2E3l3FzzItOVOFqSmP7zDLdS4AAcOTkzkLP7/55GJnYNfS1FUJBE5sFj6uHesY2FBwRJxHwm/Hcxtm+sA2XmqQ09xfSrlzIm7boaRx1E/P4cu5tyhpnhLinSeo/pDdprdxCbVxi0wW5TW36WEf86VM9sT/QqSmZQNjoCmVVcv9fND48+kCOCH1pmuZwQKLMgsUThuFkSL+2JZzIgiQYalWrRaB1VYUF91HTMGTUbiaEulfmyxuNyKmjIbzP16ERaRBLM9ei+PzimfUXrCkzj+5NuwJ7LJQi5KYFmJZqROPCBqx+7f+QVYdMcJdvWVN9WxoFZXr3//2y30UTS91/X5yBfRfyAN3EpZ4RHMdKSrutGvOEwHjUSrFEPdH8noqWDguRa+lYTwfi/QDpen/MNUhJamnanCwgKC94KgrsUGaSMHniJRFk4RMeEqyyMaN7+0Ez5/7MSFdd1h590buc4ygfeloYr84V7EpYqo1sNdcM8T9Ua1qw6jVpPSomADag2XIacm8m7SBuLn0iR7d3dkn2k8+d/V9kC5laZLWgv5pPz5ztExoBXWzCTw47GdCZZjGU5FJ2QbpjMDJMsM8J5c1bjlgBjL/TLkcRDuNsoNLkOKJ4DnaHHAo4N++d91n4aRdVtg/7LIo/kTO85q6bTAD+MZzhud5yR/lcRz9F3M9vmt8SFMfVIiR01U4o/YQNUeaRBPv4H2tGlfG3lBEZ/60+EvaBmopFu6mCaUs5f1wWulIllEmvNE4KuIbLf0xDVYb0BAdIyBLnNoRX8FZCzWBct8rtTJv7vIAg+INVThu5FrKh+xPLOyldA+RjmVK6VC5xb76jlnc0NE0PfgWcRGCU155QOzf2dSI6dbmyZsu1eFadTp3T2raqcJ6zaHhSy9lXYtaeJ28lL2Tk4Kq8sfGLWGlgmVI5ItSuBLdV3Nos088Um2btMKR0kLxdG7v3taWmfYQo5AQCb4WTiU/KlHK3rPOGUH6XfYBNyU8gZ9gVzdJyjpwPHqqUxAJKkX1t2fzN0nrHEFFuT6rXOQFhNxawTaZsSET8ZvTFvbvHD+9RduEx0UXpUCA+ppyzyzj9xdjWs0BDPZDVi3e7NCZ29P5ZpV0xtcttbRv0pgeYBHiju7CRV9pIw/PpM8eU33lG4uFEpWZDougz2KhVoSUGuT+CLuQiB5UWCBLDLlPPXSE7HK6OepomsTBnI0OO6pYBIiej9Z7VKD6e0W8lwMUR0wbSLbNBZh27oLI5z5ZwN4V0Hkk2PWJv9j5ls5DemPFSD1x0TrlqZtMR6VSNlLbZwWuGK62PxR4o0bo07cQMEnn5Ws4AE8BdyOUaT2ewrrADdyFhbkDvcA2RPQlbPUL7CbkHJUzjNYsp/DxqCNxJ5lRlqlSm8fOXeH8722m5LskfMjc94JkK9a9K3x0NPdr4Kl78/r0AqFcNbtWHgViPI+6NbAwLr1B8AoZPq5nzD5NMDxZQzXn2IjmIYB+EfDpoASRJ3wH/whi41dXNDLipUd+uZXTNEiGzUpxuI4CHTtPnNVWjbfpV6jjmiMDwu8kfKLdA4PDdBPZ6XJBVQf2b02aSrQ0kX7bybaOPh+w9DbRhB2SLordzzDkoLHXMamCA9wSutXevD8RzBCGGefSNsCpnqsLTGfJhIWfGLaq7uDQ1aFBAiE9ZW3nzkWgR+Tn7FD9PlnROuifrdL+cW64PEcFdgkPSyuAULRlMUdUywnJL27T301KqvtC3Z0sMbvoLsXfKLR4PqznCC9UiXJm9s97nUTtrPDx9JTNzoCkOUm++0kJZ7ajd0OosYeBr5ZrQTChzAY7hA50l7Zt4lqb4KPfhbEoTh6nHUt12dQNrol0wZuur9W1Rf9WphLCk0VSWTom1zhXndCTQv29Kz1U3NJbU27SU9g4e1PDhn1a6s0XXw5HS/cqvJ49FH2ftoof5vji/6Re69n+XKQEg9ildaNB9FVIhr/nEhT+MxuwrsWdNM6xpNXzXccNCEQyPaevNP1Nt9w5kFhrE6KAqzDQhIVVet4IzKMTlccLHM/XWM9q1aB0JPet0LM7sk7aCont3PWJ7BVKitMM2NobCGKhJbcty5gkWalSmPtq3dXr33zLu+oV+bjxGrQRExRanZrAawlgBiNJu8y6gCTNjDz8kIBisfXBqeCe+UsZ9x1HmPGnsTYZEYQeMK9ldc10bdcCvHiEWI9bW0YsQjBAZtR/grEOrV+v2gdTRUaIi+SErfTwUKVI6cvCDZvoX0EIMK1QKG9lNcVsXjjzTXLo2NOQYzKPMs4JxtzT1sOM6LwR3GdXNI9ptXAMGfFQHmCEG9wHmBfb7RjKjMh2Dx0teXQ3e4MKp8guKtb32ILEa3ThOlWwC7ns/mcAWe78vPu2+ZXP/rLCR3RmOZD710gN7/YjuKLT+O2jIrpEGqndSJ0CjNm5pv1jmuhoO/ANrFUxUUXwLzFyi0SoDglnvZvR6s6lQisF9KgGoGykb+DvGWfuh6fGo/n/eVuLD2SK9+xKg/xgw/Zt5A1c6lBeX0XpPoM0o3EslYxaNKIFOV587+s75NfpwWqesN+hAej7nYbYXsmsY51frXLHYpTCVDJePIs6QFjXfni2KGONCzbQjeBAyH3imjS0fMoTw+LFllvay4KEJ+K79dZ9tcdH5+JaaZrBtT1APQFV8ToOmZ3gpPGz7TRTsKEv5yb8Q1CjX9C5x7nUJQqMVd4IeZvKIpvAU0hh7rJbI6RmTD/GpNROBlY1TcLRfzk08XEn1GAWfmrkOLc5az9wGHUlx1hNWV1ZeRGOmJLdsIEQ6XSOoShdU8Qe8PDhQqbsv0oUGwz9M/l9k1rNVjrE9fHiyXAZt0RppZgKgqwtRrKPHIRCFSpaip9FfF/5cfnY506ANV1gtD0vZdDTf0GX+vtLWtfsNT82DBggW9X34fICvOzW3HwtyjJrzL9V5IMeuhmHWTCSAC8ElOuUTcn1ZPbmN4sjRP1SNclXZo9mDBNwwjyDXFNZbQfBvJP9uFjepENTGHFnz4XjNCO5HfOBQdy/dBhYyOuofL3Rq0uevNjcuJDNi9ERB/+bdoGTZYN8ZLjcgv33pC4qJCxbGI10WFYTdNY0iqNsqbWpujJBqcPsrhsZ/lqKOljkyShWrhpuy/8zMb4TghtmsZUY53DBo4QYCIWb49JHldhzKhGsxVfcxz7Z4FtFp2ArYFMIQK0QbBWxgLPweH+1hlnCp7fTtg+t2oklL2SoComsA74zo5uEv3LLVb/ZwBjnDC5TKN/ZzKEwhHKr9fjz15JgyUnSB0Vv/dW59b8sFz8PmVhkX4aQxGrEOMWGHx7MnWBG9a17JDKN3UwH4HtlmcGPPNDatKi+9LVDK5qd3bDzHj763o6REnHRQT0DM60mFtpa7lazBZ6NJW38Ch9lf1Z82axhXiIU1q7HGHAZ4/ge0/2SB6CE7cQgtpNLr87DpCnVYWQCHfvOVQxJs6jNSpDnNO3Y3FmcD8lX3JQM57BfMPzmmsBUBVJRIq0f+9BlZBKvR6RcenLDveMWF+/kPS2k5eWU1Nz93NoAqKj2jwT2hrz8oyZKuXvJPV6eIOmYhsSLE9XcUBqdzh6qSrjfOrQevKPoAVC9mKPchHhoLiP5tolAw6p67JQNRDGINoQ6k3QNrGmdqXhdhaWFFnrPw2t/8TLpe76gv89d8vlvsLdTkqp6QWAtGSIdnjQecokOLSeaf6gAS4NBlUPFoxtloZzmKTg/3pzx3Qed6Pq2J1jnJ0L3eWSTMiqNYYFWAiZd+ldiJcsekIO74AkrlEfn8+m6ucQ5gttE+9hFRtXfmkkIW/fO9WxaiZhxVP0E/Ai620aP5cgySVvh0HBhlq4DnTP1yg6OoV1IlR5qiibKWcP4sszelOjy3jma/cS7uNHOrfKyACxzpgxheIKBlzr5gei4TAr8P2CKDaCHGCwbrDYDZ7Bik1ukljFUjkcojQtCJRnOQ/RXf2FKYALN1EmMTocT9sA3yDI4mvc/Yv62EAOaL49yOTpPlGTBJ+Xcxzyg/gp4E4b4imSywnvnI0eHop48BoUYvouoY2ejLH6frXRJ6CRTspE2/pLbosLVS5OumQq3HM4jB2uZAaPdgYV+yrKpUx0Vbb5Lw6EXHmMGsSqVlmaShaWXyxgzHbE9k5tojzYT8GaaegiejRUH6xAI8HYAoKNC2rbkH3LTc7fW3L+7BIiUsh6UQ0Cc7HmNBJxOZ4PBYiP/cjtadQ34q7CtGKBA2j/2HdRvB7YL5rjjFQDeBQyfIxwFVTwPQo9bH6vIvigH50QD3OdpsZr2StI0cdqPndyvVcIvS9Rq9uTlx3uN0A+hn4fzgabN2B/I+yeokYEbDxPkzI5GvSHBhTOwOhCmD0QftIfznYuyoVi/yA9AF8oHzEbtyE2gPlxDMLomhIrRzTxFzkL9wyqg1D7tWrXQjDxsInsUEz27WDhcgrqxL6ZHAdD0YAV7ZKAdlWU2RDWEulZhoZ33TSSDvQLkPmriswHtkSYzlAVPZ8CnZMCSeHLVIyrfq0c5ya1aZwcQNM7s4H5VXoAJ2ALkmyJ6ewYPpxysT0I1e91nDTbk68ZMuY5T38UL6C1T3j356Q1/AN506OuW8LWaxJXoUsVL4Em+2Uf/ZXCaJIHOIoC1hmDZtxldsM71Sqs39wRa9SDbBbOX2gh2pP4kNtHc3O7hYdH4Zp2L3xJ5JEm4V9or2Oj5v6sED9moRoiUGjzaP0HRig5hHn2DwhBemek9MVtZRdvYkQP9LVumS1M0os+gRjIfVBTX6/AsVL2gFGAC3vom+5+3KRCuKmsgzQVnvl5RHrVs+9Uu6H038xnwwQrLVMlaGvLnRYqMP+fdYcbLs/Uh4qJy6Zm8Te31aF42fOWjjAGL9rHKJHW9XZlPfrpVNPJLP3qruGLv1dHuJIkgnUGQ/8ioR6dSAmTDOo0zHptRxyfVIWx/HRJDvR0zA6wy/TubBO9QQlAjIA6EZOfpJoAhqkp1H7o3eP95IkNxHQmXMIVCAOFtcC9gwGXIgMf4dOSh15gBGF+gJJ5MO6acQYCDndJWglLWULM40JOAcozNLfl0Ba84qmsVcy5sDaG5OX5Qvk53dHZSVO4qbTz4eGQ/QR8EiW6TcvKWmQqv6oqxxTz+yBevQOW4BLT+kz4i4PuWo+Ndz9mfVcXZ2sIgr6KiigpCN1n6eW95dfCCMJnAnqIpHSksmtjrVvRmjEKDeYHaC/uD+ZD5H8NvDYZYdd5YocaR7A1ZgqQyQtQHvFGweAtRE1rbotRCMlHWRn8v32GKrWDKPNT3B6Wvm+burny8ln7ZCBFecjr5eeBiN8t+UY/8sh4vOCwanBOmJR8htHRz54+/Lbvezcmj+wDJP4z/T8Ao2/gAeX7VUQb+5qkcVdXs6Jzu14s8KHyGhOIi3bdBXsd6HOihCGlyUcoSlzeinAY9J857i1jHPyB4MTZs+XE4xBlaL1KXewTgM9FK8go+dmPr0O6xrE1zOdl1+uWXGQyeUHEPc4624MRmqvi62r/qHuSwIuYSaRSl5Szj48M8R3XrgJmlXNjzuHjFtGwFizPsM5/d/A7wzFcLXp4XoRkyN3EWl3KIKF/xDc3kF//nLzZFOtvfwflYoty4PSgS3A44K2k+jTgEDlRo+liFokQcMB7V8BXvno+lsp0MzS5xv5jCzBlPX87JDEFbOZfJWC+L2U1+jTPK6HKleH9TnmOsjnmPzPqU78NBU3E7ZU5IOshmhRxqIMAmPWRA01NVpUcLUS3hXrhtHlyhHm2L6syivxB7zzmEpCPgrmJFuaD96o+ISZpRTGebUBpIwwLZxJDdPYUrUHuqh8tFwPCXK/k74wUpzJRYeIbmTJLADIlsmbqODpM3GxbW6BQq7+xbebBjffdMrz7KA1gz/u9VUmV1sfY+nQWyeCyCP8edWdzosdccuw/qLdZtCNGRjlSkfh2UO1GnQf0Ajv6dHoWfvWpdOqnar5tvnBSqMujd66MRqTMehDL9kqMw85j/bcSQep8hGwYIi/eRj8zEE/Totcp8q4GZlzHVbVykiOEcsFsDMfBqODL5lv6kO0/sdBzSJmCJxKv4veJjZzy0ZOVm9CD/Ry9fybf2mN5QKwQFQQsUBoY7W1fCVC7Qn0cEjRAmIWAR636CKGtfrnb3rH/8Eqo/CDmFuQf8H6WMkyTyYmuiHa+w/mG2NuB8cBTdjjNHKgnTl79L5EsOfIw4wONWI85OdKyalgYhw0qwy4SBcZyrqxuJaVLdvKpsW4IBxMTAfa98yhVCsZTLgbn3Uh7263n+EyvuJnCvNNhPnjMsMsPmcK2Jf6KeF16qA9juZiF2Ma6IEOcm/SsfZO4q7Itha1vXJdaaVTKY2TFkR7lOzdAXiw/hHKwsbYunalX8rCTlfpujp++rFx1u7LTungX21ISgEzMSImUYYl4o3SfFjX/yGiXogtyALhbFVes73CpQGaz4alMc0FkvxvUezYssyFV8irKGqK2grYi2J+8X5Nxtv7uUJQTKtOx8g0xJFlesukplHMX+KBqRJ5/WH8LWz31q3vrgCi4zHvznm6HKljBu+Ab7Y488c8cRHLsIBTXmYRYLX29Git+Stcy1okuU0GUAOsZ8sdBuevURv8gWk9I5M6NqJqI3u1sswtPG6Z7Z8QLQDHKjxrJHnfbl9BCB1qHF1jxiEihwMKJxC0zczIMAft++drDoU6EDa4THjEEt05HFygrmXkTHZcXRq6Lc8VOdZs+R8Q0UVYjUDf5zhINfffpMEHOpNj+TfOszEmgi55KMp65h3cNZ0MbKd+U2nfMpXv3ZWb42YR/8tcdFGxwMzWRGWiEpPOwO9Y3ep7fhbpkjUkh5Z9GWigcicoZufIwzhZOTpG5h54x5sH/GmL6OpNyuwdwbvWZ/EVJQoIPf4MMG+CA7prrOBz7W85VmXLPJMgRTazna2Jvln4Tj1ALUbrUU9LHVhCR7HhP5vP8Is6fhnDlf0EjRnKh4iBFJL4TGG55AnoacbdcCmD0wJAqt7gbW7f/pnEzcHrZ50sTbcU6I4czxgj4Z5VxcMJayme1aVMHjUNMOKrWTzqa0akBnYCtSoON247/DpTN4Gg/SMhgPGP41kg/WapENxN/OcRVEfLh5SlveLKgGvAHHKLoR8Xc+MY0X7AX3v2OCV6HMH1WdIXcbpYcU2yLv6GSY8n9dn/cHKtt6ooQ64tegHGFo7HNCN4zpReliSvCPdY0mkGgLP7Dat5NZL3PmuHViVJBhg1QzB8oQBEiFaDaUMcApMtxu5EKo15c+8koOB5eUyFvERKQmo+ILu8opKf81FhPHWqKS9yPyUM2YTWvR950jPnV9xEb3ONo26HbaKw+aaURv3cI928luPpjs193/myvl/sVPI9+EjdbI7IJ0Fe2AtYJluokrLpbGrYqcud0UdJIZ0TJ7Y3DtTWxTDGyA4Lh5ao/w3UH9nx8INxlSh7pO96P4EP4XmqoDZIo8l9I4t91M5pF+4v208fOu7vRMFgkSef43WJNEMEdLwBWlQR6xN9UUmK69mvzkU4cmNdaBos3Pn7/yr4tAs5unB08DRX0gy0iD3gjyh6/j8J1Y1DiNfkqdF9pn1u35VyHRDDuPc3GOdA9aLc5VPd0PTcNbyikb+N0lnvwOkfcMlcWZkwgCNJEsKI+3nzxaz8z0shEE5Kx9YbHjUwhPneuRvpm6sju1DFhGpncLMqvqDYXu0PODrRsRZB66cHYZg+NX/Pt9s2mh5VkApIfy0QQTS7+Q5y8QBMqil6W7go05vDMSfXoYDWReDf1PPuIq7m6j7ewCr4bnl57yJCapyruViR2pVDczseFC2TLgInjN633siwd7X32G/IUiMXH9fTuhoC6gX2vhFbZM8N4EpLig+/TaBbWL0tIZAHNAEGf1N092V/NQMAkmE0L4MwxIF1Ef9I0UgyL80Zp/rSk2LVd7U2asEa+8a/o+Am78fwLoFIkgo9gf4DPBXqBiNt4hcJx0bHofU8a6Hc8/1VdPWBA9BDNmE8/F1iNrDWWc7L0xOgB8mbvOeQiGIVC4DcCRQ1UoTiDaBB0e4BjKDRubWGP1WaZHt/KHhyZSGUkESsRlvknAzW8Yy6E8z2wsEG9Rc/w6z5M6MBVRDM1UacZupgpv/DUvsgx0LaJUFgbTPSfQptyV8Ma8io0jxLv2mnPM8mG8UsyHf7FrSr1ASu0r4YOr4BI+WBuIHuFXZyCltRWecTPEqMVTm7XjG1ZGpBWH2cfKPKRgpiB3we3u3ruOvgUJAuOUxvY5qL6oei/QbwfK48H7nbH4NOXuRuG9JKHg7mexPJ9coSK26L4OwMRDMMZqZ9JNBdYtPmo9/nnJQL03mHoyDc3szKROnPEX60qJk0VXHOrz0mfkoJ4UtD/MhDg4ETBz/pdxuRvctTjCOBCpor4NLj7qJ4qqzzdwbu+6jQsUfsEDcBcQsbyUJ+QCTJP12z4VBaqnloXDdpceLWqE0pZfPZFHtMw0upnz8bOQxiUHV5p7NBe3y1Qz5BnH8ZGV8ewsWu9M/chnxgYAydq+SziV6PWnuEHSKSuFwM2cV7w4gGMK+mCHu2FseFUUHaFnONaYGx57BLl25ZobroNXbv4TLfwO47uTW19EuKWiy40t8TujR6rww6dc7Kiufh0JfKTByDG8AXrxdR+FHJZgncnDO1rTrA3yufpT3i7eeQ2GoDCwdwUsyR8cba3I09FKM/vCWkZsq2hcAykU/cy/i/L/mIRLGqaqI0zmDg3r2fnEHgV0iUE316+hXci0JmuXam2s6ZzVBhC4kaFiYT+NzcrxuCmiwDqF1yQ/P5tPMtn48DJX+psgI2L7pYaBkh2vzJ+T88Y/Plt3NZH241I0swSl3cONtzHHbqGphH5oQsz9B04znI3gXF+EsQ3/F+2b8kFZhz5W7AgsYvgYkcoGd+KoSL3z9vJJdMQANz1Cxk7d9AIYfpFxpJr0SxS090hXI4nXDZQTw/7PLYn5TUjcUD/QNnnFIUFbZKyYdh2fGi3XMoxiJEpMZu4c2OxRtiScuKgKWrWwEgvgwYY+yeZCmULoo6ohGPnUPU0AOujIebUrQOVZfK/20uEUEJVZwOwsZzNuxGC58ldEY/Vw3MTYllH027mxgdDyjP5aSe993gY3+92ph2EL7CWOM3MrjIXAQgdfkqW+XLR9tN5/5MDfbHZzAgXxC+AcUdZScgnrqBmxBPKLhA5P5zcN5FW07vsl/tUg2ht6BlZ1+D70igJrArHFp4V8lBekFlFKZQt45efLab0vi3boxT5YtQylWvcYJKxR115om/Qckeufkq+GEdR+wV0U9Swv0IXgAANmSaVOR3UYDx0lAaHzHiVryztB5DuCmrx350wcOGvPGTiqr8C42wOUT9+KkmtMvlCzZr0tK1s9BXz7uEFiZNB8/D5ZjCK/swRNLRz1jbBs77TRCwwPYZlvsFuVYPdbE2XiYaU68yuZqrCiPmQSems/T9BCm361sGJTejFWTrtlyt+sAWzY0E0Hq4v/nhJz9VrlymJ5hiuAbZREMYa+/oPQ+q9g1L6uWAiJyqq8JsW+EzkZ5ZELAV3nFrIsTfUgEIz7QV9UyQSj9I80oOJvjienXkqw7zF7698sO/s5+IXflQWE1g5JlQU+O5QZRSWIswzYxWxHowUIk2zbBG6+fxB8dQXQwgVcYQ7D+WST4zc+ToBzUzbXUlt7UV6WX7YXNEdRukAxR5ncKDwqN16t3Swzyukg9FnUOWdTEVFAgzGjtV49a3mEuLLjSIhC3LOoET1O8eLPu9yAdF/HwY1l99LoUYsim0IFZN5HD8hgECUUGVZTh/fk7CJmuj/F3imR20fEkb0B36QOUBBRKdzlMF2MweXZmbWU9LTjv4O+3dWepEx3sN/B6VoaYfYXIhbyzbb7QqoUDwxMy2TJbS5KcECWCM6Ypx/53t8tJJ9pCIuzBw6NF5KrDoUl6fVX7iNE+hq2Ie24BN5bj877Pf06XhqYxKPo3RXLPn205QHYb5rwp+TaIY+l8uZIOEEOn3NBI8fYSFEm7BFRbgyaMuppi/NTVt9KAloj8Bmr4u8GC071KjvNuw6VMxSCbWeF15wAEl5YuIqg7MlzYKXNQJaq3BuRs6W6CMmqGuac35HVEOr+0i8PE4fbiPn7tZ7Gyretfm1L+SAT9WI+THCtq6TdEtphDv47f0VetHIkD4zZya0mJcEmnx5T3RzQfCEMZGIhrPIgiZU1coD2piMGhv77KE7gmLWqVQUf9dD+GTT8A37gPcuwfu6Dd5sBGebz4TxNuNvyjfj/GECZtOE9fujeBnPRfoOelydj5PK9vd1hWL7iImi5s61dK7drQ6cY2YGwAGN4+z4i7nCxH9bpXemSEFGPmMOcy6v+IGSb/mua+vzYrOHMYFD66aITce3jkwH/KWiKFBgkdN49wRcDaXx6xT19FLVp00rLsX2s6gb3CVf/noD/a8js5H8xGK24wUdArfnNbOBu8hb0ZKjOK2hgHiEoe+l4bXvgyLf/Lv13dliTivtcSqbE/TwX0TYzMdPYxxmWy1ZlIcj9E3fH4TtF32Mi7oDUXBz/LiKejyKCE1sttmOB/HiWz5haEX2Wmp2brxbFRe5YlV+GQYqlqu5fzKgRYmwdEWmIXQotRJKesvJjTV9f7AI43j7tf5xOibBiUbU0gAl4CPmq6nxebEDZd1aKsL2kQ1p/vH97rI9yOIugT/cIq2YrXhmO+gOqzh6yHWtQq5zRPuGxqBRHm/xi7oYRYlj17gG1pUCQ0h8UP40M0vkg7H1ckYRj+6fqNj+X8qQASq1DQUUZ7aGSnlxRXAViwntoxR4RpeKmxTe6DY2skz5sVgagKila4HXgitJ1yQgzmPXpzyDW3MIK9eKYx4XWiznZVMJsn4c+ITnryMDcllAJB11ECTuiSYK3rWPpxPKzDDgO7rpyBPok7A4zCDjboMRjrh2alAgyPYjRxcCHHffKMjSXgJgKjLVpEnYzAwJkT4xRkUhEGp5FETryE1Ztbq5jibGOklp1XEjt7th2LaEmBlCI7qPoq7x6URVs+NEWPNrtEKJ8DEQlYxzVwwOFzF00OJwwtqcuIM4e6ZczQb90HRth57sAQ9Ap13KeLqo9zl3/teLr8d3uBWmtSwHBgCkwLZ/1CWl9mt3/QQsvnJUOggAcNssEbvITlcvbkphM3c8IpB13jpDCIXhdVDaW/kujS6EIW8lQ8yR8sbSOR3QIvYX7ImMd+D3/ntzzj4p+AE26nfjZCo1Zqi4Vc4SnIC4JrINI2zs4vNR6QYDRAEHRMV9VX6QLdbA2VV25ArV2Hmbqbtefsuwwsyo7FR8sgffVwbytqE2S7RMDJfa7keeAna8tOoa9J95N+Iti1GubEzmH/gkbQdhGEUiWTVFJAZ2DE68Q6M8TPcCBfrU2xPmLakeJZdRgTzFueu1gWpj1FUgSXXyQROjS03uv0kIuUu2QyJUcnbq5tbKBD02b4gsKK+2zG1FmUszF9W00FRifiny9AsAwXUHgPx8GBhSFzyLKDWcikYJvm+HjDXKwdbOTIEB4ElAnfa6i0EeOn3+jQXjalhGREoV0w/itzZAQfp6WMvp1lTTd5UV8Ep0lLzEDt7xN+QazqgWmmMSAvIy3Xy/iT8xWdKIrrH4yU7KsmGzuAoAk+kKLLz5WAr3SEmnebIhl0E9L7xPeF1fNLmHq6KrINNuaNe2JjhZo26bM0rGxxq3WQcYZpbI+30meXLSQ33w9ejHhrVOBBXcNO6N5gzOkSgQ0+VsdzPhBhjGc5yoZ2Oq2hIb43hbtAArkEymFcP00e2t5uu9Tp5q0PmMuvOCC/JFS1rkP3o9zlps8m5/MZc37O85sBc3p4j/j+h7+6qewjLKDfoe4wnbg3Ws2L2nPwRXIepWYGUDmUp03gX3JR43oh1KxEzrouR1h53baJB/3Fk+hzxQv5LpspVYwdSUgxwV1AoavrUJJyoyMMTNNR13EvikBtXzOdrOR74Bgya9tnIVlwMjMBRI+Np4V+4GIqcgFhqNA+7yjPR4bW3lBiNW6Dvxd8BDJ3NQKCG+ZZ8vZNi8NpToIYegmExJs0MEWDnm+zrSEIeXPGD+csHk8T3GcsxAFumNwIAyBVm7CpIItrqBG0LRHLkt9ugVufBid9abnp4dWxnqyamG8VjsfNizQ4RPMfz4BNZuZ2TgNOrmAi7m6Mq6fkdGZzvUVVWPWPIU6WtI9ockAmY+frbnrcqTfvMZ/xOCIbnRTBsMFS404ry3D7d07d04YN7mQvG11O8wJ04POAn2oVjWdtubvZPeSppNG3oy3x12usDGa8m05muaXZTrdA/bI37R9iHStpyzSvlxp2GJys4obnlCEo/rz7VBI5CBR69KlxnAq1j/Ko5j4p9Fxvwr5kmKyQac5ouRkYDtAtKiL3Y04C+CjZgTH2uI87ljZAdeDbXpv5+5hogY8k3R1NO5OCie72P1N54h8BPkfqFCIGT+g2wA90SnNyT9dLcqT+I0pgupQiwINTv4YQSAR9A3NnbVeOryjc7k6dn7BVyjjIFzwtvVA1FiTDvFt2ELGdAqkz8sZzhXmeBzryDoxNgIz9Tu1M4kqdQVrT5QpOwKu14+5Q88S4bhel3+ChUgV+YHi+TxhFsoqVhXqw7Qu7hN6mIJonujTRnvlNKmxvI1Fixsp4zfe/0GTTIwyY7E2Kv4Iw1NGbkKBUfbtUM+IMQ+ZBjPnpUPlllgCI8je8JmFFGGFXoGRPott5bCGiJLmAASEBwxwY63sfD//HD7Qdc81lW9QVwXvKlSnE3g9oEOQIR/CuE7MtPf0/7wf8YQ46+Wfj024AI0uyFG2mzIKCxpni+PYaH95gi77k5XOXqzc0BuB/sV5U6gFE+kh1CVlE8aRKS7q42DsJQR7RHHex4CL3BaiX+bCiz5ZRgRPJ6M4uUPlI821+scEYNVbxmtgGuA31UkzSfpdoAMC1/Hcz2h02Bjr13hSquaZiwH6uS7Nupal4Qn15zNDS2cGn0wikRLF8itIy8Jg8GI6pA/Pq+wlfLJP6CVOYIsvemJh8ct34nL/xvJ6ysp/I9Cd9svDne9mL0QO3NpoUkzsAW5+aTWsHGuBFf8liehv6cDOBBT8PyqkxE4tM4S5JzMkgbJBlUvF9YelsHuQyrrZ0Pmhw2Z/wGANfugRmG8R9X9KYFzVCt/1NrwuJO2rT+mccVtc8g06T+NcxNaQ1u7P15CGuuND68z8n2BCJd0bS7PdlzcS62UlnwdaM1/kzusJ9X3fMsI9mPFxueLtnbnMRqKgeLTQUuU/YGXDV1FF5gAq+OGd2Nmv3dHgbWKx2jX8RYjBxOA+YLtObenF95/I0aN8JGIPmxXonnsU4T8hC6/2OD9/EVXZYPlKgZDFBHOaSX4yUk6Czr9z+9BsyRDhFM+uwfcSMkLf5p7G4QJogfJNzBn2KRQtmHUYsmmemSIDcZISeuf0TdNeVvuzRzyAMx+lIRxyZj87r+tqfYWvbMBhFgWjkNDkfczM/p/7HdgK0wrvSoFRGugwkPmXxVlOIEhrmkg29uCV5zz6oSU8PtKP5wZ0oZLxXNNN+ZnVa9/IImYLGr8s+A6Zpajh/b8ocYdDsyHAFYL+cS0CAHZQFQTv36HehSWCPcm7vP8ThibcVGVb7tIcX+hvdPiCEBrmLYshdN1zFMTmhaoKD+3jgYtTqBcikuX7l+04dUHfV/Hi1SysIrthkjH+3erlwxL0FQNJYHsDSWZvtuOmU+fg7K959k8/bjlKCDJ7zVdqyGLDyoxN4Ovg/FCcV9Cn4NJ8NdSSamw5zLZCDwluYXWbCatut2fKMIkMfpEicorCLKeNXmAWQfk2l6DZq+CTueAZpEinJ+E/NrJwEVhCgkpIZyHUSZvfdAfXXPo3w85bq5dtXTBRwhalCDd//hlzkmjz1Q3g9TIbthPwZjiBMDleRSXQIg/iH3zmISstWeW6gkK413ktI+qbOD3n2QvygrmFw0um79n91gSx7CfHmXV5EynKbYLg2WSNLnjbrWq6O1qtzvFl/B2fduxYmsG3imNLPRHU9e3muZu/ExaX0nXgc9eOP7kC3ZcgYz1gxOL8qZugcLjV1AVWE8I0iWFuDdHuTQZE13oF/uIGegb9qI3lLRLptQsqsIly0o0RXSFA0gsHidYt8jnAbCzFUUliIDCbKRyyO/zbHrjOssuQThE7jeqg8f1GWHWKFJxGDSlE+otZbMBIVYv03ro+AFQC16oNHr+JAvDL0lOdREqXPhG0iKZGTPWlGTDjuk7KvmndctB4jfzBplZlko/0NNYPqgiQryEHRcCr7jNdHpx4N/O29gxQmaHLFXuocFpM0kPuyyLxukfqnmGgSxzYTu9floirTwI5A0A06MPtE8Y34jzPu+plO3kP0y5i9bGoEEU5oy5FamQj0xcVVEu2XhkfGj+ms2C4Q4XcZz4CCZgseOUecJFxZ/b6rDdqZpqGJYuzxqc8Aq7BnNMKAooacpo3YJAhiDueQCtBS4l9DCnOOLd0k3lnlOBgEQdDmqcKRhso5fEDoJLIpICwyD8gIEYgdcATVgWWutvbtfDjlPpPjhdDUaoc1rO0ZVKAeTrUjX6c6++mBq9conF80I0V1hXWYhEV2eth8Lmk/y8ZtuIpShy8ZKS5qvZsHxQ56Y9IlNVD5Z7H9z0+4NV6/ZRoiMUgr1OLjYlJNlCy7jfE34TWgbyPmfXR76WMhCrIHpimykiKaS1CfevNdAUXKMJbKZ9aaqa8sZyaR7U/CXusbmwy64bP+w3JEOJcQv1zEvXMA2BVRa/IVRvf8XEif+vDicRekM0QDPfLcLYNwOsF9zikeIMBVAfZVFpgD38v9wr6dwqXko9uFZpOr0hH5cBpDpBVsgmFK4Jc9UW19mCvWRHc7mUCK5a70aBjzpN4ElAXJZgclG9KcJwSTLt1gNgLm4KPHxHivQyCSaec+RnPzDrOb6vNxs/j3EsB+K9m3YVazQkM1FDBiSO6pcijaIqxO45zRQVNT5vRdRZ8xmS89DpvQ7Ww8RbWZp7W3DlIt6XD+LVVZniGOEg1RHoOidnPJaFD/lVHz0ipu950Rf3lmaSwqOLW1XgiS7TZ+U5G/blXeqqcwXsNp1u7a5PGqnuz/ohp2iD69RFQJFN548KmVpQTgs798BQkoWe2L0Rmeax+tyErF4kPUV1jr9jyMImZ4W0AVuHjCGV1B9t4o5PFm7Ec6rGNlQs0L08tQ1+VqSzSOt5yjaz71NPTSIBNMjaJkrfCIt9ZY00mdnXMkIvw8E48KFZfs5tTk81udsYEeQ6IiPoUq1if9gL0S57+wAuLnKnoyYAfilbQpmwekpr9vCdGbD35MdIfm05vzypK8PNl1xkiEKx8ryOWecC466ajJWdRnMvyTi+I5wWYDaqA4Hv+b0ugr2nKslmS+YU8uBi4gMZmhDBdSa1257pXknbp1S0gVsDwgVw42bqlY+mMb8iZ4/e4bAOkoZOF2nZ34dH17+fRonxssR/szo94zhwEHQdJfOwLgnkKpiTKGSJRdzLN+wFH6DBUNBWKVTnMjB+T7ua7paRMJ+6AQzUOCQCAgWiiXAimfOzWM2We8Kvd5PZIa6NbLRrfMMSDFUlt4efhv0J/o7V7QbYuoUJL0bRhMB/ZX3hz91JJMHdzClWVRe+htUcJ90rflI4S5MRwPxGlC3je52AcS/rCp3fwDlvG/YOVjL+19RuXGhRsEB9CYevpHcua0ox5+UKI2Zen+ruJsxfRAOSRNZkBlvSkiFGgNzdx1wOzYYzLTsXihAp6q2A9837oqf71P+m8jhq64D11fOcSAVOyhq0kYQp6rQWvHLVVtJuKRM6a6ZBdsYRjqFgDbzPpyWU3tKnQi+/sRYvwozbwnGkKW4sogrRyvLLiTkdeMpZJWT/xMWQPAsFf6avfIicDN1dDGcBMcifIc5mMSThRTRgNClQ7di00iBDM12slN0zoK8vDnHLrkgJmAJOVcvprM9sEg0GyrjmpVNv952lFpcDdcVaRti9NhRzcyTKteUQafrs7iB+6bT+QZDecMRz4NNjIYQSy7HJvKa1I6bfo/QIjHkgR0KxVy/9qHWQ5nS12kMO5YxJrVye59r5oybZp93HGuTCjrNBy6dr8SExP+z/WYXm4Mcp9G4XAiTEmTeTS5kF9Rqu+zwd3X6qR76RpfTmNhx2ewUWTmKOYyv9rap5hORSpRoKf3DI6VkXQ/qM7CrSN55+p+E1K1oYAuegCK2sDj+X6wiLJ0VpIt88dYVlHmu3ISwKE25U2xUw71VAUHpKW4/5yw1LhwhR/9VilLeL6qr1NrEJoYqLBiS28PtqeM5jShQLJ/toDH5vf19vy85OAI5nprvNRY8j/dFdmHohvcalzc4SZ6WVVcTTbnWVElNIo3GXHXLRnPw9RcRuMQVywf8iCLARJTVUkpFYP8fqgTpmmdscZFJtKOXV6npP+4nizTPqqvOKXPtLs+5BkOdv8pr96RicPuniNTSSSGyr3mTnUBE3rGRZPOTc6/aCRxydkNFvzsLgCEaBA9pdaVuLjuRhYDWsNrTDzWstBUvK+yyTCLVDRIpFF5fcMQ8HkLMrpFZLJ4A1U7KJqnC+k5F60bwuuPaZEvaqhx+P3IiWz8bIi0KcpKFWnFc8ro/rpreeMDRNoSwpTsXf2JCkMzDMv2X/V6RJOwY1fnyU5mChLAqGVKznT5+Q5Y7AW7l4e+nVnTRZLHLpzbhN2X3Fy6M4qk8utqc+Kz/4SyGhzfUxeJQlwVPrI5vIbofK/hOtH52NYGdijhd1UQP8DDgB+uAEYEBUlYb94gNltlHtFwj+L4Gr9MKXX6m2Pu8fUUCNDxy1R/cFvzgjFPSuWwQwsSdO1RPVBW0pCiyEGy/het7D8PhUHP/QZYV46wiSv+G7e7U5vPjWRYZNXyJIOgx9uyHHEJTcZg6Z0iFjTM9NWOptW1RV6+ZhL9D1yhobITCED9fChIk0qZAux6Qwo+B35awUyErAeiz+WEVGRjPU1KAhWBF890D88mVVDyKCzSF7aplaXR0HfmF8S7zS9uNrsiEdg1QILYOWfYvc4IuMOveNRPKxaXYFxhxs/UIrtzp6qHGiyVbf8r4MlrEsJhrsayAzyzbADNvN6DRwoghFlspuTzZJlMUJx9E6X+KqdkisWYnMo1V5RnpM72vlWxAuQeCK9ytNITVdt3XQx53ux5ZDVmcWm7KZVOFKwmp4gfDjI8qiydS1bI2Dj909Mz5nZ3UxfqEpQPD4PGl2TLenNBSmHtuDxfqAo8zXI+vtz/GwaZCPYWYWD0tI9ODgtDAn6wXjg3LtPCeripdBDmiQc5NPk0PtjuojxlWlCfgLZ942u+Lgrj0dRxrwEslGpuc2eiDmF2YsOTmJAEo1PJ0kErSUvqc7OMd8KjoBlDuAVHgWxozNU+/fmjHq1FiGQ/4crxF79f44mR6YUffeVOd28sRc+AyHKE4teM7+tjxb0I8iyQcPla9w1iVMw5fUUk9lH15RDlbTD0Nikeh2H3x+Ybpqg/CedU+hP6tWKIAtThwX3lfu+x7wxVpzaOegZnZYfB/QAkA6zexVYtXJtncEB7ik+NgRK6ibKWnf6gMcJSs2N1PQUopw04OL33baTnqfgI93sRzqQ70sv4dz8gviv1pgHKDAw9GMWQOS5kEwyizqswihhdjVZ9wMy7f/6RUDijs7f0vHxOusaOpsfBwZoU4JHlpx8MlZQqgWUz/cL0iRRB328vM1YNiG7lc5R4m21R09mF6aQnLNgaPAlqSO64lu6hfnTSEulgZtQFNUXMAARoa7Zq4Xb9LuLgQBkz/ZFfB9NO2oCHVI5AXCsnv+O7I5q/kSIcRFwdz4sjw2wwGMN+onzx53aM0/uupiPPBn+oeeUhDiliOFtZZNX80iGCov+TPZJ+jXYyzy9FacGXo4zLEHcKCepbZgjgIg901gcRc6clnp3a3NU/217JnsSbH5kM/KkNfYqWAcDF2E5sxAj75bHzyxxXIFRWkkWFY5EXpP+K7cVE4XczoQqZTUff7bCArs8H6GBu8ofkQ+qJmKIY5zkiZ962UUFlsFYzmiICpib9sOHqJgCaaNk1lR+TIMOM6BLfgRq4aIwGxkEfoUZWzPUFolYa9i9azMHb5MGZTN7ZXTc6cKk2S3EP5tIEtWA1guJhsiOA9KWkK0NhAvJ/CySoV3DQOCT85AO1/4h+OFMXtgDUMt9WaWcByOMMm0cBdNKSsNPuY/olyqhMKHPyhw1IOUwIKvxdZji7JqRpNfOBPjU3vrDBRMtgqLODPgw/xwmo2GYq5KwpgntAnW/SwGHP6sN8bF4mj/Z8LkV/qsQ4yEpBcZATRmLHnR7VEwUZqTfTs0pOq80qrZhHAfPjaRH29YXKx9H9wVpQN++Y4GIjD5IWPYHV/U4ogkZuqOOYFh0eMDSVShU4Jv2O0960PBoAeM7YoZmsokgmchOFTApdqLlJhTYlh7An+0qPdfkAPFOiLmGADVvyDUmsYffUy9zFhbYAK5398ZE8+2bRsr5/O3pg6EjNWjT6FGdM3C8fetzDcn4RiCQj/1wNNN7NdT0FS7Ceghv5Wgzcc/Rl0Mj45OuQrl3IEZpmwEpUh3dks37rwiCXuk6ObuGRITQI8uzOYowzi8/Zsu94zjJRLIld/00UBFX78HzKyTs36gmXE9mnsE6itFVDzE4jZFrWMITFqUH10PFUPLULlFac4zmMyexI7axoNhCs4L1h4rdpl7dB49FXD7yjgIjsR+IkEEdpiSZ412humWg+H8EzpanUqmJ5OGwC40kVGOPuvZpWKZMi8QrYFBQgcjLFL9EsqyMZitOfCx3duA5hJzR+jrXrnMdNPddCyby+gSPq2NFyhNRQLRfcE+SsqeIbZrTRhfT0Ic9FsCNb4A5I5nf+iRIJ/N0EdVXKhp3Ad3UHwrtzNbErZLjkjxCuguR/prXFcyYu5kf+UUBYrhy1le74B4WDygymku508SIn+KxXPwn1u41xuz2NBMu0DqRDmvCKOUUL3hy/EPhHm0OUC2gylyrPMzSp+D04mGfKyn3bEH1CyTACLm89RqWGWlqLr5MYmU1Et/vUmtLtivZ7rvhUycK7+KezAVO5WmEkI2227WA0PsQSz+9MVCL3fjsuvCl6uSo6oUDXHqKmk/WNcxpggIRfwZiTGLpOA1hcZxa77xY8+S0Bkr8DX2VsC3/33TWlPRDqwJ03yKMWaOkDUjQ0EzBSa/dSUQOWf+JJCkDVQUEMiX3tm+Xpu48O8f+OanTNyeR2JJ0Dg0U4UfvEj6d60xfPjAJnWAirpVcDaUCAvaUI5irnbznPNg2N7rOzU8bJpLNs1WXIoemcVCs1JellcnB/RcPU3XEyplXvaw6za6JT/UhotkxHibgGnpwX954ZlfoY8+m+yZrLzAYtdMtdKngIIorqFuN0yBbrHdYXU2ZqoOYJI84OjPW2qvITdDEZ9gm3RWpH2UwfbavENvzKQcFRNwt3Qs1GBxa3CnXW2ZuqNV3h7B6+CIXLS/rz46co7EFMXEEoAdGK7YzpYWVsiir8CZYl3tK1YESYloKnrQ8ZJRLP7CplUeTnIc9N8QxtwVFEk/dDMBjeIhAQJCqzhWaPOunp6yeoG1sesBRwyvTISKLkhLF/M3+ME4j7+JzoCY4MLJWkJfsoeOPt4Wocb/ftWjhoHZxG+EncHHMQAAr5JRRmohNt7t6kboUWUWHVJSiiNumPz+KN3W3xzy5SbivwWxq6QxYvtX3dSEkPlnTPnMRZq9086EzNwIMRVD2LnScXxqc2esq8T5amCVBrY9ABePUE4bZ5NOnG0Gmr7EvHGdCDT2/hoQjUaMslvI6jPtcZrItDzKt71t/8u517/JPdMcthTRm0O/I5o6liTi9mkadA7jKsgqQzFaf1O6gOCaPNiA/zMoCYNTF4spzPPEpJo6kMxaVp+zvV2Bk+3IZYJfuZKffrQno7/NG9BCXBvTVfQjxc7UAi48lZf2yMnAZDfp8DOwcOe2feQS1Sy/xA/NZ0K/k5FIQZ+xWbjKFqMddXTmnhhcuBozWSWwCEvJj8V4lnkN6uWtllzgJTQAe4tpUI5ahAZaacqA5Ie4pumy2zmpZYGsLjug+zG6Ae17jPPe7C4iThBRDlFJDMDe5adLUkhxHxb+CQ1yP0fDUvV7JK5nMiHjkrnlCADG7kX2/1KSbRUsKMh4Jnt9uaOAdDFynf8IbgFeUfupNoXA2ks9uQPjonWi5gXhnrYIoQjSrSi2/Ti3IP29v1hSG/MCQs880T41sfF2y6ePoZmYAO8/4NxjbzcVEEkuinscZBsyJKu8oA3sRvGzSILdR+E35XPjy87Nvy3f0NtK8WWa0W1KUUK1NJgrRw0GbXaDqirZgwzL76+gJTZx+1sPaj7F9HN57DtNLpW/E7a75ikS8sdwusXZc4Rf1JsSxuF2NlRDmwp/NfvNCBRhOsVFpOXTAZ7MonTOpsVjn6MFcikzqwpAlhC8FKyWHLgHMyG1UfapQPXFvo7E/j/CyPJTys+pwxhsvOCdyKJU2Q0lDoJIt+/uG7XgiVuTyg8I0TorbfdVn4qaKtc3mTdKKP8u2iVryW5vFkVHMPNrMnV4ZcO+ESwJWacPauXluQzCDg6MAMTWjHE/cDIVDtCAj7Q5EDP+HRVlmbtY2LjPmcmg1DdATGVoq1KLY6BNAlQwyzo9I7iD6YV6dqrEehlnh+XJP9ybD2ubOolTA/JXDM1H5if+4mJMITO8xMTa8FwVsuk+cUCxlXPnI4doSPNrhPG8wnMmlkSbYPSQHCHtPHWNufC2WIjAZiflZx5Re6NX1lHhjvcp+nzOUC7f+OiypUCVguRpZ9IXsWC+W02sKf0sS+m90JWaVyqyP1er7F2/X1wshMyjEoyMYvHQgWFVGAhhn/TRsuuRQbcM9mMVGlWQZKjW5vy/wS9gQVMpQPmGbDJiQN+wqWtYNpRvTnEppwDRO8c8F7vt+3uF/KYU4L9Giwa8idUEj74sb3r4hmYXzu11kQ1A5/72SvhmUuBbupS2BiSImUO/ySKvv5jxGmw/HwSQ7RFuJFbTYF4hFYTiOezmtK2KgOmYY7BFszN4VJzAgXBmW/SsJY1gCRBhxXVZRNPVyhRJosQvN93R4ig6r8yZMXIgIua8vVr+0XpCPFkzuK245spCY02qBazuBXCcJsOhXTP6zG4qELRErT10eq4+CLonDFJwI/MhkrPLoIYX7Fqm5n5G289qdZ4o8hV4U5Mes310mKP72t52RpGYD1DS+mk8XHKlqSFT7q547wZoAIlAgwboRPvS3cKeoad4IRM53AemTnMgpoc0Z7rtCTyr8avrPn8RgdnpVl5vUGLw4N1ImtJpsHHBYhtRDa4uUKKiDY7mrbWNID4tYSMBwnKJNrAyNpEyK1abewP7OzpZdZKFO9BfgEuYL2BR1iy/4ZA8jgFQQDGgmbjzIr3nL/AA+PSMRYuvVbLhEuSbdGm8iQTZMTEBIJV2JtG6WjWNtVyi3hZoixo6OPczR0+6+kCc8EsXDQZgjd8KcXZ0XxCUNoqS+WZn6s5kM3iCYEVJRJUd3kl2AOozOmoDN2C6TL/m8SKdwvXmIm8ufYjao0Ori9zNEUv4ZpsTBmpnEr8JbAywifzLRfugGkSHU4LR4mwmOmz0x27CJMU1nIGd6CjjVnNtZg61XS/Tym7UfwVameqJMMnS67X+wES4sTih6YEr1N4aOWlu7XZ9O4ao/YnBCVmJQJPC4Z2PZdT757DAxWX1PrJdAe5KUxWsQiaDivbvUvpERb5hDGYrpXOuFsveg8BREYBEFGCJitBIepK04satW3eXNo/oo2EM06Gqg0MVSm4rUwB4owd2Dn2JFntPsqG5OyZLizKhNu1pJwIwcUL0wYkssWfOd/bl1klA10PIVWiVP0XcDw8Jtjrh6uSdhzNmrUfraRvgb6CLh8at3NxSBGuY/ta7QLtSPOa98c4k5HdR+uJhS6N1R5W+4vEbF6yb3HZTNt197gZX8Q+3N0PqeoEk0L3sKnSgJfj18fDjKkGeQyP05Odt0K0RqNuZ5do8hQfQ3Uw37Rb6psXR/oK+uBNcunYcnj+NfpuqQfGndVKJ87n7T3EtdNRH7zcVTaFWpgTXguKzf6ZtOZiw75BiOZ+0gc0L+oQKsDwq1E+IT9yZbFqC3gW987RbqqxotpCagiWaovWjyQu+1rMezFV0DKyTagV0wJEPuOi0W1TXBDgcf8O09RISByNUafMimTDyGibWEBEkbnreA0ZPXc5cFgAmKYc6DZNxZLxWACLZC6KYDAHhP0mmXj0Z4Nlrx4hGcsEtgt1Ce7UTjgOe1kTIOPe+gQC0W486AX7yhjMjBgYhQhfa9niuwuLJ5c5tkGvth0ngCbXdeYsQ5OPhizhpWHmBZi/iwc0kIRSbGMKoAjtcvtjPL7sEOnd4vkeZPNrRonwAn+BGyB7xdnOK6QiqkGpEciv4Uts1JlAyncL8l4eGjgqljrX8NT9kOkheE+IPk7rj376ZnBL6NT39rIVrhxaJ0mnrsk9tbvAxdazTwurnPXTABLkCNCQfqLrcdl6EtYNQLuaialzmjzSCpyxNblpThN/Iyb8qtvDTYlD6IJpIBifx8oNoG6wzXuhH156iBq7y4eFDBqzKJ0cPbJ6107RQy4F9ThY9E9HHNpU9kICEWsWg/QToE9Z2+YUJ971ImfjeCpoDHY8IEejEFDnXpTP2GCJ3ouCpHbDC+NztnviteGF9MyiXUjlNp9uQmwiBehuwLSzKeC0sNtHKtu8sK41AYOO9jNa0myjj0R+0R882atgT/FJCLDVpl97ZuFnQiDjwuflTL657FHAZjjFTTsPbvnMoDGc1St2CkLfbNuQlKV74/QSVm6NRCmOaUPkErdRmHe/x9V33X+hFkZzurmuouHYaGvOEbO99nslMZ5uWauQoR+AcPp1gxoG857KiwLvAxY0+Ez35lezyG/Tz62jlBe+ISyEWm090+dgETwMwduEIcHNrnl2J5DRhtSHpBAyduhfMIWL0Mp55HlY5thfaCUC/knsHyC3Xndq4i6lRVjEZNXLYJ4EKwUMazrqUji+pueu3XdfhrdfN9VrT/ZMy8S4Qjxi56mvcEy+Sh1lLCpVkCMhhoM30VJ0NlB2nRieQ9v/D3XEz/PD0G9NSUDpKsUunXD+k64ck6BzucmMrBvL3/4N0Q2KywjKg8oK9Qjs8XGTuTNOP07+gh26QGtPbzsqQsPoCKDFlhWugR8OGRy3aebuQyAH+vonyfE1o6dgwLbNfgLwRNWTHEqgTmT1v3OFAH88VSJTznhqZlkP6+YrorHn5dVGnYhxalrhV33XYXs/gi0zWUhhC9CCxrCvRonecn2HJQv0ZKpUlJOYXe/9AZg+EIngluReN8NsBk+d0/OgjYjZC+x/nwQCh+RWwDOsXivUmOCRah/o9ChT+73zuCZx0QgdK6oOaxiNU7SBo7/tzHouQeFqzMuQRtKjrorDYAI0X4eBTeuM7NpmDQuxuNDfnGXNQj7z1uGt68O8PjHB0pnF1kJJfh7lEaqdbNSvFF3TY+T0ztmxU24nNgnInwMVwkHheH3s3KelKPIIPyZMSo6/DUwITgpM7Ob3basstfj38eEAlHtaUH1qRU/Y8Ou2c8t78Dlg+MWKO8ZbdAmS1rqkqoyGN3bF6wfKVl9+ihMHgwEKJCDHVrDA3njSRnZ59UmoN07PdeD/Cg99SBNp04OledLYn31kt8LSop+7k0vTqHwSNFFmFtNL7b8tl86biE3tQ6iq4qZBfDdhtA3JzHWqXR4CQ/F9u2va2eAVVYhpfOqEFw/W9tcdclgYAUe37OFapT8lW3//lDVm17Y1R5riJY4Qbul+MbTf+RwUNguyK/BjwYSsw4oQWcWGUsvtLEj/XYRfzmppgm1uz3QkvX3iKpGYZqF+ufICRjifrCOFIoF8jqBiyl9TqwnZrqBbzwOHmzeb7UTqez25ghbxYutocFeeGG7TxNMcq0Ic5RuNrKl9ATijuL5efDCAmJ6umIEcWHGLzu/brh81HP7lZbfj/pYWprTMqBSlVfZXdB1GyMyZ6QVgSbIXfrlAcR1rFlVIrT+XrqgFwMumAahMUE/lSHOp0l3JZkMbiU+1nXnkTuxl+d5hbIlyf+6YYk/2x86tWAPFkaq1AEV3A7p76gcQRf98o1v56CovdWYEzFdnZtHvU3jELK8wwb8CpTiySS8rGHv9IHQko0cgMd6+0J6DkgG7d2XKFGDNxwb4+hB4t5L8fKGkR9uhiWDJmnZHEi3rieaZ4IIpjuDVSN9Aczly8Uww2s3wFnvvvFin31o+iG4AX5V8vCfMZgY+1m57R</x:t>
  </x:si>
  <x:si>
    <x:t>lPR7SJRigdJS/OF1K5PazCMT+Y8kFQUT8YcEO945B35NIlWXN2G23iaJFNSycujnUttY3lmXN6cltvlqtUUvitpRWIXqFXREswJ9VIa0eVWzscM1n7iZRsK21XNyyicyZtLucO8p9YZi7ZracXPz+1N1OpQRYsTXX5wglhnuS8yDfIN9283siy/C1iFtWPnRlpbl0y+Whx/d+ccdkf3oFOTBEQ1dw4QLYBPWnB0NXRu8XEaBgjOU3rpsHWfdUk2B8y40xzkjOAeRQgNIqaCvlNz1/SDM/OjtuekxYAVIUtXvVJwlA5F6q4UYPnroLAEAhWYERS5t44JITHMTNJrJV5RBRRDGgVn1dzt3yeSXP2jGcjpBzJ/S8GSgHoDwoNRRkqQQ42wmnDxq246zuOsw9D8kGPfhFxO7HDa6tpeeXBVeTdtUeUE4n2YU1y6hMo+OpxDizOuc9Cce35Y/dPZYqhhsn9b6Jhnof50C3EvsV3LLhWzZymsK4S9Mi735qA6RbwSJl6utcOwCPC3ZINhJX4emr68gn1l9IFHutBjXUU0/jTmNHjy0g2j67hOq3hFmNkgxQODq/08+rYCgxO+KN15wYo9jEv5n97XsqxmJMPytKgBgyeMajnMWwq5F2dp5CqyxxnU02/N7GdvWIx1rn5GeUDjV7hMJ07azof56rB1qMdWqOZyVDOAn5LVNuScFVUNmwXBLWH2TnbXJlpE7Lq9HOVItaSaqUOZQYZ+DFn3kc9UL23lh8eA8zJX+vp5e0Uc42yYgAC/uZH8XGUcwAFP83vkbZUY1bcwOy4/WoBENE9jILy28yPblRozhO7o7vXVhfYMlIe594zqZk5H6bva1rTD5+JFFcdgniohJsCxcaqHYGfYUoHdh9ITWWEA6uJOFU4hQbiFUh7F0VYKYYU5eNkGRghI6wxBfGmOBL+5R+6Sqe5QPucIR0TQVnhnl7GYG2lyH+yk3WhFvFtoVajdMA0SFEWOiHzRZFvMvawaFWnC/XwyM2rdq+PMbIUPMo1mbkq6cpErTZdy/TLDnuh0PKYQOXrkR7EiPYlmVJiKt9y5hvOJZ3P1IKV24QyeuZokrLtPqjguHTAp+WT/ECZ6eo4gwczAhDpzHDQAd5aKIfENhzCV5PX1nfzl034wd/Q5huLFMiax8pDz8tpXNRI+b0qCkIdD1Uk85lfYMB9Ye8SomHl2pUEMaTkvbo7w9QyclriDgrpQaJFxRgUyglICfv6/Tc7dYP7Rogt8ZA7+vIujPMZB/k1vz336Nk8zMJQB5ET/Mj0sJCrLEVDp9jSKX7CeSzpAcSk9Vc/R6osfo+0kpTlKB4ZqUOPO3RDmd3Lv3ldXmKT5Ii3WtQpzJvQjp8NcAWvuVsn7z2AL/VJ2UKX89LBfdt6DHxmBE9FNLLsEmWtCKfyYY7Yv3vFtLnooBW4R7e6muTEAl9JA7TrTieY5BdQ0gJdIDnLX6VcMoxNiMp/cLyBgvjNQizUfhb4ftqlgAzzWt2qWOPq4lWbznP0zP8DcUGubYDcxztiT43BGJbKJVpxS0o3VPNDBk5jbfEybRXCN0XcZuHtoDyr2t66mvGTdkV/wZet196lHH2ylAB2wb31c7bjqfBFbb9lUjoLdXEyGbdkpM+zwNWbw9lxpkyUfKKNl8YU4Z4D1DWMN9l7uwa30ElUDM6LYsvcapbfyk+zHLpsxKxX5d3t6SrI1odm4Ner7O4o9PsQD1txi00Irbl/v5jhlTcGZgQpHLTeeM6yl7X45z28pLOxXxaKqAYZ3D8hehG6DX0cVJhEADvUysKTlnwQreVYx9Tp51KIfET2wA7UP/FUG35jdpATXgfAimDIu6RY0XiymU4wASvNChcuo+KrwVJXEkRtE8Jn3QsRJq0PiRAlNVHVgK//TeRZYQTr5q74y2HhIUXZ1mEdVAM2+NtCQt/Wt46uMDObgYBA0dTK0xbG1N8or8rqve83ZyNrK6tILWcvY4KSGFvrbbSPnXGSRwJob6RPfjQVwlNKBcKiSJuMA98Zfbe41ZNKRGvPxyxUbWQjYhCsnmJTmq+B9NABKhk4Rqf+xKFXL52BJhtUtYlLcQ5HLR6VqAdIp7mQ/wEy2NaAObPtXbfx1Og7bHqrzlqd25eo+1DLszZRXpMmCcu8tA1wbd2DVahQCp1MSL+/CAZippPNSMM2HNOIKQ+LvMd102p6u8espKE1N6kztlLECxmZUUt+2s40s/qAIL6Aw/U9uhGYF058pa+6PnGYa6rCjYfj6Yt/2qHg3QoobB6J9NCal9AtEqbCnKX/4Eimv5cmcl5w0c+9Q6eSma2YD3epsXUNp9eMTaHncLP51DsBHqJY3VBMsErU/5+r/2aKK9pGzVaaGdKpDvmY2XIXXYBf4EsyPbeGFW+0MWlhUuyfhU4vdv45vvxzSsGUWOPAMiwYXjsqoubUXrzFABK16Di9BGqeMGJ4ZZP+ftnwsTTx4DQYnL6tl5xEKzM0IzvwvCGumcD50s34+i5zLPIVNzKf1FF0ftg1EQUTzdiOEudWrQGiUh5ORWmPsoeDbjMd6DhOcCavG1xdeAc6gwNAyCb28CrXV+vBYACMgfJhbrZvr3y2uHRdtH7uYEjsy9Hz3HS8JvZgJfylscMUuknuRmp7LLW8pfYM+aFc1LDIydYXMR3Sjlb9G2QkIdq5VIFawqJSRglNqkj4+Zl4xCZeOe1zPYq4JNW3yxHbEGzWLIwLZKAWzsxD70co+4PKc7m9mO+ness3wLeOHoZxT+iixQu/u/3HBQHIuGTVMdGXAcpT7som29TavYLFuRQi8E6i+zyUm+NcLUxsQNUKwDG7oaAni8emxdO33aMIUbDVpTKMib/hkUCP5dbnrjgS464gQmVOb8kiklualHw1kWV/MqGBePUgp+ZzjdkeU5cFHfTBpdFxCo1B3GgqDDZTpEuM9S587FCsiOOSc9mbCQWdK2e7m9oClhyyWUZJ3uSKpn963Qkf3BYgltAKt0ybzUcoF7P8h9BqMkfD33SEAqMmaV4zOBPoSE4iItcXjPxCokaiXvAprXyMvUCtiCmt4FnsGY39YOQNhw5HrT5zev1KKI70svXJyMHgN0O3hb4JqlCD1r8ZOWb5hfAMJMSOb+k++DK7gTqlZBri3yzzsX3+RT4XhUehl/kCGlBsZmKbu9A3NiX+zdcD1CM9P07v7RTAVyQsdIU7sWA7qOeOJcEEC7h6i8Unp9Z6Bkm+or8K3vS46wYEJPPi++bpQ/gNpSWRv8dgrbyGB5Kzvi/jh7jzEKpuJCWzCBA1oe4wvG/2k9Is+ABCV7n8kSxnORBvIPEbMthVz/ss58j67BNN/vr/MKkReTRsnqQW8QX3KEfmMtKOUkRVukp8KusXK+vlMTfaMrwP7qxDzzGoX9udvb8ZhhX6oYE1Ia+t23emTKGgPjIiq/gOLo74CeYdOHVVCzmBAl5ZRFriBzQht0p98O87fY58d1JxGUC5f3iwnN+EmnMJTUcA1p+OTYffShBO6pu6qhxgrc4lL7dxB7YqITm5CX4GgUksUsVb7WmFV4nj8bdDRs0P3s15HUhVDXVkVWDjnKLZQ4lgiHU1SDLnfY17Kni7beJx5W1QIBQ8hA1CTSd2jAHnGiOtNUEbhZGpSWEwJkB5M9/XPTY/BeYSsOafAlFPnXCOwV62FEAcX2H9JSfqf1efkgCYfdx20na7zRGyyHzhCPTbTxWawes9XmgznL2unmrpS76L9orDdptB8JPMwST0MhTn7q9wgsygwaXMdf/cKB0rFkTLJA1Y1xLAsIlVP3r8CJq6h+yplDAYNV1Z9nev1kL8Nva1D4PFSaQ0lKgjlGsScU4FsR5qez/B581jhuFjEWWJAQFdhCypYM73/UyuzOnLk+pC4vjvv7JaQU8uQ2VWgpoviGjvfNX1Ve9uS/C+/yiua/WHUoF/inIGSQYntFxaS7QEyyM8bHfbBBzEjTcTXfxYz1r47n1rsX+fvyDf85M3drmXqleEeMI0NKl5NOOPc9C6zs/CPBmpVMZNDcoxh+ULUJKxbidPhiNQj0lAAqeQhLHmao7sLOXXZOMW0MaQuZ09ri1lzd20RUizZKuYLWJortJlTyt2HtOMwQBbfDx+5jDZj4jtGireYwfoIi+hFHHylqrie6ODysD4agh1hg2Qf6DH1fzRoiq+EskJYKdzj7LFxuWlHo9JjGgYwUdmaU6H+grJufV1K83GLyMz16IjCdz/VeMHqgzIgLmPKeoZjyW9JTyzDqAN/8lpR5dxZx8It50cA3Gf6PeKoRn7fjhGw57GO4jtTap8BK4kexc9SjD+a/ktHl6YzmzRoXzQ6mtsnGRyvs4uxV9bqt/nvhJhYvtYLvnVhP0D5K/S8iEaJn2SVCd5pS3q7ckP03EbmUOGlygYRXxAmDchgFtMDBH2cgpTggEs0LdIlkY9CujYUYdW6kHhavdPH/M/h65+IuORAu+4+LppluEQAQzSLO2MRzVAd7k65UC46NaGpjs6CuZKZfmSElMFT1/sNJCCESIG6Tjo1ndxbZrNX8UdSWbvRHb0IqHXKBccE4tE1S9HR25V2ds1nHwccplTFAl9FY8QWyUzCvd0+fmawzBIHg5zvfm+UtVQ3CNjxLUFyZ+qQiJ/3WyRhMxbK7fgJSv5zZJxV7rsXYpIZ852xeB1DFbid7s5T97sAc7xVP5JJtfc4Q+0/PtrCVhIJbXkofqE56EQ6ItbNxHGrX4JbQwd6xcrocp0yteYX/0FHBoOMwsNHLp7jGTpVgtnVWdfM7D+AX04yHhO0mcatwLvCR9cwwgsOlgKQ0jUWV5OPj+iAq29NiNpityEIR2ZIXbKExX7WPM3kyI+rGgK1oUf0elG18RDbjEWIVwa6mHr2pMlIwYXL7AxeHRH3hxPRRV2yt9jjg1jsS5/Fb2k+TGHlnA4UR4g7/KCou2a89qYFFsDU7Q8eg/yECaTRtEiZ068OXgzIxQUDjBw+KoweZqAb32+lh5F2rQHEknuepguRMOFg2DwQLUpUB0aV/FZW+duqKH8I5EM6C5dLw0Y2hZ4zPh7kin8jjh/vjtIY+XX3gfJ8ide7HDmx5ag9ZRbb1HvFL6FZBTu+scOl8h3HdaM6w326tcMH77qqmXYR4AOOo+wwCYDqiwuMlFVQxqDTKicjZoPuOiLajcABMtOOBfLJyGxywVYWQz0rqVgtbfh7+UqjY9Habj2HCycKsGD9KTn6QEf1hdPU5LfC48XXLnpS3cozZ4mxZpUETu88doxHfvFJiuUGPnpgHDA0BjUWoN0vekfklyyi+3jev4l5G8tEzU0QBJy0VRb8SYpsrbZ8FP+IprBGGLuoT2hC5a9NgR7ZjGscW184dp4hRM0YhHEcx+h+ZfZDNbaqZLD1HjtXh0ZrFg6eCwkn+gABBLMd3SV6B+1K1AVRU1fntxDpVEow1xhIG0Nur6NRHE7EndpBN74ukOjvHo4D99Fa/5qCTuoY284yCQQkWhUAXRns4n4nwH2umYn4Cep7zbZ0iLYfLulsMqyAHNcQ7fA1jWf745euDiIVpaSa7flF9/7TJ0O24GcQpV4anGlTwpdssU3FdPTi1YdFJCugmC22HS8KYgukDv6DpqNQMsNZ4C8ph/recixIL87uOIBo2SdcDt6heYUebU4gInVTwiZ/0wxyZUZA5Mrrah4oBWuXEj/R4B7qZ3hczQnnYfFQOu+oFYJ92W12idMpJKZYExBPqm4Vnka/w+eW6Fa0THCgDwmn5/kKmFii5loGqX0S/JXmbpurcI9A5BxVmoKyBHfEyOHAvaMIcoLXKqXplHfxBj1MwGzsAjLJJONYhDN3I9c4qE2IH37ZPOGS6/+rH6aIY/r10Yg0VZXZaN9+VCAPlurtl/e0TdbSxmv90w3iF80juk2V+xJtd/GlGX3dCcowBBJXAm3lli/k6QEEpcGchqHkwUIntuiiGkQAT6D+ZQgdsO0XYCulWKMgQpumfbNBMqis1NK2Ixqyz+B8LUgymXwcW5/PkhKWWKzNHDOGMcGLnEnsJ2c4XYDpJh4Rd/DM8wD2BWXrt8++tZ0K8O39wrY/eSmE2/tpXLG1qSkmDMHDRckrJmmDhtGHP6jhvSWr2/ldgMIihRwOpzMBeCuRtHqejGXqn4RBp9QoaW53NdBVdDQIFDWnMUURhOVcV6Wp7O5qVNIkJVeupJDOD1ciZIXyiEigyRgrBSV9b/IUzyvBSReEctasdT69Oq2IfnzkWFPx5c2E6hLzXpPnAmg/+HamaQDzfdbiGxNnKXJjO+gGMfhARZM66mvYfUA6nEGChrP0j6predufJqxd12iDXeQOuUi4OsoTlFuoK2IYt/1iR0pwHKAM2MyYjsJrKZTLoWOFBSJLDIEL5gy40LbvpDDbGn8yhWfcf+gD1nm7IA3sOAqOjEbsyAdcVg+tR7hOhAtqYmHBoX6K4tvbrdTzPjAtRnGwQe66uO0JXIWETwT1DF9KIJ0hZVtmAsMt5bcjuUi2xdVymiy6/3ji1vP9K/SKke9UR4nuNkD8+p/NNiZf9Z6E5vk5iekd5bUMSZE2GpyOL+yiGBS8+UpjhaXDr5+T8a9O67yFA4t+44xFaKLErSA5n2LEowNaxjTsl4DZb2JMamZSbYjWm6WUjNxgW0Xex2MInogDkr37qTzNyfhEhaTXKb3/ZPN88bDUNl8ILBb7x+kG15uDGf9i93Xk6lnZmoNY4FqkngW1GVYhhvAJmEgItvHCJYi3fYlGY5u4zYRayYGNob/e7E/VyynjEh17XndU7J+AYwZMxm1MmuVpOk2UtQSeUEsFP5AoZQVFEqQ+oGK1O+WhEsBi/3XMzn4BM2Ui2HwtIs1bYvvMyoDVLulHlUDExyshvegj9c5cX5/2AJw3W0XnLBkmHw9MKwjxe+7ePuBCu9sljykdzEp2R2F/kh393Oq/Qup/vYZrQhFUS19Lbr07Ii/PRvTrsd6pQnlGdkQIv3yHpqsKBsmZ4E6zQ3i2zpzeI8FG+a/hrAAnho4/Q+r/6vVjVo1taDll4vOfTJCVxeJszbCci2ax2a9aJCXNkUv8OphlvWAhyPnJWkTyYcKgGtPuVk5P3YrRPQNTkkGdniUc94tJeu/To034+PqqY0uoUkeSJdmILFobeD1nCsOhYJ3/l8/pxmA7+4vt2FTfVA8uMo7r+yapeJTxJdUgz0zHHx9W++zP/sYRCS0GEMsy0f/EfcKSLzLZaMs4wkOI7Ovu18UXURfGMxTGcExL3sYfMCI9PXRsvMZUGnWnmJDVOXFA4GFG5xSrbT8way3SsifpNf+fc/eS1/tLMBCMwvHD3N3CF008aLFi5MYDqfSAgJZFZmNbC0FhheL3WCsXfmAXU5CCXmxK/UqpXjsrmO0rL8/zl3yH7VcEseKRAowrgmL3pbwNpIE4lSWe2gcm324m+aTNi16uW3Pf+iRlXK34GRXgr481FBIOeZPE/fBxV0ZN5v+nerZ+iEX2b2uTc0wcVUHbwq3RGaSW1kwTDBPsGA97cx+DDmsw/xTwss26jQsC8T1ON3Ue4ZKNAuKjQYSVYjy+DVoZzYn7vq31GFKJ3TJdT0Tmh5m8E/YxtQ2ZTtX55iV9nnuEb6/oeRswa3bVzIzYDynMAts7DqGxDt0SHEUSNk8XDEG5o00bDHWTYuN/mQSREEGiCRdoxDSyxfBV7h8JBl2UEV4HIbb6XNwZ7xeQFOEO6Q60Fw7tHDeU9iVnrc0IVT09behjeQkhWhxxs5wpKp3klANkwHCWxFqgnTvTLY5zji9acg47iDwtOh3ZxW6GKV+C+aWA071ViIg8mEufLCzKYgxXdxA2ZQ+zJBxSGnj93yRk7cXLz4POuwT2y4NBZvryTduiVDQAG8NO7u9hYJ4vke39JHrwfzQq040Sjhgn/ppSiL8diqG0qsnYqhxQDCRCZ0Mj4yCGLax+i0W3JNr3y+5y2b5OUbVGjBOdKssYQCcX6RAARIU8VF/Wuqq8/QkDt9bYBbHwHlsl64BftTfc6q3s+oFF710p4sjKcEOTkq60BfbM/DhlQm8bUiqr7Nf7MZmHuHfIx3wXk/iOGkf+uUiGtDGjTNHiftsgpP46IDGmR6AQkigDZPnMkSoDelOFJpGrgdAIUKjXCMNsLzfXn0JmhMvbh0ysCMeN5K4bk1QQ7T7AQRoHuh9/gmBk9SpT6EfKqn+yK/0mgNtPi5jtcX/+juN6rDadHECjRTZjLOZaUZWP+lYdTXXqT5afTbTCuBU6cteMgCA0AAIruSJdBnCvBNG7+M2KeIJVAdxOkcIPKjiTvrK0OTuE6FazvsrrryXvAmBDwaHUcsCpL+qzny5Ez0oe56Gn3x0V8b1DIsCsZ5TGq7DcyK9xsQMN3KFPK9Iy7uQl2HxfQdANhA8C0Opgfju9vjtAELeVEg2dMPMQqL1bdiIPjzonNg4urkFNkRSkNL6qezntQYgYLBv2q/BVcxuJ8ZUSZ4IJdDeUaXITachMiwZM7u+t+FQouOkyCtyIt4srMHF8Npn/obK6UvWwWxjCSo+4zEsFKbTuNUEF+1fgYG5d+VfOzJoJDL2Z5jJgRhwy9WPO7ISLn9V/HGNGNgjjAaB9+zJRtn2StqGcSvlv/Qu4zGQwkTOBtmMhXWB+7UNBt3dLRvUc+zlawDthk59g411kYyNJo0I8quRbhzHHrv/CXWALMLQJGratfMA+M0t35ear/f9w931RhfdUvyKbMiX5jPGkILQ9DGFG2HH6x6d2kjMSwEpJnzSdN06G0EB66rVAJvMC6tyYP4ktInjfNpVNVupjBL5em8yVeETU4lVbPOXtjiM04SkFdOO2Gk/VptmxmTPgCDPIaxHeortCL3ZtISAM0yc0ZanxImV5iyAwJNu0vIOOIzRfLmQqrMy41h2ZMK8rwr5q6DvvTOTkMzURzoVRJps/r7WVc9o0azcSGfnHInSE94l072YRqe9OQtDYrHBynk4WR2U8Z5LK7CAz2LHhS+DDdEaN2ZsxbYTfFaGqSHvHHRA01pOQzkepvVUPiDEFmSCEoKxtRSacCvLGz+r3TeCXWmMYfSjgRt5l439SexQQ+hXFVS0Ch30x8J6UVVRXQ3hokcQY90mjDNBlMtnpjd3fm+rO8fS5OrBD9MPndhe/Ewm1TowLopfproRLqFFfKNmjW4HfHxF7KCBxhXHKoGVSFIHfD6Iu3YuKyHqbySRjrOt9LCr6ig2MKc1hDdfD24+DviLk3O5K60d6Dpy+J3JSr4pR8GQvJSYCz/FBbTmif+E4Vn3yd1PxUbsWvF9nVisZsJkB/wJv4mPKhjD6TPBD9GR/Yvmyh5Bh8yLwM5X61NpgEL1kgABkwbg/tPu9dE4FvumfACqoj6vc4W5z40tpk3SKN6sfi07xoIInNvMBWRF0/YSSjYnmIO3nS/orTsM9ywmLhgLcbVF05JaM71QS3oFqm47/Z8j8ZqGzmUbqoVCzpcNAOR0fXmjv2grrm+zDDbwWZyptOxlT26AP+l4jtiV7RiajP6I3gHwYQKuzqIugBEwciAb7Ir7CKnVKXbIzD3jHpQfv3dgH99pj3r1iGJJDAwBlImNOBWWtmVudmmBVbC8f/xGMNR3USKXiWdscdIOsU3s+YWFzZfiZ3fIXRI2+ZKQrTso4v0Z/4bhbCR5xRyrYkxaJIiUjaqjrzxK8kMJiOiDCOa82c4JOE5ZPIwMb8i5twgikj7rPIVdZWf9AIACVAzIJZkPKTzhRVrWNeQo/k3F1DU2CkcMAgHIoa8ftxJPCF4IC7qPqaD/aYx73mlOQFzatmlnzF38RJXFCZSfQk8lhkGnI9gCX1LOJ88PYiYDFNtbQdteZgaPIteZWnsm8WkTAV1f7vTjqy+cWICvz2JUwfM1tHxh1TpsD3AFpysK11Y0/EQCvciIEz/wkTCp9gTWeSeM0eP1CS4vzJNf1rlKd4bIHj3DOP/iR9qB4bz967aDJ0O5g66xlcT8hDmoQfxkyRcokIw4Xwruiq+NYkqzYyKG1m754CKUsq9MLxH5/knjBTZ46J0nxocDiKlO3DkfF/4s2WASTG3DUmPzMtVFQ6R2z6IsAkaEVT5LNVIo/1INU72YB4qrZn8pgX3pIWW5IG0171gdREvgSthhdkVae243nO7iigNbShvFkyWvXTzdIhU3kTQf5IrQTHIm//ggrhDGvqIMTR5ZLAgjiyoVIlegYmdmu9AYJQF8+VwvAbTNUZZX+2YnRddjLRfKP0ufsT+taXCNgJ2MACx38l73q2ZgQZp47XM4uQ1elGFC/GpE/VlIrGxCEd63UO5kPndAgAlBQMAbJ64XDkd+mt+Av9rBfV6FuSvkFt6GP708k7dVQ3+IjpOeRVWncYGCq0U3jLDC5qIa7rkyF5Ppi1JSR/cXEDj3euLJZpbEUGo6FjDR35MDPfhhXdmt23DB7Qcxam+zuQsP2BoDUzHHtjvbqp7OSgeAKjqyfihsL+xOoTLmXbPehMb2hNs3zae00pK1wwT1U8gmn6adrypENhARotQ6m9fwdgNDOwxgQCH6cxVRDI/X45T5Qn77WT2eQ4KsMiUOro+reGfS/cws2OK+ocwo8p7m/XPRRfPglf4BB8otZl4h2AUGQkQqI0TR4s2pdYSKj5jfYoEYRDypK7o+5JgGMOvH99pG4CvYlOJQSaCDF0uQoCOt+P9fBdLQ1ldDrYyu4g280/Si7c26YAeKg8U+fYaADeuXStI410SXQbZDnFMZJl4W3kBSZkCLhgi0y+sPSccB5/1VjJH18AwxmotBtY8HFaEKNz1/P+933LvaoPaBl81lQ9nwupBvDi4keqsIZvvFrFlGyKLx2rQ37p00V714WljXjOE5Yt4DP2FDxXtJ0MuBtuJJOByHtOuGNxez8Vf9gM6GE3yzVC4DADPckq3W98yvyuQWOF++HT2eXktlj3v7zYyOz/fn7VHIQwZQsFiLS/xyRE3a092wGj6U/uKjelxF/G0NA/8NZgYI2oWYvdu9exY0ngeY3SvC3GMjirnm5l19XrYErYudoNcjLaLqTS9aqVbaDwUq+gAQ2R/crOLZP2frgJxAlkLuIcsyS726Ht3opgG1+NQk1qcYlMba5P7c/SmnajW/wHKCB9QbLzzm6P6ecxEdpPT4QedN+w2fpC3Xr1RAIcj9yvsqNGZO5SNn6gYKNUh91DRp0WdG2Gs8jxbaz730Srwqw94QUjhHR0VDr6T6K6dlyn2JBmaxAMu2BX+pUm29YqhB4ajHl1mIFffKVQCFAQIzidlw89reBj0FJ4aAC6S77KtG1yo8Lm8nzXU07+nxHvwFZ75d5zxd2NWNyx359Sfw5Ullaf+Vugi4UhdNw7RKr0hZO+2RmRLf85c6/qBQ6LsrDOEtgxdrrmLkBfDZXo5HkPibvAI/WfGeACUIjf+HWfrZDve36gGep9nYl4FpbrXzf+ZDXgLqlZPwgk5RqupnGRVPD4DyQljdsio0ASS9+n2bcmHy5YrsseT5NiSzStPGWnRmV0S0GvEfvcZRKUfG2BctGkZ3FGQs67liDyGJJ+iuOvkELm6SqXKkd7IsQFt/MqTxwO34+yjwbCohElgEGMYUOJWLJB0JR8lR1nHqhN2gbJqny4ImdZBMh7Laqex8l3EFzGHnPlwUNUw3ZghNq0S1tWuOGcu/J8ENZgp8Yqfb6zrDvrFu4p2QJEl2VaDDk99Z6BTKjB9zYT+uVEP1xN0QxohSafSZ3gS7VuVB62UF49bKfLwnmUdd/2PiHgRoKhwnVAU+O9Bdc3O/D0S0EgrNuq2uvPSTtpI0sPxG21Ba26IQp9qkAKhIg8meiUFKLhSrwJKw/DdLOFdq+inSj4fP1tNll2vl4760s6TqA/wr3Rag6mbxKlagFUG/DEVLutpb2wU+ko9BNU95N6yQ+HZL+Km2S4ipSQ1sy4MBJiqorXfqiSkKYGxu8JC33pLDUfUYnV1ir3vzHGCgdAP/dhcPIfLyqg5J0YXZs1FgGK02e8EGkvb8G36brlaZWWqnjKdXh0aXHKyGiuHkbjNI3ZYsIDjFxw1icNBkTIZ1djaCj+TKg1hNqbypfcDjasoziXxYmU0y9gp9scN+jAWby62ph9OwszhnqO3zS9q+zoLG3Yy+YVwtxoLNZkQOf8wHBtqGyekU5qRpZpTyXDGZZ3gL1L3Mto25UrVxdJHglqNLsAr3PFSluw3xQEt07GsNLitANdpwaxYQIQIZ5t+EkJfGfq2V8bCoZfRDuDwNw96f9tbDPlQsF1LzXlnt97/yNY+mD1dZf+kcSRhwQuJx5VSoqU8L/m2c8wTaKTXQq08SjVgteP/KSnI9cGa18KpREAE+QdGXDm/3qHJPpE1zYRJOz+oJQr/+P2czQqw6orFqTDIpaphQUKY/mYHcjt6gsgJAmaBnmGgIDZFu8iplPsnK2UxM4cvM4eFd5updEImIWR1tZxQWnjIOf1LbtSo+uHqXbzfbZjaFrW54cIT/qbjQ6pgw+MtGmbkDadF+wPEcFaw/jf8mY6gY/hMrMTgqPk5rr2cIEU+CcARWjbS0EH0zcJpdFwK2g6qTraKkEa71eTCxq1WYqyVFS9jputOHWME/muvQpkl9vrUJq/ZFFyeyOJk0Kvu0q9pMGtsugDCOTZ9Rid1mHTektHx/gaC349Rap7yA3vXAkfSKY+1vxu3jViV5Jps8HMiTmYDARGUsaH0Qo4iS1emfUwECJ1MvTZRMssn3dlru01wdM6jSkwXSwE6khzEyAPEBrflDDcKEMlY7au9HGac3SMmdKJkKz7M1dNtyZu8R929HoaQGVUcNLCuOlWFndbo444pq2NrgUvjofn42rnguXYa0RBSGi15oIf1qPkY7PjLsfTnO7icnzNzBjUHGMl7WdWaVBlx0LBSgS1sYIRnldSy0mlIGByj87I4KeeUH8f8H9y7aP5LFXy7XNRNgxFrDWFu3V+6K4yL3KvdDNKahEMXs+b6m+NdZuxnmN6cPRBZZHuI4ehlgvB9y7Zmsm3xbQpbnBrj3TTBZzKtbu9QYAkIBYmgvZJf694W7WKYarvVDHAjiGsC+LpZ+xbDUeIOM7R6uMWs72KIXF2zpGRZ6eaLgo0ykr+cquW2ydTw9YLIVIuFHpRomABqtZHcXft4yS/9NizBdyvpui2v/nPe7HFZpzYd3jC8N7PDdjj6PFFbcF0MCO3DKXyPcp4ceuIEbSjLN+CmKPXjKBYQcs/A75smJ+qxqDsN5Ipfx4XkKla22a/+YqgyNFJepbumJTrrR4xCAhanIfWRXcSrTJMUxGq6OUnvR2cFDkJyUrVRgtsaVgYualOdz3wGa7+XhRSTLan6ABUfZ8qnyKKPidCeBSxa5EsEPKvIwdYHkkzPmqfgispBenhLgsfOwYpUDA4yeZVVtNtnkkVXYe4dVUWzal4p6jMfMiTFl/cjuFf7ffc3ipD7TynUew6IvPjK+LC8faGEdkEtix15hdgEEQJffAm5NTAdYu1fPyySwfPBxtzZyKQVstnkwzzDFm0Zm3aDP2XjkubOzzdM4o/r+1hj3BdGFD52C0qSV2AI2DUFe1LSEaEsioqqI4vxmEUnB1P4cTOq2yvZVbhjUWvYuTGpi8hQy90hJ5jfNUyY5fvLhN1NmoSk7O6OMRydA4ZLwp8zkMXEyBD0K1FkOUsmgoJd/oOJhA4chx8PsL+U/KNw2IgDiPaixoWmvitrkZQE4ZHMZR2zVy0vJVqspGSVXCS9owGe6hbcPnDYuBxw2wa1QAWW1bIQLdGnaBEmr2mtJI3hmdRph277knCk+/GrlDrYtaKrzB3KeXtU0Ak79TEPyTdMkbKB0az1RIibYwBClCKcW1h7/IwnT2XHXsCu47ZC48hqXhpZy5YxXMQYELLHjZSYlZOPALN/QlzAtYQv8fzPYj5eipMx/Fn5CcxmLZDvv9iliY4VZ8FAlw7l1UxcdzYNSgsK/Kmwuxr+T6VkjAW6uBx2G3fZxpMXPl/l5IBl3MOz1rMmCy+TrZM0WDsiwdywhj3h8/6epA8eF841UyNFMmh8Pcdsbd/DAH6fWqMimATdENu4A/ae/PbDkP2u9DON6ZZI2edGPMX/2mELUpQnjAs1FsrVKvnKPL3EAMdOc2+YCbow7wpqus38JfLFaEs3GfFIeECBIsR4uO9oyNoVHF62PwwpsZrAaWsDvCo3d/Q0JALoF5UX64MPlwh/wXmtlg8+KfhPPL1jaH/3R6s3T6DdnDFh1GYjqSxun5JkTwTWXgmDp83blsWzn6zgrPBj+ZEebO3OLwyw99wDgHRdgVXK7+975F3bkd+kTPfN1soHCfeqDPysGXO8XBxwmm/L215M+8ot6BMse8fnFpVXis5vyu0cJI1/jp35LfDfmBMZ06LZx7cRzzCHpnGv7R/ibLrE3vZL1NVsThvmRJ/fFKr3vnk14fPZSraR5swquJfbWd5EaNK0SlbY4bDeWHKNy8MxWQTkvjNjDMcT6OqpEPCFyQVJTFXqiQjWpkBMG/vUv7bkxHufB9Tuyja49otX2KxIGJR1iWvAUrOQk8h/zfEm5D3iaRf1NKk6XKC6av0Uo2IHGIJMKP0RMrPhj0u5mTt/UCaB/zIItbhV1GD7y/8thpVUk2zQZuXvVpB40OICFVc39FIccU+rJ3nNTG21l3SqcKVca2pwNI94ak7l18KRBTHo8oED5sY1DMjsV4fdoJnbtn/9cie6kG7exf+DTuNurgsdROpFd5oj+X8WbgehBJK+ZZZbqF9WjvORqPWlVyBmWZ7Gik6AzSLb76MD0Q+ZyAJThay9+OMm0Uv0YloWiKqnthrQfgEu+VzD+lxP7Y7OyLTKOgATsClibNTI3JRJo8jrHqlw09U7+DpZv9+7yzZq2zo+fBsFqEsyDm5XGzuJOs3itOR6KbfCDrymZ0cER32CvwZerDjjkXbJ8vNcFGpo2pnxowpgH/py8afW7UZMQKPu8LM1sc9UesH4aOvnogONZlB1T7tE21j0e8lq6vMI0Gl81aX7kk+1/Xh8wl4OtQWrAgJVvxE4MP5f88EsyDgJ07/nDvljGLMgLZAU4DQG0FfPFczYpQRzH8QBC1z5GXmafSa91KlWobpISeKL0UBl7yAA/a5jLuZCWUyp3JpoxuiOH6BOcV02fSuQWBBdrpoVN0WuoiPya4EuClqAAdTar+iOK1VaLrWKp3wnXKNV3OVCYD0c9SUByDX3xF9BtMqNAfoSDEImVUJ/F1cvRpTw6OCmBAnacWdw1zJn/NnJM2NpfCA+j78ANPpQa4mNNPBbmnOUhto/fxBxGqGP6lDgFCsi9pGanaJP5qEwL3mEm0aPk7eh4n+d/CCjxFGfXU+WigbHvHlzz+qYiUobEuW0sIecL0tzduqDrRL9EjkOZIgHTrlqtOz/iOhYdNjWnRiG3alqJseUsNzEAyfDCv5l3t+8vwsc1E6RQ8DCeMezuLhsRLx17sEUKLd9Q0rWuFCymbPGmTMCEwXRTFOOOaD6VOuVAlYtMRo1bJv+UIGMxErfe7g5k+v7RaiFGQahQYjytlzGZMStXtrPgnH1dvL40TB+/4gFpQspXWoQTsiYjX2f6I9upPFcNBkFJp7x4llOlrlSLJh8w9AFCg+R6le6VUOll4PodG9Ic0LWapXppUTQvcv99mvEQVxnOsB+GMXAeGsHW2oJsSCXb4pbqOrngeb4OnQXQSUMf7NWRLOjRZyvTmpBHu4IauayiMJQaxfik0mErKpAfR4qWEeMT+zhDa3/9Wc41qkqu+9u77Doyh2EGu4QBOAXE7p0krSW8IfZFlSu+5a7hdfTPjannQmHQnkQeObGMhmAYKGcllxWmDhFdT+1CVSPL0gcqF8rM6KmYWxq+HLxUQwZJKd37tQjUuPqBHXf0LsEoVT18LpbYkHsCXqNyHqeR0/W4LP0ysaK6WOwGx/eId1L97FT8iNXFQg2db03E9JWxlkoQWl5x1p6trYBrbOgUEDQ15uWvM5FyLqALf+hsUVr8JbJaS7I3QZybsOLR/bpb5BEFuCLRUOi7lZMDG5XRxDcPH4rDgPCj2Fya3QZGUlU/iD13glyguLDaFI04/kZDNxdDrwAASQuaU1+2aesnHpSYlEg7BCPt/e+CyBnXBT6vjLiOSecJ+1OaMRv2KeUmnwGYtb42XSjzCg5qxNN+h2UHClwqsMwcuguHeTbKEAvGB8uh1scPIEJwqyHhU42TFUbXC0SwqdtuRjJvyXb29FDwU+MWGPUoxSVpYcZ6tElx3Ledb8bPaig0Muqj+oCXpgTr70gCCnT9gUDQlbJ6De7vGOemmLaRoSoKT8OLqEUTlrDSKlUgWnXqbUI67zS2IABiVdw031Ni2tdiumJGi1Jjix+E+tVjSF9H16Qr9nrziQ1C2CYG6bCa7ZAeuoAQx+d8A7PXmPcDaIyOzJi8oxXe3sbv1zrhcC3nAs9Fx4O9rWCV9A4TK836MJyK4jayky60e2H3NHQ3pu91HsZSaEbxDJg7FquX+SOxql+pqD9vvwYeZgL5OWrDAsp3zwtuDiBOGLyRAao1x74CR1aLFtMkxd6aQ+/Mna4Bm8KabdndeW5bLRav7OD2t1PNGHoT4xnMBMdkP+d1/ZmzswVZaKIcB1yLu6wwyVoPlqFXXaXQx77M+yCYs2f3DjTr1E2QC82Vpolg9Ld4I0s9ia2VH8eh9l7WWn1624MXe2DghsaurCVkWbKEvOvUTX44TboZDwt6wEtjTFrWjBLSievhgEuD9glI2BKBKMY8uNI5FqalniEy1yNoxeqVQrJxFhI2apibhh6MfCOTnvpKl7hUaIMi5e9YjIG/CiQ/dj9tJkTUwT+fJ3hLFTSaiXfP9qScfcIwpRE59KkTCWXFjM9yDNm2ygmNViPiFQuW9vRrXcL2Rk2YSvSBlP6oqxaY/43l/8iiNRaiaLavJsLlCb/x7s/Z8PjThfRkcGPpBG9KaqLrSNPk0MF7YBaybiCzzpeEIjLE4f8aqyhyWQbkAmlyfMfDifg7l7s2CJBFgrXZfB+/lAnituET8Mlsdn9/a/5sMP4znrR44W2riKvJIYlZIRKz3ockib7MLwv4CAgtQ1a5RcVC0W3ZN1ar9SV9LflJ1xSiZT1SKbe1SN4ZqeYmCaGty9l65RDY8lS74YhCPm12+PLlmbgZPPZ0f8LjvjjPWoy47+IEkTXOxzgCNKPzV1qy7GstTW+ES4qzPpJnVqLx5v/m7xq3FmT+MFKWVztAGC3b+StrN9mDOQ0czsJnHnbBJQ1nVacX0j5qVs/siOTLF6HPk44SoqpQ9TPWNRjGo4uS6bHuiUTZXty20G/gYzhHbrgKO2U2SkOYt14obVPflchdckSpoCSG5ZY5Na714a5VDWMOrwmbeXZD6qE6SK+bCEUh6b7uCAqDj+BD0a/QM7Ap6AROERr+u/FoQTBVIE8G36UiY7Schkvc5xRrYywzUpnAGEtJiyVRzitiN3BX95iHPN0zuFoYzasZzSESTssscn033golfQTR5RFEZcmjvv7VFpOvdOcYsiwmZIAeTXfCWmBYQpOMkwIc1SJcLIuL9fMVLrihtllUqpkQr/2KgCAi55qIUQDqP/UP7sRcwhQeTyfQFoijiJphDp7TwlyfTg/5O9uoMmtmFlyoa4W5cXelFx29+GiAinH7a9zRStVCJMCtfFvlb13Ph1i+SRLSepIaD0zQc1nad3itXMgqkJj5Z8plaYXWtT064qVPjXNKW+slBKVZXm2dYLuKGHpeCQBjiSUfHTjoS88mOf6ikDBw0FyfQgIvkcVaxk0sLywJbu2LSNv8mCeNox/Im1LInHITTtsge7G4UUg/2PLm++h6DD5RJsUQYdAKrCNthqzG6Wkjp3eKlPcIcliwsbQclXKIpb4ll43BoAAU/2PFbzf0BT0c21kr9Avc7Wr4xNHf5nJaGfadDAH6QQBwPaO3LksH3HJ04w5qBatKMG0mL61S7fmtNyI99ZC8yrniWGoQdCrhxsbvwBTSzy7qK3qcCY4AhjxqSXTVqx/WeRRKQUCqw4s18bnivbkc3y5iAVsdBFbs6x/ZRjQ79bcPP9stu8fDvOGEAx3fCPPH6G61pwZyQGK7ySVRS4fJHhNq4YDFQdDbHjcmiG6OAnziCw2uMVgfwnKRt0BABQCduflNyEIYq7SRNxxChQVmnXhKgDMGIYG3B4/Xz21XVA9VO+QhezqudJOdAXk375QSqBRlkpMVZaps3tshzntTYwUv6UcNYTpKc+UNEdeO5iSdRifWSPBs0GfavyWGfOPUbuYVVw0kbDDPSP7WLBrehnp1Z0i193vHfGgpzZmLAVSKo+0FtBiYHJBISCKmTQ4tlBHczXr0JVhW5aR/NOy55zOPzL3Z1MZLuI/M3ffm12i9xBIx+WbDroEZ0P60ZLYQhv1uZEEiwi0eUg/V9beK6KLZv82qYhi0FtCQ+eoo5/yczr7xxzPPPjFk1us2fCtXpY9/Tw827AhWTcJ5Wd4CH9wOrEutYz4DVupzc3RBJW4g2+PZt2eWmT9uGi1Z2lxFGabnXne8Q6UliExNrDlzDMv9qB3zmz9H6WLtd/bZMgPZHE5jmWPwwSXVoMrFq2spLVMwuNJ81Yl5waScRggbqTkPFkUm9+Uzkj3flQC0DxNQhEzvNrEsX/EtdHsn1ifa7pQW+T2N0xJPsb4g/NQqA3/2vpSL2DUVe3qrm3Dbs0eWaMzm//3xnlUcXQl4mnbR9OSO+PrijIrzeJBORoz1Fy9lAkeY0jhBCRDZiQgnKnsCxGarK2zZxvFyaUbMhbulVwrbT1AUkaofls9QhJLR7I87b+fm/2do0/BJyXZgy5AQKKTbeuPD4LLs/NgUpf+JYHKA+q1cFocgfEEDHPDnADyrIHeIHXzG2yyXCBvUr7WX5RtfGOx0U1jE4gdcz7hoky2/bFiISJU6sG0EGD172STGqNTYMOP+uhqm+Qbeo2GAxTs6ABdivLluhDUqR/q6fdSLVnSo7LN911b+jxueTJb3STXC3arDvj4eOOFr2jWCyzdXaXaJtLWqlMw0LAymhG0uEDs2qfUPMYLxw7FpnW+2bfhpVHZDjmGxUO1glmQw3VYAUgr6zbWoURkMLpdRn8hyfc+Pn2aXN9pjsegSSSNiIRHFug+sSVIA1DEAVl8u+j5SbvGBSaER7BajkRG3h7XeK5Bf3+DVLdYEKyH2r9dE/GzqcHDAnCI2uODcZVsJQ5XyUa8SHYmXTd/H7Qnz7gDVxVu+yTC97ZerR37J6OcnZXNU8Q9ltiBTwMtjTT/XcWjJiYbAguTVL0kZa9OIEhN6wKg5coT56/dc4VeKYmPBARGahaghxFRxmjYnsTksD5PqkPn07j7FWIA1pp44suuSpKTgSOT11WKAFRRg8f3UpLhYXppjM9xi1EfpXvTc9DZoS3cqlMWqgFBl2G/4OZapYqfJKAFBzzELrSy+QC7wRhgS5ktSmcLB7JULfDasuAxAoS6hz4MsosHIpzzBOGsb+csg4JZd0uXmJwEmT7whiiO4U6Qai0TS4yqmaUICDP8mifSo8VvWCd1RIkhfPRX9X0LmVVJEh0Jpji5Owqe9qTplH5In9tM6haVzVNatTYtrFCoIGUeGGIRR+08WKuI8ZAgiEF4NV9EH4XaxyZ4PNnZ5gnSJ4lFawzZzN3J9JIoJD01/6B6zMhuEeEBswiMUC2+2TZepwLbrn22znCzczZyH2Y29W0jay98q+HUT627k+nhEFBFrfCamiB7CDcE7RCIujX5AGlttPJZF5rDXEXoUvzsUpRJF2fDi5Bc63qSViTSOt6lyJLX005lAuwvugncy5SjJWLvlviRQhNyZ2LXQvz2J+ylkJoLONGe4IpCHOX+uyVYPl3oUXZi5y7z9C+XD7TZN1tAmBwvMUrwccbAKCd9Umy8pfniMM04TJ53A22xenO3O00kg0acGqD1e92RiOR8+8vt+MOT+F3+kd0aatQVrBmHAvAi938kpJTbuxqBdOZND7dvMynxWRqPImKJXc+i7C+6rPb7CgfQa+3R0aq+1kRMp/2IE0tiHmyyd+jD02hBATI8idQiRQBjNsSg0yKB/uG6JKMyH6EWczZ+8AFfJODm5bnTpOZp/fvVfLp0ogqFG6Qorp/8Hdf+vXKqzNf6D+2eQSsya6W9ih6EUnPoBRjfGpoB/SWTNqmSsvVrMKBJ/VDwUEEbGox5TtMGSY1qquSofiWiZT+PXOlg1TDrKZNXMEiBA4/FPDnPzRJKiKf6hWRuXZ2x7cNMw0iy4kHiXjgkZ2hnk8iu+G3+12B/7x+IrOO7CcmziDoOPmwqj4ytDD9RaEJk87x0qKfKIvbbpIqJGcPI4oPrccyxX2VKIc8JCmcEdew2tD/tvgI/sintcnoslXsWmnncrPPi6MmZZm7RAo6zZlP1wtRdhYByqWX+zw8Rv5jOZaPRmlEirxa3rcmu2KOlPcIwylZG0MfXYJ2LBdQz+vg+/z/Qu3gAclpZh9J3f8sE9f0SnlLczgYU0Vypk2KGIP2HA8jlvygE04scnp6Y19dMfHgehy4bp+2TDyEapJ/o8cRVt1o4RH2an2OlFhiazQ+PmcCZXjGeNWSi+j/Fk69zXokL8QTvmBpQmPhS6e0rc3yJiASETNT2WM/IO0JjskZLt+f6NdGJbnDaPzP9jwcVIrHBOz7wnmEADvYO7B/lY6tJMo9/sHQdQcmGHYRfz6t175VjiG8Na0uwfil9SzRDnG2gWVX3OlCeHE0M7E7pB1emTSYKH/rp7wc36EYlFheMyCwKZpD6EPqvITpB3VQBBXJRT3pH3jGrbHUksm/u+2OXRNSg3BkOljXKUprTI9sZdh7bWQPtF+6fEjIs9vv3KILqdb2qD35K9muQ3eQDgBW69/EY+kug3mJ3fgaDKYzwW718InSjsKFbp51KX86AW9k+vgaU9x6x9uAkQ4v9dr6/FAxSCoKZytsovXSlMMy5f0qpzx4E11oJgI0HfzLU8NRgV7HRqJ+Zz22CQIcw0ny1ex6GZybBHcuStyQL+Wa7ul1zdWmBRFsF772sgOAusBc4DI3qEjdgYPMQ22IyONSGS8K/MzrFapi49LkLp6UzDTBtkot2VMzrsKvjz/z5qqzHgWTuqKqoIpPec5fX3VwV5w041g1+dI+Q0UiWjYJbpswv6cKWndnErmueYSDYrDi8sfMilQuLkYkOATOiVx0hHLstYanbYzx9JBK4pBhbbGMVF1Xa+W8ZkunQCNdRHfPRMiLUgLWu6IONgy0G5GY4Qm7g8jViT7IX45X4kkKHZFH3BUXlJ/5tF0KGuGbBmNTrZVY4HTK0p4RbjR08NdP5SmZCrbu8drKrfBI+RrpvJaElo67MlIJ0eXiM0BqGoHgJ1+U5yMM2ZF2YHXsavHsf6YN8E8TXQ7oyvPCa7Oj14ryL62wdJHR34x+vA9ZWfR8YWMEOROMD/Ta+Q1BqzTJ024NicBmRXuMW+2dxfgh/nz1MkiAuqDqRzUfrIUZ+fiACMnNHNMsXKEvT35gCeKakJxvfIsVRbB0khJEMWjssNBllTaQtaBMnCmt6JAtWpxd06H21uOeVH1UHyWiDW4Lex6t5+tkzsq04ACmoy4bsrr6Ix8xl20GWXyfraOTjEJX/0IfPNvpFwn9jezvkDbz2Z/2a6XFxDlyUjiherCqcVdqIVaHR8sywLEKtYsi60dcijsQFlb5IOngcG728tgoFa2rLJBBaz82Lh/+yQ6l78+aWfMHEBgkuAR4JNSBrRQpxeosaoTqwtrTBDxfhFtjx4dX1rTbK9EqhZsWoxyZB9otghKSwsf9NwhKeezGU7d4ClT/0+TYZJMM9wyDEiF7moknbo/cizebtEMkLnhjkw7m7SYQE0Bwjv39k1RWulZ/pPpHihMLC40G+M+cxR+ZYUikBOCHAlHWXS9NYtPqWM5vrRjoPczCBu+3/zqLQAa/bMrqOj86hWNZghuIFCeUnJ8gAu7yKlhm40hQTPVA/HfQGJDa5RUrQ6Dv66h7JKxbeQoeq/X7nSFbQ4njBNpDdVyTVpwFl3aMUp2jtONibvCywhVIM2KxrSO/100TdQiMIFKNipY+aPSZ3NTl/9vx8a4Feff/jY+k775jxDyd25SgeHa6sHLXgvBeAhnqIRa/Dk9DSutAIH1xUEiI6sWNSHi+EmaajJSMypCsIA777vg06dWsipzzQeLGs+FaUhidA2fPNOA6QHfo+vSvv+k78kGY6OmtdMguw46eo3UqYJ+oJM+BY1sJ0fpB6xkZ+DS9IiuCJzty4RH/PkNRzvSlZr+LZ9qCK/liwxaNnA61How0teBw9x/NQmRsSCiY8N/ZBtaQlHBZpa3/bopff9w+ZjKQazeQTVAHABCZuxRbJ0Rwqf4Q5dw9PUelsflWDnFpkbHfAWM0neT9KnW/6GmjrfpLsdWF4lUljAFToWcHTSq++7bi74uT13FbSKgzhPs/6XuEyxA1rgZd/LQH+trf+hc38R6s/9n4Z8A1lXhhbsSotjPgElLUCwbR/RswKpW2FiWfMwRrQ1bNpmwhlrZGcNs2fXHGL/iRZa2SXyKe9ktZjD8TJ499TV4YHqUYjluUn/5DLJKeNqK8s+3nT229t6s5YC6wxBSbNLMOZR1hZ4GHwcYJc4x1Opgu1BYQMmeldXlWQb0DKD2hUGllqqlPH1c3iXdGi7pcSsNnfDpN+cUa+RbZtRKGhc41XPRsCR0BIbktwxxGOdjV3Wwq4s3Dk6AzLvZIJ1B2RduTekt/Hzn0BQ8Y7dHr+c+HlJvfcDohsSlH/vaAIoN6T3KrSabsYWlaBaSGRjZm+3ZQ+2f7i6HDnIcrWiWZ9M0w2UXiu/jm/n+o7As9G8GEyu1YOTMgcDHSNQXBVMqienfpC0qiEKt4XifDTj9/SmJg2F/IwIdSr5482hrLFaz5kwi2hs2e3RCvD5AqovNLMew+x0+0wMeUkiMx5yYsdvjYPT5/i+eeZWGlgrf0lIW/mvd/DdOLmvAXyxm9p++QvEe7OGcKTW2ZpL8/nOZmuCfGCCTVTZdSZMZbJ65tYHot+iGt9u7h/U/zAELVIDfVsxrrtqf3FFChkiiNvXxGQQbmfjuYbRTeky5VoR7MheUnezFNammpBaOa03NNv/Ijtht7WLkCpKlSP52BYyxFcqpGBgQllQqDphyZGPyN7ntlGR4cGGQnyNJvP+zjhMCUMvjYkLMoJ+hnGTeDHrW79Sg66XXqQi5JXae8fAVQs+OKoKVTercMD33XA3/nR4A1OCvUZtQPTxPh+ei7yFYmvnDAMU/hbvL5EBoECeX4FmQE0BJSAaq3dQFJw3sa0w/mCoDJO0jw3mZoqlXzt1ob1gFXBQT4desTy4g+c54DvDgfkiWpcOP42QNgpNEDaJQsbkI4K+XXEP5orCHk7/AuiIwUBX6QdLaabrlH+giAB+jfl2FvrUCe0Tk0omsef12EoQK/VNNUXZCR/gwBgAhHsRXZ61iWIYOz3gOGl14OEg7Zi19H7sdx+NSZzAzhVeiM3AM06nySDPpMr4xynvQjAQ64Me/kFkhVYE0iphAQVs2Ll/d0bh+HidLRI5cXdfYhZh3amuSkhLFvAKBkHdBVzJ32JIGkYrGYKgqtLIjQoHZ6kF1KS0zLavut+ChIM3W4R2MtcDX1hGMP8AZhX915pFSi1k+DFRxGLvMzAvCxBzE1YTVWmuf34E/C84YBnzuCsaG/Nfrk/G0l6JXGoJsW73qqE7nQJSsR8vVWXbfmFuIckHhDiT/0P/Zj47CROqIcwhmb8z2AF9E4RZrgqwhkoxJSp92gb+sBzcW34m8skCks7TnG3dl131HcqxEY8UsIK7y+Win4BfjwzHVpIk8fxA8mzDltoZeZF9ItmYDemlOJ+up0cUkxq/cGoQcRPplNUM/3JEEjR8tBE+6FJHwmwkX6kbwhoyQs6nwUbMDXvWM9fX0hIE+nyrYQWg0a3QMjQ9zzf1XjgOtcZh/rD5qcsp0mCJATpp3zvsmyc1lUxYEyq4AP/riFYULhwIsoVCVybxdsXAJbC31aPFSVGX9Yf2+bbqRY3hw1FwCmMa/IrS/RNHmtkyCRI5E/zAU7vBKESMrBye8MD2FonBXFGbEooDbY+vT1zZC9RW/7yGQabEjTaT4ZlK2Z1tOG7Nt47Ngve485yap0xO/fxwTiGRiVLU7zqFUbC7g7hKd+DxEbSpzjeStGGIolh0gpo3GrVpYkxufZrGiL+Oo5fVF1zuzj/GVKdrpmdDulbZbAN7EdWI+N7J1RtU39FxBd4YoSEbxirAxQ0sYwLEodP1BtOnNlnmMzGLoa4Ptu8FqusM27Xq9qogF5fYKHfSjlaw/VCTt021YVG7b0m7lEfrloWTMi5QPQXAC1XzXgBhe+tndE5YNp+YeCPi05G2eQEJJDaFuM7mR30rLJTJ4ebS6gwpdmoyzgqEN+Lrfx5BfXSlphfu0HAQhpO3G+j3s+A8p3nQ9osHf4QJMksPO/XTthTbYec9saxEV/na5hCF5CCC+1V4Wzgq1xHzKtunV3RsAOYnFd01LQqgANWY+6aAXjyX1oSSsqKJSYUrMo2ld6C2DrA0/hySUzlu2AMO2rrzHxpchJQbqSU3k6PmJ52DPdkZrRMjo6nnsv7B87ee9oBjwGn0Ss7GRfSXG3SvcbNm3z+doe29v8HjzIMUy1f6TfDL2b4cID8W25pNwEMRkN1zBWWA60K1g6beAEpa3kBq/85oh7G587+IhaVZAE0nff+bDIiB3V4qp3LGFS/sNoPcPZAGB4uMMIj8bRSOW00DGoP8lXISVyX9JGInqnRrI26XdDzSkcfwr18WTBR+TKYdrePNnVZwUS8ClDARWFfVLAWv07fzwiO53VMfE9JBuACea3yPkZ9bUQD2SFLnxRXH4G4+pkReu5iK2lcJgB2z1Y58dEGA96it54sFtMXr5KC4WftBSGHzVqei05imKpXZiSscspYwbV3RNfyAvPucG0KvY2PVh6PhqFH4UWJkNxakhCk+SG7ZHP7a40wd5WtVAHEeN+ylzA3gu+zgv5q++aWsvsBzGB1rLq5MMorieCU4OOjy+dIOi7Tw+U6nb+FPwyGYu9R557931ZvT40I6s22o+1CSutPLmm/koWMAlFS8ntgoNKeY6KfNMruICRCj1kUe0pwLcujP2nEnX4XSl1ZjaxLwRG7eVjH9KkvT4eqQW42k5g8bZ5UUORun8WvFAQ1Bcgp9TUJNQ+eRoyKDEsxgnjYoWlQxf1PImXDhq1Cmr2eJFSs9GZ8JdZCxo+t3pCZfkTzo+jhLjcGPuTXIQ+onGfBmXGeunf2Hjew2bHwG1Chk4nf6vjgEZD0z/80/5mNUlwMoI3K8K95KHoDcQK4qp+D5VkqNrotiTrs0FbsoSCV7m4EdxC4Kd4CladRxbmJ1u4ma+3VUloKFZYmpgJn/Mz/P3f14070Jh7k2CpiVpUzrB/qwXf5BDU8hd85xe4EJM9dN0989U6tK7AH5m2gGUkgr+/XNYtQ2IJn3Szpcard43eLslXkJ2rkMcxzWQbhB0dgPFv+57CMcXUuLHMrXHkZM5ydqivWXZU85paf0s7AqKW0N2LsHgALTdJ/3e40oORhbutF9C5fcmSokrOl6wM5h+fF8MaAV0/DAzActn55Y/m1XFvEAiUp5Y8k9+DSUJKIcjF3S+kKEiVLpEc/KlrzSvhS7geHt/YjJ2m7oI9dW2HFFJ4GVq4oLPXGIURATHHOcmPOER8oWK3O392k/pI1rrwYp8woGcRNHwxGqd/fEj+azWuabpRDD5TvY/7nxVrKFesIwklKzS39d5w8yoH4/WGV2VztFSM+/DDNXNkMOT5Sjnh2e/tgR7V928bU3s9qHsV49r7oLx6OoGfXgR9hPqMd24Q6kM3K1GlrsaWFzaSDZGKWMyMPxG/4EsqQfQ3MPnvURWjbUNOtJ6yxCD8mPw8gSXMr9X06/sA89+9FamGSknvt6y73jlinaH8V3JajSPaBdetxu0FjXdXkiu7WRmKZtAO+AduHLuEHCm/2q36aTrCtmQ/cUKxFQ3CxBU4MjO3UwSU7UvkWS1qaYtUhv2MxaxPU3GMLCluEmDkmDjRYVGHjhVf2LnXf2CC1mnfe/dxcFVFbn+BrzDf+C7OzQrzB3OyUDUfxaMg9sAL7qfMHhJV1d4n/sgPyC5BDSFLqMLAAsAwYKhqBmwH/TgM4gulSHT3WJxUkvdwtbTY556RknV90li40DUnJ2II2BxWGHBHxMp2r/7i3xvpsvqX6sse2/V/Tk+10JVwIKvJtTOb8dxPz0BETAfDLOVJ8ZnVd5zBEaWoIDzyZ6q6YYnANYbN0kBdiKGNIYJpQxHt+SP8ZWdkfw0v3x6p0q1khEELfvIuLBy0tRzEbb/wss/+5N6w4zbfgKdAe14LtN12X1oZCoioUAqebD3evkRPLVFq+aw1fmP2EsnsiMl/O4OIHpmSFOlBgNObAVluKRUXXF+0XVhQNTuMxVHaF851h8pmgVSMnCVXl1otAy6J0jRJreEIt7WJp3EkoUYoM4IdfqKREiiI4HT0dKTvo2UOULejpZdOyVs04bMySw1WOAaVoe7UYYIrn5reNomTU/Dj38yACJ7wxOzCR6p/7v91cLflQ7wmUh0AgYu2aeywEMbc//2W9UEElIXc6s4wuvi6T2B5Cx/kMblsFRN2FLxhKwe0rqoSIrv/Rzdi4+z6Gp0l62wWqEUgbeDH7XGlHbYbNny4Z8yuEiAPM8qgN4PmExcYXs8dFer8eZOxaXupe4aHrp1tcIXGbEmEsJVm2HJb2uUPFeLcDyPfXqzs38Y5SMvdn9ZaGbaw1mVx5cQJvpL0Mt2nn1/13HhjFhpKMFiKc/PnfB4f/4aVQMHabJEESwgMNedVKb3XvrdBFfTHcfAld1ZFg7a1IimC7tYl2x1ZscehcR401VLWfGEc+e3+M74rBOckRA8Mtd+AltSyQ7hqHWo5wuHcZS4lvWIYFZAVCVNcCUElJPno7FdvDxsChAT5H4akQnsaioricMLDjwck/A01E3E0EEo09TDLKLTjlJ0J+PLsV2p/8BpYFiz0VqZ2dTwRw9jc/RYREDsQdh9JnrrQ1kC54HWe01HI+B5aOjIlrJaXLQNktvZwCprh4zpyhQNqTQComqmpuouduJuixfWk7sVS1WOFxXdi5vD0dJCtyao6hldM+faFX0F4L+y+dMKTGLovQvYKJxvH503kM2ZpMbr2HaEejynWa9qvcO/MGj868c1XKJXAV1fPxabXESd+BUpVVfrhEsg1vfk+LKXsqKq02pEaunLhf+TlZgMBfFxO7DjfskrEnBig52jRR1t4U9y8v2M2FpniB6QSR2PojlgVyUpxQ/GOI4RvtXOhXdO6lNQ2a4ayXosNmSywq/6ElnrQKUce0m98I32EGb7/dpJY5+iSazDAIxrT1q+phe2zrpRvjB9KGNpHJKNtixPgN7uRYyoZ37oz0J33TfxPPn77lmS80Ru/pU5FPwuG7on+8lcb+RSeDgwlmldi3gfgfLgdrHxg314XYn3Wuq/cQwRTnbnxtgIX1tANv2mc0mn5Uig3P/Ol/xUiVicb3mELMi83HgWBwF2UwsE4Y4qWrBIe1FQBa4m68AitroSuG0pvFaLWbpwlXBAcCV8G9VDmdvj3BJGXVQRmLd/JBQW/fiGJvYZqsMmnqBdt1eVZHmdSxeuZ0HSYdCJ8o3SXhE0fqi8WeK+rST6zor6HJH1ueO1I7jJMp9wAH0zdDFEORVE1ulMEXFlT7TKUvlZg9IHatLVdJxugitWENwlz2623Z47OR9wpfmI3UAxFan5GdSxr4ESA2UZktY+ILZu7l2xU6gXrNZhm7o+1O6P/rtg2bQKyoxzOuCyMMgKU2dqIDGDa/yadto0HDH0KH6bB6Nq5BE6pLC0Tfd+i91IhNNqyWTKtsg5shRNwHg/Qm6IEMXoSJP8Pqq76VC/0iO/H4lapWO5oH6QjCdZWFURzxi5zTWkRvfeFLMNyl/ZEb9PpfHMweaf43IebkPHi//CkrpfiJ9992bJQA6y6VQrFpn3V2Cqnh2OUEiLrQAvhKNACJB86/6NzM6eGQy9LdBsEzXPnAUVZza/6ruf1F4zbHzrInzGofnvSzoeiymu/J/80RLsdzTcq8zu4GKZ1pBuZRXDRXVQ9e9v9Q1oemTBFQJaiMmJf8hgww1CVHEZXm71ijbS5hGPZIinzOUIzHwOtPPssOFaaG7qJewtAoDnblEacf0nYgO70jHSf82D8MbTAfQikFcppB2JmNupWNndxvxP93s9DB3wfRottOZrOkQjLi42MeSL7p6w+EmA15+v3glCk08DbX3KcKBPO2eywxkbEcAFRy8a9C6YIeU9Q4VNlqIZ7fALiusmPu3oMt4Ty1sGESEsWhJFPbbDp4D2QZl6NDEMfzCpRl+/CnzsK652PXI1exubvJpBhobT8Baj+w6rVtZBsLYexuVKStcNH4JtWGwguXyTM2hmIh2d763zdPCqrSR8SSaBve8sitdjebRS2PzxGR1KBOkCXFfTWrNofP2SE8fEh68Zj14xQ/cr9N/F+qt+owV6pGuja3V6AlPqikhzRVsBAnQS2NEVQQWrNW5IDmtZnxGrarEEtidVYZQHZKpBbP+DdRJO3ylWi7GlTeYDvWJsM9mnt9TNwApOxIGj6S8QyydMARCX0PIB8dLxkbn5qjVZgbm/95Lmmk6ZDfJNSGHKjGaEPcGbNjSb8Quq77iy5XT3eCh3OA3WTBRCHpQBnpUt1jqouCa0SwZr99jfKqP2ObXyyoAdjIZJRRPUFqBJ3SDQR6Ehf8zz9NwBgwhzWHRd7o8ABWmaSymWuiRYTs9C3E4wlbQStQbyxRQMFhydU+cn33rSr8SI9gz7FEBOoB/hjhJiJj9OjheMHP7kzOkg8xoknBIO5AorgjiFblqJ3ir70YsTRC9LyyCb4IY7o8476NwVa44Rtm32IV+yBIkIR5dhCUP4DRasyoALvckGwHZy6M9hhfnrbnmwqSBVTwGNv/naAldAeUSQJEVj9R7oePhKfkF+055QUUQ0D1/rXEiacGZCSrtzfZztTbkO88CcreI6rELLpUlTRxCCHen8b+DHUwbTK31HMjKG5tjwtTQc3mtNGMjXz1ttmSnfGQvsVyvxzMBZ92RtvnWT53ycrU8fF+UGCZyL9dnlsRrskVUN/tr6V007n7agHi9zdfSsYMggb9LKept/1xjlDTG89yFd1SmYGLZlU54Kw6ezei4b1J4PYm/loyBdarKLvMxjt1ENPReeN5rfjwx8J9waIrNsAcNIsba3uh/tj4cbl7DdOzUzvjbL40McfRX75WPMg5Qq11lUz3A7yMoTe1ATznTeDe3b/seq4EWlIc6npo5Z2kXTm1E9OgYvtD1tSLIcyOkHc6H+0pZXHM5ivgzgtUsuPyeWmti+J++hpaO3uEXyEgYsqw1e/cg+MBMHPpTHcsLHaRKX9NYouhy7BHyB/hPn2T6umunXtA4xl2iIxh67TVoe0KXAUTg4Lmr698JX45qaqGCIjEH72YgM3xEYGYAE2txBpK0GSSFx+yyxkDOAllqii1gwzTc00Gak7YNlU1yJb87UhL9mWL+SZrsQ07Fc5SD08nC/VoEt/Uhyk8UX1T29V0Y4wNiPSRlXjUGV/+0JBuFEZRYgnqXVbSO26LW9uFn5x2Q3OXjW874qEnvT6rQgEDtd6wjCAv/XCxsZO5UyQO4p5VutjPJ9VsjwV0LswVqpc8jINux2j4kGm7RSUS/LFg2OqjlelN0qq2xO4QF+CvrbmboxLxjGaIdcumEFNxUxv+aNU3/3exIGNGwSNFXP34MxkY9zjkA6iksELTGmd/yVRztp0BsUOJUODFyFUGqIYei/lmMnOhz08jsu+b6uVYC3qYsQ97UZ2BLUceCjlbBGoE28+i6tUiFCYiZNvdwMme6G3RNq6x0C5pHhL69etqzfTd6L06YpOhi/xQ5qx5gWLJbHFpS7xN3F4+fk668JcmmAWfG0Oxa/VMRdJ1+WckXvjVEq8h3yFPC9AdUro9+q7cJXkcR8r7Ss85UMR9K9uBrj18KU2PwQROOucWngYYgWj6gyPY0YAitx22oYoEZ3py63J6PuO8647wdVvTuZj1tHbihE7CDhoF1DhqeUFp+sZiZN1mEHUNZl8vpHDl4t+cL6OesNL0NHFWESSiZ5p3/rDS0QHjiC5YlPoZhC9YKIbb9kQYPrdyoZzDzcFx+xmX0mQz0xlZcDEgW2IEcnM5/qXKTSQVb+SdMUUAWkCrgGN8Etl579yvhumRM/tNocYFmjcISqpkJylZykUBliUPMytMW/U3ekVIItDDnpJv+DyBWe48or7hQA6VyN2AW954fHyvAXbKRGGyA4MAS/bgNYboGbvx953dOvljDYG9ZHKUSNnNvlK1WIB6qKrCAPrIJta43dlT22p6yeSVboQHB3GFu9+K3oVkPWQydkGC5QQqp1Q8HBtwGveWjjKybs7ZxXPqJWX0Jc0EMa6LMVBlYWWUFVuU9DeGDbDkkT9TZCzPjC/BKDnZVqKQz3szNdayugXoz11LZuZI0amwZ3ovy1hCIL3U7OBcOKN91WTPR/09K+L0Qwqs+3bv0QGeFGLkmM85Fjp5tFAnvZtYzaT8504stgc4kNsPrmHJxMdMCwmnHqj28uCxem+snOwwR6L5JKC5MLWop+W+ABtl1KI/hjjnpbvakld/wwxooajdmGoAeKk/Wv7ukJv7LWRaAHN6M18QjJprWhYG3Ju018WhqUkvDc230gRjIsOAx74ej3D2wPDnVNLs5L6aqfmOsJ3R2phO2QH/UZ4knri0BT9UzYt7b3YbdgMXyBigb9BxncTbfCGahgcsBUbsBR61y+2MopGkwcZtH6qcV1eGV2KG7F1lxKoCwLQJDSdAmvSZBmUOk6XjNIbSjpiyyhDSnetnICQ2BhX4rMQhZmJN6mw9Xpy/VjSulTwBXc09a92R+UoFRnPWFgicjs7EejOBd5sbKJ0xV/LP42zJcoy/FWWGFIeOR1OY+0JtJ29na8an7bXkkE6PYSgSkMG58GTRKkf/nSENLc2JJkGp+e2EN7GQS7dyVL35fNw05lpxhPiFGLCNCj+PEXzj+1UD0h2uHngC29flqJpn9Y1BrabhzCrQsH07FmkbR3zz16MBS2blabujEtDVCzb+zFvMDecWHZD1I+PA+QoRc5DRUc5NxavDCZiAaagLjgxDlm6Hiu/AeOfmPKfjAm1XOfCi67dxTFKz+KxYdURPPK/i7ysCU38qJOEIZHhg8XEBnRvKZrzlxMpymycp3OaSodhrh8ya6Y2emrdqpYqUS2neX3jgVZfmkWYKrCUk4jW3hAcGn/3+kEGWp00bbh/zfS66nUZch6ySr5sL26POvyKYGtijnW0SaRBUv6hoXnhFcq1HSwDpAtSjXT8Kn+Qw4LuonsVsxpPGxCyUl0GNJIgr2ENyaOmNJ7oGxXfdCWf8l2U6Uhw+QNA5bycqpzFZm74aLHO8JtDmd20sBQFjNMcYUH2CISPTxnOAN6aW6O7iYtso0u0qvYiJdx5u4gYuRRzOMzaFjYYc0N5o1YjZuxTMzDH/Ak5IDDT5brnylRUM1duthlXunASVG14mzn2kn4FVPnB0/uYjQ13CTi9D4HNXQaLxd3giw/yTWqWNEkBQEiToPK7wSFuUO4170arcpESkNBo5WjQBhQuL4KWf5GCqdIF0VHU7R4pHcYLn8krFiJitrMThykESI+U9gg045pM07SNXgt9CE+NhINngylKSG8DLIg4HKDAo5g1DEph9AJvakDbI9Zqoz74cEdRNiFz7qsY4KNlM5KuqnpUyDJm0YFPAiIh/rsYfURbdIAegIYpEIoCZ5zYStV9bmck2uAYzew+pShe9mOJPgYFs3DOoO0CdkpxA13SRHi5l1iRqrw7VX3XSJElYZuq0SZltwlRWsJZZErBDUf+5kAG</x:t>
  </x:si>
  <x:si>
    <x:t>BKZsVkBjJ58Diu7DOWiPORKzq4xE8XAEsfPT4A+ndsKVmf6JtkBL1gjLewceFzDFl+8Kuxnuyq/z6hsSm3wmpHoNNyiObHySprqWdPQ95fz5g51wb1DHDWcBhfl/YrknVZE8vj4PvafNEzv+LJ+ik/huHganP9EFRwZGygvOCMpbS0TRi+nr/dLPjf4t2ytSzpWRkEyFCREwadz3BN7Ph/ueiBinhndKh+Z6DOLGoY7AdXdmVTp01PLNNambRsiodK71ix3kiLsqNWovD0CwsB39Ht6hpMy5MsVOnlfSalfPnMmnGv1KEEbva9Ie2H/lIYraCIYYL1bzYQMiAUISdQN/sJelP4imU+sxarKQyydMy0H5un6V/3rvY4wz7WezRkyXxpbi1n6mT0lYQzkLZ13lLLX0gKU28hZ0k0tRJiP/rDU8rm29eh2850LNSBMpN3CMw+gYErgp9oND+Vg4+sAMPC1mV3UXUy0E6DiifXZqzoXnzhwCZjDRn0pDDwzJ/Kh5Z+Udp03YbZSiJe+2MkNzdsviYa5QW6IaSSFRyApBQiSvyy9UihkuInvd5e1PvecNGqw3q9CJMkHnuWbmjhQQlyBWqKdTKxCl3tfxjcJ1stoJIwRD2vTlBpvtSoZoY1qbfw152vEpQeYfEiwpAzXEgk8ZU9bes2geONfuVBCsr0YiVYt2qQsJxCXr7yDJKrWjUiIU8W3wtDszw4KpViMsFOdn7CbBN6g/LoDDZYenUlAST5NQzxWkJ8n8isCzO7xmIfIgd8aYfV6mgbXLiXHqHltKilENHKN3/scO7AbgQz5fRnzzNgQROwFomnB96D1VzWgt6WuyxuH7Rk2ZMelohuYF1zC7h84VszD5xHR4Phv4+pNu2SILO+tlbSqNUkW44U6S/zRDTWIK3edbYmBxS615A8JaafAMH9RygBXou85fyCTMIFijNpN7HaDtToK0OgiRCJrgzPjxJygAYz/wM2V3Bgj8m82/bfouuY6v2IwtWmT1FSgEK8kgTbE6B+DVcLIdwKM6erYy62kDEwWSkIj1KC4aUoX5yRuQEwFrTjVw+H/DGCFF+KxmEzw2ieQ7J0XUIQO8a+Ry/6fR1KbuRv7CF1zh1jZeo3ygX4LJPvvyXRbILyvO4Rx6FFpi4nyk6wYj4ox37NqBkEQ+0SGEAbAz26bleqLDd69410PG6G5TW0tBI+R/V4FsDuqNS5DrAYy4wtrId8oSskvPHCBV/tDPLf30+ht1CmfzP955KpxsTgLh0nGBDfGgqwNNUuYHNmheGc0YSzuFTKTmKDyUpixbNrFamRooVX7OxhqEYpDGnCi2DNJHTiPxq/PueNbapqTzX18wZJvCnuUM+hSjT4Bnzi0SaICRAqvV8vK2DkQqz315oVOQvN7CGzK8hqb+gpgUTPv4Sk1gqCnOQ7P8QSBuQJeguvANsHLqFdt+pFRnIJDHaIvd2J3lJOlxG8TckNSGlA3IImUQZm4Ub9eSzJ4tvYamILU/VqaOsC5h43YNkNQZBoVULW17xZoj4UoyP+ditpQwYJKuBmsSC7rK54cyh8UW8osBy+qmT7x/dgN0NkJMcMNSoRDKS4VMHRQ1NwmP7g7Ii5115gKVFB+X3VxMZG175LMRzpfsmoFeCwVaxVuRncKnT9NKl4/rFKRQZ+ZSVg/Y+gvjmd+/V2cKWmwEB7y9AmmnJxNXDOXg2h1xCShfsDEamdNyld60LcGy3RqguF0x1b6K5IDNSAw0PFTew7JD7RTh/1whDxjHpYizkR7pNthToVOqxyHkytcfNHK5o5mYNXEm4B+6quK8xAzHwb2FlWgJ8wVrpkAIrjH2lICI1n/9PrVyScnwlWAsiobd7rDb16DblBvSBl5Fo0CDd5GrBN/i28Y8XTz7f92Fm2oYCuiaJZYRmFWPhge11jrzN7I5E84ydMY1OiIGj8sRIzYM94AtZfEYEivUoaeqleYquvkLTU3xCs8/y/UzPW1c0o8o1lD3vLywBI6yV33YzmD2/X1Jl/KubS9LAy2iEiNh/iqVX+zafW+tOobRtNQVOKWZ+Mg3G8Mt0H/+glSKaFtBBEAn50e+wWY8xIosdb0Cmmla978SN5Fk4sSxmJZ/YRMfDadyhlgd5HUTe5uatfNhzCTeoT9pTeUbCf+ubXDirVIWHvz48WbEdvBX3S9gI5Rex6UnRQFceGxzr30fiCE2nxIeIPmkX6jgEyUZ1iv5ft+fo7Ko5mEqG9pL1c3aDb8G5Hzyg3optYoKwiHb2kMWSRQE+r1hC8lmz3tiBBLKHBCgZ3YEjfEyWoS46ZCU7xwVKsY1HdghuAo8/fgNENK6/lG7zI4eOFCOpOCRz6wangBorVW3Aqqsp9z8XUOThycKlnW3jhVY/tv/LJHseHtPDGuWVFX7Q3S5yjE94y3mkbw8tJXvD3B/gRaUoavhsrgDUFkYYHZbeLEIAZPnCQCTWMfvgyuaPS09izc9+k8XcS1hV2RPB/aHlD+kNhluVO8HUHWt/LOSEQNNYsndzchmpnkaZUK49SrKuasB0KgB9uuKLrQWZxvVLnFVZsEsCS+sfJmc+WHq8p1zN0EFNHyVQ0Gs5o9xGgEMgpEMZaR6pow936aW0E2Cc2nKOSX8OqzP5XbB5stg0iha7LcBWdpdZIX/Q1qLHs/1JRbN6/5kX9SovfSH6BQwupl4wEZV4ybbZJeE44VDh+NXvEVXBFygjqqaTwDm8x91E1Omlc2Fk6iZhWtLiW0Iben7iNWjx3nbRCYhQTBSAqStenMxVebRQN/ICN5WgGq87aY+rvqhih8ZCpvNuTqsRZR8/o4m8Z3PviuJ810uYKakjQ1xq18vJpaPngH9prejri3wo1g1owqK9489MFZuZsomh+SrrycJ0h0RrOMfxvLPj1ZFxsRgDPD3qWTItquB54khhSKT9jfNEnbBQ2bFHemttj8+VdUELELcRoEFHxime0DzX0C0wCZfvDg8XPRSLg+E6LdQ/v7ETyvs1xDE6axmRk5dD8NlAWaSsq2atf8Wfn9LkLO3U9yDeb0GOFo/4t/KuwJad1BDeadQ0SF8Sw9B/OlHi0RwjILj5we3bGH6T9IZ/A8IhSsZldmc+KoZD6xfVwa+rLAuAvNvIoU/N0gv2L0btP5Vrp/G4W61+oBoVNIhF8iyBDW/RVWOVHveGrKzN50MqsQ3cowJJ2gPXIy6QvS34NmimQ554O1bJMN8kxTCl/DSNGDCfJEtZa4ACKOwhsvH/Ls5KYK+Ny23G7mTxDJfon7RRmmc+roJO5td99SbFf5z/buqptZbK2I4L1ppTMDqF+2ATF+sjBGlu1iO9oLLsrc6FF/c4G0vo+qaktTdfucNaTZhVDLUszLgYY0CAR5NEqepDibp2mTUZPd3eEjpfqKD3Nq63pdCUUvHnF5Kgw12u2/bu2XQl4dFEiJkNoaIEspOrSiL0QqgY8pM5+DDBLd+eF+MDwlFxXBf0BQ/5u0I0kXmxAuqLSQvhoXokK1j0HeVSH16lfngsuvo0l4FsTs05hOCruY5IIr7iTauyuQ2b6vYXyB1gTP4kEFDF1Fqn320pfb/reIE1mal4Wf3iGnnujJm2//iw4d0kV8iIO34irsaV47MpkyMVZHFkGaw7iWk4//2r/pve4Bmwlh4crlcBBuaW7QKKpkYMgn7iApnWq7wlh/EJakebI7NWXYMadTVcoIJCMzpAQwsPXuvkZbTk8HLYc3uA3q/N0/EthESFR6+qnGN/Dwy4BSCrmBij87ENFawQ9Kl9wzmtp99vWUwNVf4O/PqpeAKndAmf5d5ZYgPxrb47GrMCdkXGGTaeZVrCac7J4MPEohLPZaDBnglGSMMDTLFLpgIsYqsi45IONbEpPqjLJ/yAY5qw5sAlsSy8SQly7OcKkVY0uNLYB9gkdCb7M5UOJZdEKLqvXrXNrQrxOZ+ExIQ3ZNGIiKXgTebflf0p5HTosuTuTu6arxSAg33AaqGBoejuBNoSNHOT6VuYQ6NHNGJBhyXtMeQ3dKNfBa8a/MJ6d7z79nRlrdA9PjSkXJDyHZ6H3MWomgeNkvM3oa2APF4akmzWtFSHI2eA4mC0pZPvGIXO9y1YUdkXasYDLjy62LrxqNE87wPt2iZQGbcejBvv7jSMVAoYEZtKNwORc4GTWBWDsC1vYgPfRTKCHpllpSUqdYV5zm5Tf3nYV3dHRgFA/btfbGngEC+WyF1idoLjBZnM6GPPxEUZ9Bv7yzFxjb/q3W05gUThlC9Arau+6jAPCij1b8FqUhcCQJn8OGGNJ/1/rtmBDNm5frYN8qfcurxH3USI71ivf4Q9OA+GslLr2RWQbNubjy3x3BRJ6MZdqOs4/fChPd8pi9N8C0qU7lNwzYEWAShtonkNMtz++vH5NkuaeQfHrUDNNupJ7M5QqFzGJktNiUWjDFSAWSoZb1Lo/TC8P5u/U04kWpPhRz0ZlUlTyCiz7gSDahpEHV/v8HribQHOQjJx5vQf/OdlwDkwKaKH+uz0eC4eBlGOB7xAxHeYIwfgg6nCyD4HbYYT43iif6soPxK7HeBqWjsAAwh7wZhOw2LXkFOhX5b1GNbpXKon/OUCMM4pYCR0XUxpCzVxCrz0w84iU2jnlPMK3+xtbT4ywj18vGLUyqg+/MBOcdNlNOCbPLBy6XDrJSOwf7OTn6+fpdW8NsPtSmDyKnecawjxr0UKWwMI8JE74RjlkrNa8+Kt6xB70zH8UypUz+KnN2BTxuZdumMx0yxucmYzE8KP3eLpNRd6H5l7avjaonEMfi+4Oq5T5DYQbmYiJxctnYlJbSlivVfri+KAqhdyFjrOXxywuJ5toAdzJqQDLmiHHm88SN/irmSzQdKmXDvVIXf0fAq9EL786nRncRbc6zpYMPBwsGZQBYWK6U7ZzqxKlyljH5K1Bw65yx1f4b2WVAtvYuTe8lJPjxlOTtF34bJFInpfuAOdKWm7zQ13Mg9wwOuJM+Jqk9PxF0hQLd/ROstJxA1tMccuvKeY0w+s51fNjp8xA178CVosovkp7EVl1hjCbem/9s2xzZgAM2tZUbADmDU8PidZGX2z9VzYJPGKwD+cMCiAgNOkHWvtTvpK4BVg5DNAiqVDH2N4VhLl6gJSSzp8Isc6fjWayuyOiDZPWXSdsxaYvMSW1DVBGlHLfoOzKJUfNjOMgRQx3dMhMSarGC5vTf+RSWrb6JxJUyEXAhK71FvPMYak2g66DuOngFcJt3N/QQMdDPTRwUrhsehKOyChuiNc7Me2MYp/m7fsW7wVFOUuzoYS7/4U1yOi6CjwHnhxpcHeGQGeq61ze4zcb4AN4rtkIJ2eqw5mr4bbd7/R38EsQChd8AeFj/RhXPRVJTKclye3oFbfIF74/XxvaEA7XpMRSLSgQ7IVS7AQEqPxba+zEZSXdIyoujchesv5wMR0PLsrUQxCyuYw9bpG+ggfa8bdiMSrjdbNYWCrcFKb7RJf8IwuWMbJK0MoPb0ZbcziK0hgBRmLZ1B3mj18Pmt2CRXSt/cWZFqpR6566Ewt2iWJYsUyk7MbSFPU8fIQyeqt5mfpLDbG4QQAMPRm1SIqBI+N4+w2Ecz7tZ0pqylg76zc/XjZANY3BW4LB9P6S+b3VYtxRWPkM2BjYCTTyJ5mYHaggDBK3bx/pDyYkXiBavWDXNc507dujPvzWurtoiCJwWi+lfr8yR/G6RFdGt3CvH299GMc5QHk8kKCjA7y+hBYO6dMNYsKGRWFsz6j5hMDRXeEs7BWaO703Uyn+RSbks7ofENnBEMShPvAUAOyKiwqBXPFf618rqbTikgCOvUDA2vK7UdAMoznb6R19I7NBuVX8mYdwkwhUEv2GyfNLoWIvU1KOyKJDcy4EQJhi5dhmhnxLPrse1g9P1Iz1zbTNM/gYsBZxG3MpeQ7UeUgyEHhpNlFlWj6D0LbejEeYpmKGEHkmBj8dzubaAyuIrbPcCegfBUdtKFCcBLI0+gFPaL4eRQeQ+pNXHMSeDThg2TR1Gx788E+v3U6+EuVUAIOuwM4hGubGdNRzy8VgyI451WeHOnwTz3NM7djPtYzsxwP+ra3WyjMkacl65c1HdRQ0YaPLTrpg6WWGYC9R9NO+oD8fHFeA2kkey5+LA3gLgX0hvuR58RpJGK1Wxi2cmV5sPSzJOJ5Y5cqSR1QRcEHnEvPMebFqd4F1dUPGbv9x/oR8RdCtzD8aGBcntT5x2Jk+Hl+wAaRFleg0cxiOJ0iouxQRYmugQQZGitNt11ShSLQu5x7o7JyvKNTfFZY6ErOeuMGGfRVO/H6CkeHDPhRBrm6h+kah5SiNoWYvU+W1tRuczUUlm/1zXZ44LKFWQwkmi5F2P32Gf1BCUN9z35um7YOsE6otK2L7N+SZHo1xG9o22CIkzySJQX/Eze77ixv5Z5EkZhmSupw0oR/N3Qd66yM7Lbzww/PVvMUc4sd+reQ95AGk85/yTNANd/y+Imi6Rx3NDjw07b6TaH+iGXRB/4OQe6WrLioOdRZvYRPd7CNrq0VojWJadB2uquekrIVU3oV8FKBPXs+2wR3uFF+qud93Vvchm6v27UXYSxtw9m2o+hlGCe0qxeL5ijnWVjmyeV6pn+pP2wK0HGpkgzEoQTeC/1K2vST5AQlxcsgrIIm0RhJ9FsIsfZy6sM/+sb60pAoUSVwd3KLSS7bDCTAKXSAjSRYSom3LIc2uld46+SjG+XIURL896htbIM3hehvlEgAilCl7xMc7s92nmiNjk0w4L6QOjKX2LF49B5JLrCelHec1fRIw4dq13meZBaYKULzlFkdet/uSqVIfNoGIYk9wY7vDKk0+05Ihq73TLmW2MQ+rcuVZjm3AMlD73tefaW6hHOKOLUn2quwdvYPu13pQtpiuDoRVfG57O/IQydp1GBflcn1tH7A5Atl30f0u7d2dwiiUXBYPULeoGiqhi1my1dqORbNsnSYxhhKM8lII5Np/pcvUq82YIWwiaujnpX/EnBED+NhgWeXZK0Ywv8Mqbz/TuxP6CshaJFWjdzH7mQOucHN1RS+h1J4LXj2vrccRw3QpokJOlrqqvtAn+f0gd2tTIU+UAN6z8sjh5EQzyQZIzAYwET+xsbEuwPBROM0tEdyjUqB4z33bhYrTAFZlums9yU6sBJyCAABHvqN4ysItu2A+rSTIF0ht2XI7ZzykqVH34B6/t91KpRuG2VjNiC/ARu48IhnF3GNeFmVtcTEEF132I1wpKPFf/gK42upv6+R3AuiQX/bVvHI0IvWkfch0myQ15q9PpcqaE2Z47tpsUnrtTK/AkSk8YS7C7ZdwW6lBlbI87itg5NiNDv44dll07uerWGF5RlrMubJVM5nqRActz//WMkfdKFxgD/cRcwkCrcz5T1ESPn/WWYlLpkBtHVl0IFjuPNmp6RDvgT/CdOblFmYNSFs4fOa0rq4Nm7z+D/P4Fedspn2mkTfQd/4426J+acxwILXtH+5H94m99HYUdHZSxMugevAPPJyxp7+Bj8SKNPcteAYwzuTszgcTCv94UtbbXOKZmmhUHPYtf86YH4DoOhHDVcBFpHnPgEgg2IDmkGU47KS486/q3IgUvFPprG6Yov5zu1Sog5N8kknCuBA7WcJzsF0lE2K4Yq95UrN8xMD26I5M8bvV0UfzZdK7ORssM59/O4IbgmxwJR78H0lbx/0ZdIFJ9Al+1qoky7DLeUIGfCXZMBbZvCVEZkJdAxjflN7ECqRpc0eIUJm7LmEMlQ/5GEs9VRQ4aeUAKk6U7k4p//7jc69CdKd7D00SZPAhyLUoGh+7d6hPrqR9+Snsjwl+O4+3eNb3VhgEJpS4VJariC8RtUAtfUchleuQOZQIFkNZ36NXG4NgScNVWpZND5id8rBhlkFjTOvSiSbheya+k1AXgEAsUfMqoRiHBBbrR9DvXGpj24TeefZaXiWjeIkwu3ORujKyLLp7Drta5G1Ki1wGY5jp7RcmRJPvmX0baKMKULQ/mOkW4ZkgGzGYCepU8k+mvYsCE5lVlEvZ0FiPinHX/XJQGU4Ros0PI+vvIum6hWH8hjPPkZAAcdKcafwGjOzGQzLCGLFNIsOwuQn9b9z/3/BNj9m/VMR4YsYBO3GkNn+Rc3DDClaHhlXqj9XY5nTYFQ79yTyZQ1QnwuO8BPWnBVa/6Xm/7ChloprbRPYKDDlgC1nX2c4gVqUd5RJnMW29CbO1cpwOQ04YJnu15zCbIfD3y4R/clCdP/u96DIJC2QEz6rngHJVNXCfvCqqNHEkNHL45Rrenj6h1RG4QmAPlFFt6VnAHit+roowDFWaxyL46UgGPlo/sIUB9pFBVqXhO9swW//ygEezrY0pnEyHTUwwE0LKbaMvxlshh4pCfQH08hBvdAoYkLEGNAtI/g3wOLq6qE/j69h4hfYXcywtXg4+MibDIzEXGLXXHs4lA0HMEixWCHWcX9x+54IYueTn4iPKLOL8mvSO3EjWDlMlRSR5AZ7tM1EDBscsOOJObmQPWhUBKcbHvGEJpvKcZBC8yyOYoJED/Pz9ZnvD7k/0dXJ5ciqB3BJ3EmfL50vNtGRGAZ8/6+O0+Z1iuf2x18r05xX8wPi6fz8FZyOg3pelHdr5LMj2rxhg43ca+btAtdSXWyQhTiazid7gGZh95mVn1TfminfNwnGug05Q2PJUJavCDZSpGXLc0JQm54+U64BGep+m4bEvrrkSqTBOVk2NwGwi0V2TRjov8PXNpPw6TaEOqjalf107iWex2J0pEQkeAXmt0HB33cj3LlNWMj0x3pI/OKoiIlCmxQMrBdvdGQmRX5rwQRDcOzr1u3JYUgFNoIu+IrJqyDqz5+GdgT6xf0FbcSyQvHi7LZ6veKgWEAGjGu2n/q9wmYBLDRpbVhzXsvoEjcRCPg0G36L5pj2A2MMKKw0d0YtDzBV6JGJViIiEQoFYzOcJBThRrjbxdNLv2/DAaLEEhtf8yzZcI0LVuhFMUlPfKAzZv4OC152i+YvwaQ8qqLiuCmISpneHqnYBmxyFGobq6vhIVIksxi5tKkI5BfMRJkI5fz/942Aag9D+6Xm/W8aS7LjEGmF0e4mUw0LfRQ2zqmczjaLFEMcz42JYFb3W8p+wD6P/O4UnC8UhFygkw1sjeKhRvTFE12K659iYQxte7+wrvxFWjOzCCHmH7F7cyi4gTMLuoM/x93T27EMN7EJZlis8ervlAqSeN8SUUi5BwYucG7o3TMv9IlP7XzpIWV3zhpRZkGdzEyZfRuF7Bxv9qc+6azKoCr9nOv/aSdCz6BWpvuO0nTH05DfGVZ6xP2Htxw/DyY4+P5h6UkXxhDYweYI+EcFQFmpFP7CGXE5iH4R7kv+3kQrEm2hM2iKCLcBW9x++WCB/K6HBwlaQMIw0fLU6+Iolu3ek3O7UJ4QSe5PaFjdeeQVAdm89TSn81mUKHc2djQifMjl8Ftr2YPbxXwX8yjDjaCCl3DGtCA84XhJ1f4g5mto7h7afCYuYooltB5PpRHPNMWJBLA9tC5cYIaqRlSR/jwfVq8r9G1ERqe7ZbAcVD4gzD1Sf+clQzd2KZIGBLzb/WdGYvtGlhdkRyoVHAHN0sTiigZbtO/p2zrobfTLgJIzu4ea9r8vJC8gHf1CvXlJB9N6xssU1KXUYW4aJugX5tHPNwAryutaMqFssT1HbeNkExIaCK5O5WX2iiGipMp9x6yWsJRTH9/Q0+z4t5UrS39wEKwedKHb4iPurT4FXAGlYWHSZA0xMGSqz/NSFmhe62kBd2O8vJ4pG7L7kbV5haEFkMFki5YZ9PzDZZ4UiPsCbvcrMzoGMcOCiBPLOs503sR25RlHkXZaoF+JY78wqJqAcAG+c3T2YK+iXsOqdznk9QK36ogXGViEsNKHFjyx18/7xB8jDRyWfOW3Yw8DVHoju9Hecy1/6C/PB1gvVdzLmv5vDHM6rqaqwHfYMp0p01/fph6zEOVYKIbAar5iDAQZ/CtAUDfr3gS0LIQUpjFo9H+Di/q5J+hE4NLtbeCRpwPhndl+A2ogouNzGRkiyLsGwp1GLgAlhLYFG1tNANCkz2NEVnHQOrMb5JcKr929RUyK2bxkjwl27iPSTpDjN40qXOo1uAa66ORmncsnXSIHtld5pHiWw7ZcehkKP2pfoG9i7OTmjPGT+svcBbzdt/P2gldqR/WrWUxXsAfIyXnL77cCMAzSaQ950B8FVDLauDfog59YhGfI18eNbpA6aw7Q8hCwqOmKNULPjBU7p7jYyViIXfkwvhlK4Vpx1jeyDYUaDVGUozpkGPPsm5qQu+4PN+6kpGoIFCl4vVa+N2IgAuaDyessou+H9kUcL/zPhnEh7WeNnLLeswANpZljJt0+yYNLtpYodKQxoGqHByvkmizMObLJCrug4KGbolPUx0AUh6UrnNf4V9EZ8D5Ov8ikFzEqu1xtmX2C2ucVnGkczqeKBZ+2EPgsRy92VjWkdGwTP+DCsr6YkuoYcqjRbInhWL3Cbm1SoK6RfJmt1SP/deDrngpLRe4gX1fpchBuosDdVU+g3wgRBabxFlpt0o36ZMoe8N0Ynduavwk01NjN1wTcjBkGXX4751aJsmDWG20WtRV2YNWLutF4o0dRNl0zibtat7Ugg10HuqPebUmSL+BLLHQRuMe5ZIpDkVwBvqzhHMNjlwb8GMONEe7NASFMVJ8cNlofoHXPtLNJKPbg0rVTYv5pgLEn5cQ4Fso9qAcX5PGwjMBuWE8RdDUY3QXeu9kfKkcJolOkjJV7mX6Gkiu7zI0E7S8+KsblkcF3IEis2lA5Eknm8A9R1TkcuhVwH4R8i3Ku7OSxC4Jm3FEZMVES+tmh1Q8jIFTTYI/Pn+Gj9QpqWbveJkO2kZACMc+/6O5oJWya49DNjuhh+qTVkkwL5yS0hjcfB10jXxb42tyscYO5A4gUemM3GtC+EtVXLAunyttdIHQywCdVhC8WZN/QkHx1kzzg94VJVhZZhzUGwn9H63Yv15Y4H1f658UJPvCc3glvIOhbCqCgnJF6GHOqpq7xxVFcQX8AohjHXU5uXEuIfNIZ4i7XvhwXpidy+wOzCd2Akvsi830c3J4ocuuHx3Gt9F/R4FmI2l809v4SYjJF3PYYoDpR+wTgsbzdXxOLEkXvAa2ps/dsKQBiaXmnsLJIijUI/S2CuVysxLS4GjOv4nI20ISRVVYo7eJu15lNgEofAgUPKSh/Ud5MtNpMDsrHAs7gDQWqUc67IORJRMkdRXkz8S7IafpD05JNjaq55Omu/OtKbKRn4pMwpd9JD8bnp6X3KbnqU5aRYdVUpfCcRYEDj5LrX0Ci36jiWK+7o2iu7TFFfbUZXyIr/n7Oja9Wy4VPDh5zXwfJOGadDoKLygelMnA9MbgAi9De/kKC9Jo+MaU+13bYZnc+DVEzImUjY6TIzUH9/RXxyD9KH83v5cIQhA6VhkcBqWyx2IjJgf1E3+N/TC2/bzCHEC1666/FA8L4yT2ozjIVB663BMQ7nGoJx9/nnJx1EagSzJAWqCgdqv8unVT8X3PWcTg3mWU5j2Fd9WTXRNUjlQz2tfpfst9YI+jEz+FCUR6bhq4XTclXn7cmI+0hAjsn3sUlAOfmN2FxEdlgUfWCchXr4i3sx3IJpR/h1+BhjZAEZYcq4T4vJEecMGN+iMfM7RoJ3k/YD4R9cTpfqEg8TlkmNLqpifdjJUoRc0LfY0FIBVbGuZpxhK07saB2ST6zRX1KymD8JtrnoXPLkNStyyVxk6dQDQig+XQBOySOLNn6xSdQ4XLDPcex2mRSeMkCceqrmenzfk/GFApCUbqSV9vKcGPcjP5aN0iBz3VU1hXYE2DCso6JI/H6l6QLzKPKrHMtqdLzdopQd6EJPjrdnYWjvqgZI69EA3uWkieX283gDz5TiAm9vc5ECgbta7nqvLOQ+zVZwyFbcHUkB/VvlLE9ggJg0Xss05CrdM3zt2Mjq5qLR0wJUlhb7X7wYdBfEcS3YeLXdhMsvoRzHfhoHlIkvKXDqLBoVX5LOjNVmuU+0wVag7mMkfMtjRuKolEruqg5Ftv5DJno5M5Ac3GTgqQxVNaOIbr6p3LlEHGu0uVZ2Vh0RNpSU0pXP0UqrMYz8r+Tbk6YZq7UnFeHKpZKeIjRq1Wqb1+y92l4sdBF98unkWYRZyYzeErVpUh2GJ349u0jzTmK+hU2NiM00ztztgsel/IVJoN4AkXNnIuwucZ0mQwXXldGhwP+FaEvq9ryLgDAD8Xd5O0Ym029zv5B32OeYeb9SC1xK8ayEE4M2n08MrHh+iaSyZUeklvTWi6Fkq+M99WpbZ5vksMZG71TM+TuNtzOy74aDST/R5atKAr2DQcpIK7e8DJSsM3CGdZCHlNrpfyFaookdSlPQCROnc4Hg4EAEzdLIoqkDoanyJe2+5gHAwKYTiWVmKPG7MvHo3XvN/LEFgpt0G3OYb52s9vIg73yOtRGUmz9uMNPcg476smcDWQWxtxvwYGHZggjbHWuAPzCQm71x2lWrYdFHhetIMmEST3Vj5ZaYQHa99v6nKAB9IHqJ7JqeSByH/hcpR3wlhmD5F8RHlhS04Or341XPgEKWr/tNnuSWWgTjW9PO8TQ23UlYkGE3xybMfKy4nJU2x9DUdTUYaC1m+ad46dnCnZ46FMqOUEqlIoFUrIDjWSMkjcbGJjHGOMnyXskABtYxCNKpJJBqHTss/S0LXQ2X8uhDkTQ5bruZgRr/gnTLM69X1GmGl4WK+enU+UKr2vEs3QuKK8vqv34o0uLa6VsaKuSVzwPRMEBA0/5E4alzlk7tvRwdv2QIFZOBdDnINbPe01GHQdBnq8u4JMpVGD1XfyIBxZQBczzI5zzrbW+B5hbkivm7lq/wEhn5dZhJv7/eycGQI3h6ZzqOg8W7zDErcbu0J1J/0Of+Qz9lS8RnGobGxC8u0GcxOMM8Z6vLmMct3EwhOGe+3hmz8gOWqw8qjqjXNbNljA8Cn0DEqgb2Y6tHAti4i3kDgqiU7zLxU55M0WVbHqVTBcT17L+BAcOADFh1JlIFL57YSMhcpRmT7FL/dK3i9qBmHC7woWhn835vp8gCgl8Z/Kpk61igBp4sQNaUAOqIY/xaE4GS38Im9Md2CKT5X4Ef3PpUftOfUBO7VRLDYybd1r6ttbCtaSmJsons6lVAnb/slSXQDz1WKFFlapDMzEAXzzNqTvozqax8MovPMX/25aUX4563NIOtvsV90KCTKvddFazBOJKGMFGfwoEHhDw9x9T2qkwbasagbBEEjsmfJu5cFRgKuS2I7bdKyr45JjLOrokgcI0fdErb6WO0IGqTCHVU2EtMhaXmw8fGOy+drW0vyO5N/jGiEzT/Tw87dr2rCx0QOuYa9sKlphJP5zxbzyPfcI0sBlOxYUXKBNU7NsYTLHRIWFl/DFoX27fNOzPeQpx6M+5A5WXgTNEMGXNdmCssciUYiG2/8I/oFLPhIimAkqbtIeuvB1GLHWkjA7fSa+W9sZuOH0qi7J7P4ZOG3vM9uMu6anXM7MblwpbolX1pyaTvXZzmRebNzXf5P2H7PbuZ+hCmj9ie1MVfIo5z6e8iu9VFBYJ8tWFA4q7zbRlv2yiM/o0M+3R4y1mUwROFjL40NQuz+1BPqjF9sgdkM0rDf4JDa0GdQsAdJiXDhe2qm6kBE4cGnwcGXjcVQXphLFJu4NUMw0eqkGdT9AHoPIA5Om1EBxFe1nt/91X3qB1IPTijua0jM81YCDjMpXRkk7doKcG6pNyBPjEQKMkOWHIUdmJd8uIIcRXQVIvUcVFU6VARgf1XAYKNElrX+0V0s6mLRN+MBKNtcr2cTD2YWdINaEXf/WKsZeQHwzySEn7qkp81Ca36jry4/GZiPQf5tPVKJ1S1QmfjN1nCycVuZQWG5/xi7eFahE9agQ7MfSUULFLdma72hHlSZSvZ45tBUNCtgZw5ZIGxScgUYCNIpgfWPaANmg+N4v9p3jX1+GAEwtjsfO8QNNHV6UzKGykkqwRO5/z16zzxhQ7B4RO/+R2zoxKCNzMjS/YfdKm6sxeuLZyMTiq7CbZdEXpRYWnpdAXtjbO4/I5FliporOeKLmVqA2YwD//uYOan8Nds0EqFZYCYSSMZDueqmpc970uHSceEELpjj3pDpYa+PWCfZhXdARBxQD21rajVUGnnaa7y0OVOXo0PsHEjIIXDyVQFjwrIqxvw4VmQuctz5BG9jadAwmn2YIikLNpvdEvRiSIQu62h+e9XknZEKtVC6dDJ6+/yD9gSTEXTzs743SXw2aoSaO3kHr5LbxxX7RR4KMCTF5m6B2wO7SaxA67eP+7gtceQDqlC8vrdhdo/5FI0mZOvO70Z9TDyhG2jUFN0Oh8yukqb9vDguNJiqHTPOrpEiM0xSs0CR9cAxgM1JbYixhgGS4hxbclPxhccxX5y4BOgJax9pwwrT8K18lkgAHLaKMbob2RXpUZZF1NrY0kg/v1k7zzmRNezvIjyiAvfeZj//zkG0xro3twQFN3SsfWzgfiFX5lFTQhCIEFpM/DZBsIXlPIDbfwgf7xezPombZgJ4W0sDe34kkRNAcDPL3chb1yYv3LgThwDPEOu8jpBesRy0HActK1nLVjLamO6Ou3mEERCfeVTgri1Qwt0PAjAgfyO0xTIvvVAeuaOKnNp+veyI47400TPMt3djEKepHpgj9sK6pYwJvSOiJ9mMjzzBHDbEtRkeHXsPZDBD57Jp48o4EHwjCeUe3BLfP3Qs+dlO2THm6WHMTkoVaPntKx4erjnV/DGvr/0Wvc8iU41fNza/uwDkZGLdguZ/6m059PgDm/3hVyoLGp2SkRByOisOUhrVzEOW7SvNUUvewB0l+dLhnXlIg9xFbAhLOGGXMx2VjlluMWYNJXfXCphRdutvl/L1KyWclQ2f/GsFEvz5MRIkaxNeAkxgi5fIonGorfax/elITbEXvZaMz2cF86nilEhHVyjvbLUvGl5AgN273EfDm3taEphN+UmzwybgX6shy3BRjV5l7DApMOdKVrbeD5PDRHvp02NMjXhSkSlLK5tqphwQ7iUdVlHWVWdY+/MLk01OQx/105Ip0gCjTFd37lPEYwu6o/2+PtfmT3qxtSEOUJZWoq8X4tCvFFkRLwLUN5JwQ4fTib4Nlo0QqLkfEDA8HEwmMfJosrZd2QgclDN6tUWsz9V+POXkMuWcjHLvAa1qefKnkaugec5KtGXioFxt3rTZGeACLaP7gdOEAo7MX6Zx00z8kh9UxoHX+RyAZ/0HpNOI23Hl5k7BwB18mDo1pAP94Z6aJkbrzMyALKVVv00lJTPybvdqXEoGj471Za/td2NiRdhodiGTkmIed2lWr1raISxQdJmnxWDHFOitaSvpC4veX6+FVaARS0uLp1mWGhdeUMQ7xNCLm3/tfxjZR2gFjxZYzy4TUUDoa5lAk46A2sOgod15oFbZug/nXhoGIXCvd2UllqpBzel8Lk9vRCuLlvVTZcyoQ61LYt/Q2ah/qmz6WIBwcnqoxCAQ11x26SilEMJCC8eo2itItn74qrYD5+fgg0H5PW0q2TAQB8JZbcOOMmbhQWl0fLX/A94mhJ2I2+L+3xwY9vJXip2zTSZvv7OLT5lf2iGvwg0NatuX7mp2iMkUCvmZugfzkBJwR5El9mypj+EyH+cidfqEXN/4KBrhP5ybqRSgzefLK2rp2+sUia1V9kifEzz/Ri8Twh1tBVD0MpMrul7XU3vquLb1PzD0EIyQAePblfd2hrmat9zV48pBT5cCbz2n1SQVw944h9VRbWZLzjOoCo6++N4CHggLkPJ1gYjT9CV3Ccw4mL9MfkmpDHiuQ/rBtfvvMJHnMFMH7heZBANKk9ap75nHW+Jc5C4e9Y+YlddQhTBy0fNku8Ir2/0N5jhzGRVNnKA1V+xBILhHdn7m9Y2ZrAi8wAhGX0Zy+b4tvFBNTlsLC42Pksqyy90iIkfSA6Jg8OoTkjCMW8COW2sNVCqIg7Yno/7Z864lg38u2XrWkCz0qixUlz7bDO3ycsClj46Q+IGQ+OorQqDA8R4AFtKDyJu0AbHHzWHfiJMmof/af3AIcBNjKFQM4d7mBauXJ0cT40097rhUzhpcEAIek9qK+i0FVToIsJJdTwb5ixdAHqpN2Nu/U+S6aqA9J4jVItPR63sLEx94MxZ9oh8M72HFBLgbzHOsCuZ+zyqRHbWBAHnew0FBFZCHE8oXNEoRoCOZkJUlUbyxN7lsBjI3eflh0sP3LlyFPPKhmz+g8X0WFyEQRuQPE3UatSTrzWFMU/Ra9YoL67h7wAnn0dvM+AjWpvRpswDCeoEdBnl69a7jXnpDVe3koBFuYA385tzrgKOOPK4jmzZwaTFTIjVox3y/mkZJDycSwVGu3vQwBvMm4skzGsLLPucVHL75aawrm0hHifOSlwI8XzAUEtzOHjx+7y546ZfR2tAbnOLOoioaWp6lLu4mv61QXdFtDlVlZGNVHJ+jGBvmuLzkjg0PaztEF0lI3esyMR/KKBxaKpHCWYxIYo10soELte62g25dMNN4uw0sm/bm1BGMv1g36GTrm8hATn+NwiYXqeVEyC3OPUHi5RsR5IE8CEcvGi6UC64GURWZGQCLhBsi3Kb28/LCoBo0sdlr59h1Rm9gPlWbRlnKpFz1K650T3vdt8GmvciYzipTV2gnpjAqPqITg1MaNBkxEUGVIOCSDmREKBUOOsjUP5E0Gwj4sfedNK5Oa33gt7nqARU8/dBvDylpBKD9N/4HfBR42LgFctEvFbPMgAiBSPLmVj2vqJmH9D+6oeVLLR3TpgRewInqxCA+sjmCJUOnS7IUdF8R5gFok3oGN3BcaW5Dok7NwJ95j2l6gqp4tKV5yqClGRYeqQM9vgXqjp3O+K4rNC3oBQBc7XxEgQkCEJucHobzT7pCAoPkseBBLHFritRGngZzSdRn4sl/9NH4cJg2U0z7lc9KKVA0bTDNXGDFKNmdu/POTgAPfMCJvynDfbs8feepj48SGh9EUJ8ZDRhizCxJDdjMcxrseb74yBuhN0EVo+168s1kDuC1nzA9JTSQXh8+aTyIDs5HZ6gATs9axZvEuyCd/Fo4L7Yyqc+Il2aZBMY5md+fMe9v/W4jp/5iJu6rZsarGHCb+Nwts1WU6gOcjVxNEWDUvUdQlpvIcl1aZKVvHHPP2pj7ljGrjR2lNt+SIXw8Hj31UB/xjn37Z++IS0QnWJS+ho5qaXnjOW06wQyVMhYorKKUwVt/90most5xAwMz7/jIkj2PQx1wiQ3cZ/mJbjGzobV8oNgwE+iiFSmeH9KVNKFE4NTT6rIrJWb+Ke4nrHVfyFJvLC8KqW+JmxM9sWJ7G7M5beP55PYwg73tYAKH7OIq7ucGmXGGHaZAB7Rpq3J+24g28Co4SFfVaPmGfEHraYkNAQRg5i9DlSKGfUXatXTd//scA43nzLJPDKcOlstbKSH6mhJCDqqaW7sBe3iF33av+YWmy2j+twdlidBaEGTdOZdfv6oOsNtv0UA8pW0Cf6hmKyH+caaCte03gpTipNu0uK6G5xVUICoz6FxO2yghAsLTs2BpmUQtGFgoByUzq0pKBH+e7lBcO469Uc4yEW9rsQFXWcXWe3CwIxOHhKToQLWqvpK7r27Mvj/lh58+O/8GYN4Ge3bE/C8dJMyVhikCW0+vpLdsdIsAcMo/gHz3uhFOxQwXwJ/J6KGfjE2yzCpgRze4KKBrvySxcotiQRyauHejCJ17kDdtuJ19ryN50QOoxgv4r4k4KZnT4OA+P/ygjApKCQAMuyFArzKkoA/h/0hoxLsWhS6TOhYUOeYp7jLfMDJ5NFYz57IIooTn7DRdQLxbqQkTPuhPhmgkw22EsnV+yhk0VChniO6Y3KOC9WqTCGh38KjfezSYOiRNnYfnsgdq0MGkajccW3k4KBe90jo7glYFPh+WABy9/7OdIwGQghp10NJj3R88AuR6cYlZ3j0GkN66Jcj6jSjo7b2z8hQWqHO5gatd1k1VyLPysYz69gTVVLNCozAt7ie40Kes21Bb1xNAYJy0PKpFLb88XunjciXvLeEdvfq+5td5Yxw8wRZwEDhHxg88f7WfgDHrixlD5KsAI1PxKEc+ldVsG36OnkF+xkCLFVsR6xwAWOKceR8/KQ4qWshVxCg7wPT746PrL6hvut2IcmZ/k1WH48s/rmwnLOV7BKDr6kApoUcjo0C6B+6QBZzCUjQSuD/qnZXRRPclXMM8ZbjaB94+Yu7SfGLMSC6QyDaNKwc5kcieLffOiQ0a4l7La/ey4Y76hNcKyXmk8royFsHYfBBJTsz6hTuRvLgOihMXjHoKOuX5YB251/moBcwDOW1XsFI46EP/IMCD4K2K7VjjfEF1v+QwwnvswJ0SzXLvuS47RRtACs4MMHlhvQZETw6rpAUlBfexiq99c15k13e2B+IeulvbC57lTXIJQib20qFAPF2u1M4usGOarjILaQVnjRfG2rU5J9deey76poqTw5KTd2AqBJjw2Qiq8ksHE5SJwXYxpxMo9Dzu27tIAG5JxzpFgjsd0cx+ZE77YeakjnSXDrlKUCuko8CzGPbmODwXK7eoxNUgUN/Jgy9nBjbMGMrsAMn+k7VHvKa3zzTzjezLrIFUD0hBZT26lRHRFB3SFz4cLyVf8xzj9DvBsykrW5V+fzF7xGTsk4JXWG1h4Ly6B8drznJFahqRCqeLar0Cgv4DJbmmNdFXUcikLwXxMgYt5+Jk4zHB7j3Vr1ewYsjixCEI7/16spWgBso+WR1h1IM5GggzzfBI9m/dP1c0PxGM71ST5/A1JkP3lz1bmbUzJiECQrbleCZCDR9kfi9GsAMXFy0l5piNh97gnmmsTdNWXPIgJ6HmeIy311ql1hsWCuOOCcZ6WNuwunWomU/H1318IhtHA4EK22jqMSJlpS4zcIn9Mq6NkFX47ouulqMz+2fcgvoz0XJ1yXCSisyaY5B6JCwU/WxMLDdFEGSGLPXRiEsyjy3dmo+Gk6BplSqL9tOvFHasL9YZBQx0qH4GTm7ymIi5HOuefxmpJnDXaZtq8rh2XtpApGHHTa2oL/L15y/1AMGYxykF2mbQe3g63RnMQ8LlQcqPOq9gfgCbAzS52/7UMDt8VEbJ5GG0q/K5v7I6GQXD3aYLczLe3sh3GnAivQnv4AkihwOvxe/Nvi7GrypBbRh6YabMlUWzei18xqdm5eiziKakcPCoT5vGkM1IbggNPuP4vvy4t51hFZeP/NCSAWbk98x3o1SQBsxBFiY7naBRbMJhyrI2fchB/7x0aBLEsBH6G7j9EcvR4/Rp6+49lnwgXJmPobYHLFUwJk4rXL1HI7YzL6gH7R33AxBHUW5wNgkxjuNNdBcWZyBNvnxSImmd8W2uwzOXHFda4sSucwBrXxQZlT5eXQ4xfsCApGHN60QEFFewSfd8B9LbNvbUkl0p4v3+7Zc2GxD98gh5d5huMHLCqZTByg69Q6oXZ/BCQE0kv1QU7VPOj3Si1fdZz6moGVcevaFHoz0xq0PuRmaiukPNk6IOXYukVVzSWJ6ZSdfDkmoIeUq3QU4JnWxR3SXu6XUNFovp4VX/D0ExEL/td4jUZgOhqCZgpPpFBZ3I4VDOPiWkQzEGvyomy2p5H9ogFJq8Q9yTmrCXikKlvBPbNpry+EJ2/hq49Yq7aZflvj0kfAjHBTdxsXtvS+0tAohToJKqhyaCiLFZvqQjszvemc6Zj5sDIeH/66bjGI7qSLNoSj9NV+EHsMcbon+j+dXquRss21FdyfaOLtUzvTwIJLfhHZAl+mCW/dnOxXpk7d/sDmOPUjZIASeEluvC5eVOQUIT4QWHocRNnYUWsci8I/kW+eSlLBrngRupQGYbVIexIRxtzio4Nmz+225HC1jLXk7bOQhHmmG+pI+D+4+znjA2xJUWREzmHDGHCJDkAClqkV1elq2zjmP/idmh0vcPLQi0y3OLIcZa/7knuAeHrwOmTBCbfFHAfKrQc0qkDXrGw/3EEUe1269bsQH0nLtAeFB3hu0hb5NEpl6SJ1KBLs69nKKHL1P9xto5aGPaL63vFrpEjHNXVeGPMu4xTMcZzVb8/nwG+n8zhQnLZTExOVjUQVsJEqk5LCA8Gy6L2pUaAborPAKiVYwB4pbGKvn+MaOC/3+yyd7UlPNjH6EFipuCU2ZeQMr47b060TLaJk9ecGMM2IuIFwiDPlam3m8QDwG4uFI9irpSO5Ymzf9EVzvHa7vf8vIesrUf6yS0R/TT9LIyNdez2yORJgZB0VI9hUspeBoO89jFk8wjSbzqBBRGZ5bpBkiGu3Or3il+d4mivn5rXEjapPMguJK8t9UTIbvfRgE910NOFWQrYpywxXdclQnZDXJdEmSIBlqANiNKbR+SAoDAhGR1uU4LvI7YFEx9j81qBz/zlEVgVwHQ8cggIy0BOzZDdQZ/925oqNtzev2cGbGuwb+tuVzcNlNhPlExBCOIw91EigfQsbvZkB5k9sMTZ2KK/8mK72HrMzo1Fz2UFWOAdjgVHuL6/tTL5g+Z4YyN8yE/u2oMaRXonkpu17KZlqnJzZpRNVn3481EhuHvK1b7mjhNZtF2d8SEDuxwbDJuOGfQDLrm3ypZ7BzUaUBqIlRfga55s+521C80Xu75C/ewwfpMBRGsN6kU2lrZ0J7IxdwyuSbt4Ul5f77eCrXmA14YLKKWzohEodgpetaGrc0u2Zdu89AqYMCLHoTw8g2zMsPHkLTFuNbSMrV9XP2A+SHZKf/ew3CkMW8I66D4vQpyPfjukqgv9kyTk350mTs9UmtGh0KHBjOAd7BMlMEHgrzDn0w9YJhN4wIi2af2/mWMpIRuMHIJDm5h/vEZjqIqqOeXKwh6eAYrkRLKaukGf8CXqpwPyNC64YSHh4X3pDGPpGz4McVb3O2n4pxq/LyQa1UmfTEfKJFnHKSQDBEpVRPWKBoYhgGHxsRhG5TOGJtcjG+CxIO3QdkkQhAZFChD9Cn8aauTlmneILN+WspLouqx1YE48Cn80X+SV5DpDr8pcBQstPzWj0ED30eyEevnOplnPpkZ2VCwCN6sT0QA3Iwh86jPTV6ZUKwy11pKH40YZ9WdRVuiOUwkqPVGoPv3iCnMK4oY5qFPh53fGOJPsW8q1xAEElAGCZSKGiZz697ovBSZb2dNeWn/g6X7JssNIat6PoVkxgjGYd9gVfNUeBbbfQYe3uJ9NuA2IOVcnTDoHdMH5WRzFqnx8dShrepRbmqPILVOHi8HWvWsU9Fa4f5dP0TdYD4nQWal5w5yCX98niPAw4iZldL2DVmH0VNyA0royvzOidZXsE1PcvXxMqAaFCFyG0nPxN/AD197KR+93oeIFAO2bNeB2ZX92C56EAt60OvHCD8zmLGqbdabX3HoadHFOHF4HiLNCWIJpvZCMkLeKKyEhN5lSi9CFCpJSuGukmabqJmS0KuYiwiF13/+w1Fn7/4DydlsPPnidTOVPybE7t0fo3RT9+yNHnwZgWX0MdygwL8iaMYWIrfbEcX9axqDfXwv+PPNo+wpZyjAE/O2F0GQAVefIhTILmZG8DmM3Ve/WaTjY0WuXLya6ZyGjYYnvR9lyCdqVERRhOzCENkoY6rxtVo7OaGISZUCMBbJzI/v6RHfzkLivwnfjrADV6un7litzvS3pMCj1YrEDCbpOjTfKWrUwxKuexNrgwkzWnIZQ2IqB/H6jhWIasJzuUD3vf0emsQXfSL+tl7NfoCsI/zXpa9vCYm7QNuw8u2i5/wTjgegmOIUPDSd2e8PAMttazEDiNKZ0eg1HatEodUmBehpQ5dkCOVozONU7H5wQetJdpuix+VngvoEkM5krPzKW9RjVXuo5uHOzqKw4NWF4VhOiIP2YWtBxdjgLt5Vb2uTmPJJzAYWfDjbwt6NkQF/3kWPUaHVDz8LO8iiAm//avbLwtz+lcAqv/U51WcNAjzW4yNdTGvL+x3YBEQeTrmvt6z9dxXKR913TkCe67rpuf06IgaC69hRFJz8v2zhsijvE85MwLcn/mghcxBiPcLHmEJHgAcVByFfUIZNbEbS5OJqh4YdWLMhexPLGFZGvJvvBrNb82kCQd/aUgi8wPLtkawPt8Lnn9smW19GgW7MlH686QQ7STQ9uljV3+OOfXVlx7JT4cB2+XCdQhItwk7ORGBPTzS2xtFFExGk0zTNX+A4sbtggiVmBCAW0bcIgdUCQv3X/T6c0TX8Ksgz97p043l+LRVECgP/gzdfdgiaBd0dNf8u7J8AFIxj44Hj50Amm0zI2tMuQF0vG9e3h0+617Yek3C5+GNe0NA/uGmzBqv/4veiOV4IKdWbJZpWsrQdBcX6iXVi06MSrDWeY0L6cuXmdXIWpNHAToMeqqx0ndISZ6qPVuFx9aI9atHPPLnxWQDav0FdEIEZ+HXohhJyO+64QsGZwjTO04PYut3LuG7FoEXFzVreCYG5sEslaPfow9QwT6oI4lbPTZfm0qjZfkfb7ue2X+Ft5lAcKB/A10GyjjwAHMqo7fhXDTzNEOloJgw9GFT3qGPEFudsy0k+vD0UL/FKY+CqYkuJYH5fjDylbHOaUMytxZL04ItoIqi939KUfnQkEAbt6qhsTsbjtDtETFtimkZkvql36c3gsuvp5ZGYW8UarNSfhW+eQcoBAiC4ioJjMrN24gGYFPXdSRJo96Wwg44SdW0lUU1SKWb8hZBmf7WnoqQK68xk1d5UMtYEx4SS/86JEDjuOxVEhaXjdXpOaIt5dKNceTrUYRJSh1c+E8SsfUeoXJFpp6u/us7beADIvNkWx8fMPjQ60HBw9axETwjAT532chP4KlQtBcr2AQYcmAxd6LatKpYl0jWtDtFybe+r5qslRBEHG/l4NUBQMtrKBl8bCzOXjhf7Q4JR2kBErDwg2XWXfSVrtup3OLI4yX6u5zeMu0BfPaZOPdZtSyGJB7nO2SF5LMO9Enky2IOvTFlM92Hbl+mw0XxMEiXGqtICG79jSJCotSq156FOOw1skD168PToMYeiuMSuiq1JLnifXmOcwHtG9o9cJRFf59BLl/W56N1HP39+2XTFl9I++tjee22z253DSL/2TkYktPmvpdeuoqkkBuA+sqbm/g6VhTBDoKhAPLQMk1xtIp2HPVRpgNcYQoLZpeAwRi4TUcQKxsFPr0QFXXhQAssuBxLr3FB+7+VwY0Gn444xtqnL+k4Io5RyUKwn+Pp3s92hPPPrQEmoKk0NePDDG1WhfrMujnqLVALuIP5vVtAmP0R6JcVCys9RWnuiHd+8aN3myMDRpGGxczYZT44GPKOqIqVIq0ErYxehJ4VbCPb9FWbAmppe/a4bhdsKtZW1eP6Jp1NeNscgfUIfm7XnkhOjQBboZqedSGLgPMaMnT/KkKNpfG/eo9wK6MPOf1L7K2FI/SPuGGxU4ByVbFzo1ebg5iWIANt0yBXAubwBKUk4se/W3LGANy9gn6ENHh3nM3o0nYdj1oPhE2g6Fb/VO26lUULmxv32T3rDyj4Xqi8q0sRQewzk7LIzOdWWmOFmvmz/6LKTh4CVVCNdhWzMMDVKAiyTn8YqXQvaZCHk9v7bATaMsKwy9CiaR0FWLg3Hm79CfzXHNtW7qn3EazgU/o3yVjt7Z3v5BmXVpb1HFehRA6BrNIRqsmhPamcrymDtqaTeHQMwAZkKAop0UXHCCd9pqAx5BeEaeq7G1X0L/HdGCQ15hjhrALYMCa3LZHo3X13MBkNgcM+1zyswSrR89kCD8YdnmxpIcTLo5sNd+JrAn9jVBLkwQSokFTXRDh7inME51N2sizCWJhZMFK8w4Elf8LAsxzao7KMUb1L0vvvjP12/RJaktoIJNvfMez+cOxh2gzkCH/lUSD9SCbxygaKI/UnQ4AlR7tpfAIHwZxmMRYZoYeYQl0dqReK+/01LQBhbixThS60FECVQuVNFzi9EmANVPOF7ePF1of8rb5YONGWBsVqlULyqeDxq/NUccw2KoWoFpjL4mPwwFKIPfC1rudaO7TRmDa6rm60M0SBSN6x/l26A9NDEpORb1sxQ6gHYGlcENt58IhYS2MZS2tov1EcrFLRjQZ1axW/1axGysDy+Vn9jf0wleR4PCBdTYM760zESWKhMTdMYDGP7rHqu8tufuDJ++I8awNtxSukdPZfSfGUAlBfie+/GDFmwfVNWFHJwYCCn3sHQytIobeh/bE7bw3QIoiiEBCg73ttGomYya7a0/SW5z/Sd95O1eMIQMSgmE9+Yc+qPD1cHxtoBl7SNSSoI0rSRoFP0udIPjwA9kIMkjoYqBIBKk/ic0K4hG+LHmpzdyVCtjBkX9PrUIEJ3+9/0oa+dIMvxtbrP7KFt/FypRAm148TrpAejIgw8eZz6y2JNO1HWpk6hZV69DRzVkcHniDbl6JG6QlhtyfPMC3YkUxwkpyJjrRJYVXNpxQKXnhqJpmjP4vI1czikhYAyMxf0XkSXFblBftEcwQ+xpIyWc1lAZmEw6jyFRjzabTrkA6zYYBwBTJizvexwZrdnqtYmKHtLidke311c/slm+4a96eh4BdbpMtV3vacb0/VUEK5v+q7v0SlHFRYQeQal9IUqNOxModl42AZm/Zgyjd/zSV4HiRO7nRyLdoJ0Kxm7ScZu3b/dPVKCfuYbemkN8n0ymQoNpRBohSluNO+U9b7VtqYGpgtiSsebhENZI+5G7LQKiZS5C2uUS7PyH0kkRdEKO8rb2fdiVQCyPIkMagJfFqw2z5xXyvMHQaAZibnOoUGLkUy+altUdyjDx92YnnuVPzbtnZm+qKrbOQOTAqiawEe2I8n1c95MiKwvTarDoDbAOZNcK5dizQg3qdHZKfkEHvJv6oJpHQL1WJg8vOK4tDCKn8OfBtI057zf0+TeG0TWZfh0NEMX4FFj7EtaNdtXLIZOB1Q9OdQLZFKJeev4Oeg4YwSDyjSmwSXa0MnGyrTXgw9RmTO6J/lAuqshrQpx+IO4hxvf9dwkZQwZ2YTE30O2hL8XYSyPUcmgAsG+e0Bcm3crvg1w7l1RCGn060Kom8l5Pn38MW2YE8PGuxZ7L/0JHWMk4p4VadV0MdxAmeuTPo3eBRNn65gA02KGOZhxVYidEB2dOiYKgqzTAhEYK2Z2H3KAVRQaoZyx1haFI56RBijubxV0w3d/KnzWBVQwZXg/AMwnenxVHE4ooTz5qdcgrB9OQxHhmnGhgdhkJlkgGRVx31XZrFM+u8zpesEvQA/Rdig0yjXJszzPOVOL6sB2gZHpqW3UQ87ZtffU+mEFzhmHyiG25k2umrSaQqdX/BuUvUe95v8g+AayPmkOWC7P8yG075quip8Xm+UG/0mbGkWLLziu4eK7FQROjMIFNcWpr7s0RXENCSibVqBuPDtd4ao0bKfh6qJmRSlIruUHa5B468MyC1ktGY+ZDzP58QbLvySz5tvQgr5FXXmm03vi+zXyKvoxB8qOMbvZMaQrQLI1/b+OIvPGN3pHj4cVEcwe3aCvzCtrt+vS6K4UpL2/QqSII8zXZBbFTSXw7lDEi9KZlm/z6t878maaYCDlc+yrIuVy0TRk8kaVW1OD6tTA1czS7CSoVbBBHN7O+6usaKtU6H/lvtsuYUDhvRE4Aeb/V7uQn8m8gVWjx4Q6+7sVblpvfndyn3vqWLMGh32dcrZJiYfWX0xLZihl+mAvXBBXaxP54V5kw37kxWXQYfrfoS8+UUdpqF7Lp54A8bbWMqSV0L9ScoGrOtEDXcVfj9jzPMFnKwWc2vVtXAE98Pgdz/8VYJiTlJo/wFvaaEw4UnsPuiLidKBMZEqn6HIo2oQG7u65noh7Fl1Afpnm7zOtFbDml0kB4ZTKIRJg+gZTRyDwtzMVu3asD4nygT7qEsikcMPY397Ycd4FEYjVJCfCw232HKz7iQadzr17whx5+8mj+zmPgBVzt5QsqCGLxIKIfaSOEct7MsX0c7AtD5SMuRkqrlKmjB5wjWvMMy1fSe/HdaRI/5Fc3acqfajFi6GlXJPUjTTPNULF5CieOX2pwGVmAPBTHTpO8HVU552IPWlugj3Szay5paHUBLj9xBPEkoM6VC91ZDLnTgRd2dHkiQg8YKU7Xypg4O8HNhbjbCZTiOF7Gpzj+2aVaeeNLudPxqtTkeeQQhLi8O3sIEOLxa351Eelgwyzs20dLI7j/HJ2v3S3PhSbX0HLwUs0ITFdnyKhRVDnHV4KBfaY9Osx+lWxiIgD2D3psZQYlAzyblQg0ONby4/+9yMJULmQsZbH8Wn8w7QCMs+Uef4Qok1wZSasXgR1BtEmtNn8fXzumTidD+us6pPpNuxp7/biS6Wl2fgISzYWXAmSqwyTayF7w9PDV+lckqW17Wy//PBI92nBWBxcBTtS1jw9TTIorSTqi9AQJnYnRl7ntV5F8ty6RWbIwoUn9/GXTK1vNWat0Qdr1Iu89+dBvHrnN0w1UJthQBih9MNIx4+g0ewYvQo9fd2GUgmf93UaM66yJDbX4euLysYhD1KZc5l3jg7JkmU4bo109YuhGrzr0F1D70NsEz2+iEOZaSgemnMms6nSJC6OuWD0fN6kKegpyEwTja4UkDG40sUbt00P676bqzEtytX3K/VrmyGUEvMsPyjvohCEGV/qStvFgxQL1r33YSmWCl7rQN9IjV83jMbSRloPC97QmvSZXHvrF14ZwMoLAYfzjtOmyNNu1+6I6TXTUafSCS2rPVPPvKANtwEVeoOsj3qd0BijYLzJykXaeuRNa06K46BgHzXmuLKxvWukZDUkWovN3LjB51oOED/AAoAbSlUq54ws1pzwgvGLH9AJop+2J80LhjHQfzOcjG+Vi8AmiTLUMbCx7TYFA3H16r2wB/kLZOPgoF5EACIotK/04m5tDul3MRTzOKRz6989XkMqMryLcQebFbWmHzi9nfNGpzP+VV8FDocqp6POI0lTo7WIi6mPRiW8gXGrqO8LNNNcBnfbj+x2+hlIGFPlC1G4mCYY7hQypK7RWUlVH/6QFAy/qtbh94ndwrvHkekh2j4SjwFivdVFEXiZUX+65HSWt2o2X+QDGiynuJ9AhabMhkwF0crS19AK5D0by0Qkv0fWMeIhggBW/sOJZkIRHaxq+u7kQ9ZV808LDWzNDvKp9LqgSa0HBjZsLvHPVSnOATdDvy9OxMmTR8mZqFj4wnUPQ9DZ/HRBWaH/cmXBGJaobEA14r8Yw68Nf3usiRQoXgn+yTckHsSp43RM5Nt+kcGCj826LSO5SkhOxjMWvDgRX2KxotogYHLyup6PPGqcMVtib2Rvfa7EDAfXxufIJ7J1VE+JphcV0qqKblCGWkNzYx0OcQ/CtgsISGBFXDpWcH/5pyHzIig/Z7MSWokxHrYWjDW4jKnM+9xVUvWHMEZWLLSKRDIEpHIPq6DgwD2d4fPK9yBraSU4SOZzfuQ8L+9Sy7NOyIRjF7HYQ+skcPCqP9wNZxUjl7cauCxS6oVumecwrZtpZRY0MgYkDA5/qFtmGsvJSqJX0CHNVJ4ESdvLVehjlg+fFta1bSHxEBRbLyT59DaBXzJPBLjdIrgCodaAGxF/lxmtrJjzqqOMs05fP4O4cg35Cht/maBTzE46CAalKtcPNezAsrM64OGdRSGoFi5pnYBeg0vxCwgWG0EmFSKe3+4VBAjNkA6fAF7gcsu9k166qGXRVs1MUJl3wm8jnPSTT09x5fuMMdodoNrtui0KH5Sg9j4mjJZhRF9Tkd9a2W2fZJcPJVrKLWqN5QeI13ByNoAXuV367R7wrhunqm8voPpuSppwQcufTw8fFMtlonQvZAe3+a8aSALkR4CjYGNhAYAG/oR3ee0fcwZA7Csp7xF8JTkZKce9ShGkqQ7zWJ+zUbu3GPwO4sqZa+F3aqRpfFaRCpvNKf4Kqv4r/eKnmqvW3IcORubbofQ+LWXCD64OXEy+xE/1MvlPtxMPrgdiL2ngEJZrip6bE2981JXie/Edk5szzwNkOs2cDFkMEzaANZZUBlbXd0qqqQC6fGNgltQiTMKtMbZqeFlSz1DIQpn3mWIgzyLvTwCgzw5+2xhO8mdR+UPbSeXsd0lwt57WhsDJ7DrJdXPuUwbLegJgfEl7tFVOejPtKqce8u+YnZTDhodd55RdvAnHPpP8u7dV0Xr+btDZlZTt05cvcDclZ15cddtbtIg7gVxRvKj4Fa/IcS5ZHXFadbQsyl7Tj7yuuDhpJWSe/LXoHCimTcj2k8gaU4PM31zPe3lYxSr/OC0PdUSWD1EIijKuMvCi3AkXasAN2AlRGGhO9gMYfvT8GkBzbN16WBvlRWKU0iBbFk/9AxzdFTIabdUBIRGivjRjfYQmfZkei/8Om9e/Kn8mAihFp4MvQ6aTSZdqigt4iD8zTR1sPiXml9kOy9R8OVSwOOt3VCQjOTZgzk1pzpNpfpiTajrvPbqPpe0SXAc6RQE14psw9I7WfPuqm1fHl/ZEujbzkpl4NIAn7f8RNjwzithsAAjyjEoRN1XwXXgvVST/GDY94p1hXMeX1Hn1LPK3FthLkBJ8w83e/eMQHN+CWOFSQzqEtHJmO8Qu79acm93Mmy7TZh3fMP6xnNDnpn3fYVmzyuunTcK+4FcTN96RUblo8t8eps1TbNYxtY3+e1AmZLHFyWDIzj03wOXw53+irQCxTGqnjz+YYybGZmF5bHJH/6y+vjurd3siKyDYznQ+csJD1NkaGu5tS7C8D+/hewKrp289aykn0JiU96tioSgg83C8AjoR2IpU7w+YfZXsNvYCTzIURmOPF6EIIjn1KCr2e8Pd6uhH5SN6psvRAELBloZev2WPG+QI/FfX/ZgiPgx5MNz/op6Uf86xn6zvlyqunbem6FXJ65l90Vw7CL/18/fEmLGeGRxigFuhRm1hfMS12phmJL3erB0cWpovvvyzBGWbdr2K6YLlfJbVFWT+2+yGKM0KMHFoc14Ux46CjG5Y7DMEB2PTU/XuaDpYk5T3DDNr0eIboNFLLEBnc57r/k24QX1pjI2MxrZhqrD1kWi7l6UL9DgDrKWZuXv9xFSYLuZcOb39jkhYrPbBy4uuKtX5sf6JjnFArVKywhMGD4//5M+GfRvQOz2+5GDl9ALc99OTxfaKnWSDTNEeDACGc5DBlriXjPLE5mtsr311a9qJlh0Y+Kb/FmhVKy3clFUqEUzneHS9bK4d25sZ3+thXgXiAOSSHypU812mv4BGtvi5HNysODMKSrc4q7A5R0+jr/3eTE3IIM2fN99XMdsvwZD8R6FNMguDvFjVZLqYMScpi4t1oxObmdp2zeHKeLWmwlqk5y8Ocu1WoFdeSsJqHb9FaHFmcxAuSpWvreXDwd1XnPxrDHDBpBmzMX42i8fV6QjAMjBa3h0cSZmHqmhxNmGesC9ZT6NgQyfO13iXOJX2Jppfjz+o3RRaj+UQwe+QB6QcuMcHZjuJURqHkaDMOTUI1aIgJ8dR7kdv8oAwjqQ+1/5ZcjAxN+xRzdSxPY7ci2FMA8LCt6YPsa13ljkA+f+LIACQt4aRFKger7rhjiP0qYtj+KqVBNBO3sgtogTsX4bb/UNko4jVqTY97fLmv3HXTeAHr+99OwWcauuQUGIc89SlsHHY7gXqUP1nh3OEkXjpU4eQxMb7qOmXp/AHVtwq/KU/C8D4q4PdWY96QtJvVTfN9QPhQ0whw1u0llQXi3eMHIJjcFGC0BD5N1InohlTqDQU3k2Ab8zHJ6cCIS9MoauiPWjlERZmCQf+qem+sEYZeiqV1n5HV19+5z0voy6xu/wpA0jkqRNBuP29PUlv8Ts/zPpYqNzXsO5wQsFKVt6jwoWJa7b1zVYH9m7hkG/RaK+/AI9n5pgW84z4uAqTmznl57toTWhGcXHFZ5jfc3KX90RKiDCp5Nq9y46yGJJ7iEIqocGwi4566bGoNfTw0Npess+unlCGACAtf2Zwj49/Tg9aX5BR/IyMWWHnyiYLGMsXF3sQmtqNBIhYbaQaIG2BDzldMLPEC3cMi4d/oSG+N0+JIbrwDWFZVjBnQsTacf5gfEC7yRhoHxWX8gIWOQslqB5aKzW6ZXWH4k/N14J6Y7oJMnS1l5tfcB7qNOHyrKRCeFi3DtKw6Y4qnmou/aseL/RcxhIfbkidTOVPYjru/hKTrQDfSSmYX1F6DAm6dYgRr1F6KdoXFzJseBJCXvPBLkwOvGVXH7+sd6q8JKiPhp2LvDBMc9tWpoCgs+M0u1WylNadNeLrazLKPbYNjkaKoJgUvIxR60jW78tV9lgAdDeg1LmSv2vhzycvOUzF+jY4+hGQYD94rvaXG4Rni2kRxOdXIQgs0Feu+MOSGxLoCR356ErQnI/C4wNCwwD9R+XHd5Y8E5mR+Vj3qwkT8mVc3MrhXXYt0AjKneXCNoWD+W3z2R7Xb4cm5dxYJIV3ioJkyN8aoIyzr4mEAx1jijRPiL3nmpd/cE+5GWrgaxTgGbizIHr8iDaiT3Uw7MB+rvCdJ7fzpHVMZVF3wUHdRUaJuecq/GGPg/Vvvp0auqdOTpP5yMMMP9fOyWM+3JRxbyXdaIxb67BvqJ/Sx2GvTb/O+KWeoiqaBD3OwK1Gi0MmNzLJZWady/PHlfhIRtJbbeU/dJHqpHYV9hLb/aK3FtDZK4GRm3NeVKmEycyaHVCK6w8Z4STP3TaWkGJJVBnoiGqMM0xgwQAEAfAdck7/VXbXTd/qkfkeHXz5k5Ndott97mJPr7XdaZoEjhBWfQDBFR4f9SUVI40nnXJKgzWmkoEzXq5dIXQoaGu0j/VEq2b172/oB4Uy9/S21OE8w5G4kKl7BrmXlVkFYIYC4sX+leNFhPP0cwIwcoIQ9Ul361ygzpu3gBf8qGqfXEI+h0TET1YMjFK2609gfT80c3tg5Ol05gTR6Hj1FzX5+OBCg/x2AmhUGBymC1moUN3zxYZ3OobAxkVZyWUTPOWbDUebNyB46IjT4sbB2UPSDNOZwTJudV7g7FJFZgOQkk+Ow045DDR/HiHNtDJ6DcI5DV4+XLZBSjuRG99buZSeT6mGZx0M3WUJz0ZHxySH0fk59SS7xcBh2d/ifYGSvJbMu+4hPboa9qcUmivBqmuodNHaTQBtnz8OT0vFkgD4Pkkj+/Kcbw3XZQBjO1+utQh+RTdJLd+wZaHcfftvJXyPK2f8C+gpLDTTBKfjFokY3mXJNR0Kcvb4j6myRQpM1iYCcsbyHGeDsmgpy7gguPpfZAuE50yqWqDk9BpyhD2LHz6k5x/1B6nPYgVd6fvWX1bGPXzzoORTNNn1qKuUN2htMIkDUZl5HxUNuGonXdZZ2YXQ8IEfbNLb/KrjW9qt/frPZ8Z7QjpL9rgPdwCv+YEVocuNO9YS1NQNv93gaDO6W3Qk8iGeIle+2XI47nRKPEGjE279DB2/eviS/PhJs85KbQaVyO886SLS1yKSUcDmdRm3LotPbm9JAKw/kqCjlyL7t5YmWD2V3uvFgWovVhPhRZlppjtMMlY8uucuEA3hTtrhkqvXbm4BCEohLTHhBBMipacNV2rFeNdEFTAT+XGvtHbJ52BHWES6uN70Ta8EsulWA6Lmvp54dDx4Az+xwUkLFgKBWNvbNBmxBM+S5AiX0L74jnt8uio0p8CeLq//ObM9In72ZcHwGBCqilZ4U2p2/2K0lu97zh0isQL1EzegJORsxWKBYJRkiNcw2E0ynRqlQRg57+7HoTS8C1sIma36QuB00bPX42ESL6j5ICC7AZTRtB6hDsnr7aIneUbU8bt1ZD8gmXJ6PBodQjREIQaATcB6EV4Y3Op1ahqWc+SnlD+DiDupwlNK7slzkk9e+8IHLqJl2kvonzSldDgzuw08lWM75uPwqoiTR/o+stCX4TKB3qNz1c1qrxXwpuXCanFnN+vXu8x3aRtfnsKRZAfS5w+lCn3AXddTwPZZGVQ6Efvnphw58QarcbiYt/2YPKk0/0MMyPxWBnrcIQsZJKXNYPVjG4u/TTwHsNnznuQKR</x:t>
  </x:si>
  <x:si>
    <x:t>c55vNOiKtTNlxE8HFN1Im7EliY5rAIhF0Z8xT5ZvJOe5/fme9zuIKLqDygDAWOWlR4++VQo62HmSeKaZ+hW5du8mN8C656HTK6ruKRp9VSeK/9B8IwH5V72fROZM0oyJcCoBgE+RsRpzUBAUVY7sWFpWOcMlFN29g0sb9u8oJ7HcFSnXEW1XtT1DpMF7rARFq6lJNd8sgCYyBJbqFIO9xLDkjFbwM92NGuH8UEHZOIvJ7S0LURQNcNMiQTOQkYhvj1DrS9yqG4/ERFHlALRDm1DAqgQM+18YJKptu0md2OJOjV/94ZymiphQZDBtmE+kqLTNLiTyaC5bwxApZdm85UI5GXkYVuZXIkRLoIOIu2e7bcSeuwz3riASQjmZ0faPHpjbQRhnF6Mdz+wUabfpuOgC+aftL5V5lgJ+iyhX7jWKJ6OwYiufxrtfCkoW0dfpeHacp7kUaZ8Vk4z79V+YUfycLdbaRNE3KWrwFNjjK3jhctmd9X6FmU7FG/4JxNYF3cI+FJRu9Yq+Oq/lfK0Lzp/TbKZznZ+YoRKm1pbeW1jsEcRQ3BVxtSYAuMXb6mekaqcnmQqDkKHqNPzkINKqx6QgDxHRLeN59ieLTMOQkmYGwjyxQiYBths84Anr9I8YUcTp3FeppFFufuxvoZqBDSV1/f5l4b0+yh+ROq5Jf/9RjyW/1cwDY+ujJqnh6iNWm+KpZljZXwRKt+yjMt/EYrX3QMlCte/T1s5eYKfLFA0ohTcCnlOzdWsh+auqNPx+QDVTaNAdm6/1u3uPMUPiCZOSjJoHA8EWnwjfawfKkkJUdtfKtOIhA9jOAk8U3SYygUvdRq9kkO++NKj3TiSiJHSJvJqvB3IMr/Nqdcq0ZYXoxrPfo1dAnHI8FafeL7fsLAG4AlXPHmtNQHy9R1D5nW5cz+/7UdV7UCykXYOlfRJG6NgQbAUplxqKV6v01X8eIJp8KpAGm09Dd+Bms3UR2mM1b0NiH5vjZy4zOGZT8OIA+zLonHxikpXj+tSeP2U8dC3k9nOKT1jzBDL6nJmjivavW/52qrT2liCtb2VaKRg2/HdBZ+XoICa01CMTrO8dbbcFfUdVH4GztzSSIPKLpjpgiKf5cN++tsm2R1yUJgBxMkA+TsyCA37lA/p4DfWEXCAYxkXrYBnJTB1W6SjGd9CnZDsrZgvXAC4P+Ki3mQXB/P4iarQXXkNqEh2CDb0h7Leh14vcIpsldKJrWbRhhAus/ATukKwuklKmH9Y9UzBlfUz+6CQtZvMVqbACLMPbIWNcHR4UvkzDvKIDz90eA9Dy37HhnybGNvXXC/aMBpQeEGoKB4lHTKAPCKdt3IzWhtaq7KGTrzVZtByTeHR0gLVEfuX3+OFaaoBbeAFEJI6b4nAp0Fm/c/F0/mud7iqCEv/Yz328fLbdumjkLRptyJ6dg1zANlzUj8myJMQf8I7HY6L/PUfeSSfhvhbjjbA3u7PeBinCWCVcnQli039fnvrGkWSXAjGU3BMV2jx/2UVEkPLzLykZEkDxcBuMoiXMPgS4Ktsniq+IZrEcGXEOq2fJuS938uqbMdo6H+/P7+bj4lTLiocEnpA4N5BXHW3N/Fy74jcSKWL3L1BM78aREd7mJC09Jn7MHNGsAmAGsQTj6J1/ebCoqMCZ0JM/3p7TU+m7uhjBoMJYbYTLCSdcehoGPQQ+0ZDJDJl+/EhKycS/h2a8A9bFZi+jO7FlsNxV+FoPK8DLME1HZT3m+UCYXGtYeBAVWOboYLfU2ZxjFkcx99GoAr+lP9xOXVT1KyZLKey3kktdwGgc5g8TWkMsZHyT9RKssESTfYLo6FsVWVeV2pIN6TnyfizivSdohUWVz5i+s+mY4OrUNngxtOFpULo6t3Mf7MNFm8Fxhq/pq0Cc/hvdIo2flRmHv2tkp2nQtXjYk/eimcte/z8m4KAxcooMtpqvjb+0l6lVo43TdsHGj5vqXJ7qq/8NHy3bLoSLrH7kE2LV++tjfn3SlmLPoFLhzZDPv4wp6I87wHC6RBxZvu8Pibl9yEuJWczyavHsZoz5DsjwiSLGLhW0qTxWhAxb90fjDAUNQTWIscXUEGiEwAWFVE1134mqdOOS1XetelGjtZlIOXBGm4HbdXkJRifCC6pmBxut67Yu8sVSObp01IvjdsmthuHaBhumPG84vXP6C4zI1wqRNQbfXTlZigjtVtTBUeKlS3Oy+pphTA2AbGOah0vrerxUrX6XSZ0u6G33G6spO0vdEcnXIdRETzWc1gMs+QmXCAH7mvwSFQ6DJvOuFYUSEovtUagWtfiC5s27qO9B9kn851XzoeFl/DaAaB/YZNUUkyG0TQ3Cs0rvCSNOF7SwxnWDmtt03VgiG36c0r6HvYuVjDtehcmjcXW/JOLnk7PfGgzTLl8xey0hM0z6e0vk28kBJ7J3TH8d+Vw/CUiDocOlxQUytR+w4TviQssTwvklnkmTozEOoc7MvhAxCRkexhUMkJze6m6ED+N5vzI0tM8lm7AousztatIb+WzWPDHRZrShbZj5RxDHQQPgHPlzTQurxkoqhdzlLLJWiSyxxzdxUxtwxJD9UCP32ya0UQgw8PP4hutdMiSpKqq20YinCjoxgDuEPJUNSSH2lqr58UGxhV6IKoxv/BQ90GOKp8AkTK2/WEhJoRE3UMvuHh6FQvk3x29KT20CIDH8My2HBF8KExCpI8gZZbNGADa/XkroGmhUbd5JjfWnEvW9k08QVNJpOn+zEFZCDWHMc5OpUe+uAGcZ1B+phdHz/S1gwQEnVjvYNdrLg/+CFqL9CIdAVlqOR2sH4UKz35REjkkfKoejtTUQhswra6FStDQ/hwmCESKh2XCIdq5LHP8ZcJAuQjxcCJHWBc3R9b/rTTfUbtBBdwnOAdv9QpmoXqOdA6ZXxTjNg4NbOc5coudl4JSB95mCmyByDlVgr8llWGeKBmfnm6Xexfi5Eolu1VMc7+FYMzukx0oT8Oa+ESlXNTFGV5Z1SSz7KiDdAT3Jv644uargej0BCdytHcE1TWz1LssOuzPqyFOWAvknPItKyEWQ3Qdi+BxhJr9vjwyiWykT6qgyKNR0att7gBmBY4PRHu+rLkwRtoM8ilfUdpDS90TEfS1yuhpb19Kr+X4kDgGweMaEC2rBprSKcfkr9xtlLdJkAmVYZf52WhS2QlFdyL+cJp1/PkR3OZg0BlYh/+CX8DZ1io3J+BxP/gL2bZdvAXzHc3VwvGHmtScgyTj7dkKaVx4P9v+LC/yf0rqDmGShgcungnIKmnnFYMDMo5vaa8hfBbM4rd708kCM8gYQSNpcgo0sJBmHk6mur9I7vLnada59xq7UxRFYfxJ+LNNSwWgEpIpfsRIENgNc7i8KlEPoB0AzabruCGlp350AhVbuZaspJg/IoJ2beM5dIeYBwNX83OaGaKFdiafre4AdTiFq50fg/sHZ8dyXXhCM7CXf0ZCOrLKdvpOEU0zZLGBW7Az6W02Dfibk4BwW4SlNtvyw00Rk+vMEFYlkuqTNi5ihKcx5TTm4Kyhx0yMS2+V43ZOg8ybdLDTSdH8X4zWY5809OewuzfQ0e37PiUaOVGbiwMUAZ99C1YCtnvTGtwuIc+5CRLnP1ZPTw3FqYcjMRL1gF2SrFOL6kVWF3EqKrVdxrUSNkL4RA56ap1RodBGqmsZumtY7T6wTOqNsixzhUoXLelqbgfoksNlzp/0tzTBSLtdZfTcgZ2QJsjqOsdxT2hJ2xNMWRCKT2wAHdyA0GK/2/64964K1ASQmZQ1quszRwinx4PIrCC8290zU6hXDWCcxwP9WZVROCu9mSMc5rvSa9yb+DfYrYfKjCDe+wkL1tBNLYeYVqvnETPHkNXP2bqWHR9QfJ27flas1fq6V+mvdSMH/2eklwabiMjpg8YSwjnRuLyqlzPoybgJfFWSJEZZ8nN4R3G+bFV6DE793pLwoIClGZ0Gm20iO0CdLhIm+dJql0wEinZYwqOHLXZRRePsJgY4QpqkphV8bGkpVApMoM031brMVpKnlbnpOMaKk1ikbXm99BNWmfXrTkvf2kUmDYG3xsyK3gwgyoI/Cn9vjO7Cc1bgxLmTbDFZC8tOc+MfsTATPR1DXsekJVv8C1lOZxhhUWzFtcFRL1sb5xjSHhpmMNK8+zBLijlFsW5eGpkXGSnkL7x6Ok6TN+MJfoDYCOqll2nurZInn3xzif1KZZjk056F2d3JthzJ75Z7HNaoE85qe4fgz3kW4O09wpudZc/EBgfoL4Egy1Xk2ke6LwQs5hb96dXMHY9cWy3JPSVzUnSdt7ZvbrsywGrVbkKFDpOCnVJpMpD/DuqwK9KCJ+11goOyPQLGPXwyWSBvlqHNXj0quvT8sbzqR1CoFyVlzAmxjqrHgw3AIOe9YdXHY/MlYsmegOUMM7HzljD5AUCDiejZB1TfMaT6uyQBycXu8Us7/H1lcU9pGsOAcJgVWwQ54g6WtkTtUH9L+TZSUDEtE/XPJCtUmEXudCmfJ1xmO3lDyyxwwBEjP3PIvzQRehk/1Sl9g1+7GZcf296MFrGiU1/DmWq75WIQBKirF8Ei/DBdegxOp201vQ1ZPznxsJMZWiTheg5Ct/hR+eV8rXJxk2AFUzFP1kGqPR4P/gnfoq2SEMJ1lVNke0qxfFURBUSoikaOPnrmmWFr8PgCZgQWMl1EwgqNUk4jOmtWVDbZtVmTqsRC7LsHs04o0UyODiDoC8PiWX/Wzl/+grfb6nfPNRy4wDvgGgSmBLyxLkaXmbb7KUfrtmdlN8vKuVi4SyebmgvtTEFVvCEiECVsOVpHaAfaMaC3hFoNt2gTllSK6lUssBsvhP9LQZjPI/6NISfT2SIzF23Bo0JW5/tWBGRFCFMCP8U+qh2LJtJqCOxR06aFUeYFkf89Ib3OykTRgz7GZ3g3me8LaADPG5duJgZ7DJVR+D0vOaurFhPHzpWJ6dx1I1ysdlmP5ZasYzCtzvoLVXY55E70PGzoaDk/NCqfWSt1geB4eASbqyOT8wu+gZsiNefVLIvNCD6gT4FwaVC6e1S38Lxv82/Z9JYN541mYEuZa0nSnygoPt2N4ravZuX1pJ8tGNy2AHr8i01RH6tMFr/uYutDoB/LP+eHYMDhmY3NCR/Dns+XV1gggKjEBn0wbzku1eoe9eihlYIq4Dve4KN8oxYD3DWoIVvtXsC3OBuYlqGuU2AHEzlDbASTuOqhBp96EcLWXu+3Z9dEbvbjmLQZZcUCEM5t0mk0GGtV+tGR1e+4QnJFpogTMDxQO+b7KHkD3J5XEs1Ig7IvksN8vu5rty26BlrXsih4z5R9gc39P+V98EXhEUPpbbJkJKReFeKW1kZ4JyWEXgU2VMBXvG+7doUjvXxGIhW7r+ewbLCESwSfetx1clwemG/9RjOBdIKOEG8tv9uG0M4HWs2gOZFnRnlUFnWxc55y8BQHQBDzM2aGao+DzLQO+WCwdV0WkUNr+e1rWmYpPL6kM8tQz80q+sfIA66IW56tdFy1BVIPrJtGtq4WLzWjXO7ZJx9A8/RL0X5QBhDxrmrJVSGf5raY2CndgHYNIUHGcRkVtMN6JLOZuDNP8hc9BbuX/9BtII2eI1DfBg6RpxFlOlQIFx1qTGXZ9r2DukkNM4D5aAktcn+apF+KK9ACs4zYoNeS0gtLrqSGeZraFS+qq7bymjjJLEOTYwZRkEFdtkoJz/OiMCpmc0NupaitsRzy2jTwgErHdZ/zbJrTOVgHrfHafLhhH+z0q8CYc/w8i+UoyP/qFA7wAgaqPrgUWss5/2iK9IJbryzhJyuuEw1Omm2izgKWn+gnQSHBD2pEaJSyqnMQyBfhFMUyBpAiPz+1hL/U+IF7Hd14PMNVn3jWtk1jma7gPd8eLLZp3/bYcF5JsYwiWqV/z+MBXuwCv0vgpQwHH/ICECDOCOlqlAT2EH5XJCTxnNwgluFWlY1Z2J2ig/fny+Sa6jv0J/ozhLen8IZVnfR19fTssn1t7BhSxze9Gx2WUQz6uoHRqwheDNf+UGMnS/lDy9muSZIToMLB8+gt7rglD14avDVUsRxspesHH9fUoUYoQodTKnp6okQXokJpb7hknQwRDNur0bdKpWtDc+a9067hGVM35HRn6gRg0d6kd8F2DrZk/IzUuDaCG6gIdHjNwcC63S2cnV5fkIze7iv9goJubD5WM6+1x2yl4lhZ17dv+bYyP6ZmNxuoUpe4MQ/K3dvxFITnzrlgAJcfQk7tRnoT/bqy/HQgvlwIt5435COXubzX3m+QJrHZly/yObohTybzPPesl6N87WvFk/WaaZ0GXFDJIrXXJTl9Td7ZCTjlL+aoUjyTyK3QyzMoNy47euj1+H7wcKrL+zQEn8Mgn9Qn3xSlnl3apirJKK6mJOkjCa0c/rMDzbE5LBYQD/H4BPXgFBpB6bszg8sTYlHnlANdGF1p2GEL+kxu68HMcQbCEq1GrYkg8UOHl6RKPPVNteRK1doAMY82jfvPn6SxyPcRMPNSn0Owej0vbH6RUNCf/lJsnRC98t69+mw4/pWwbA6wngnYIPBzLgQJ+tdn+hvsF/A3p9nJaKZzvvJ7wFj6Fn7YHn73Bx661Q/ZsuV90jGTR1GZzRkUa/rP+AXI1HeS2wFJldXN3VE90X6J1MD5WO8/Rnit0/fC+QvgXDlgjlAiO6gNrlRhrhNVMrSmwLpuh2sW9OZQJVg6RiGDhUXBZfbwDMHNDbCcatj99SdHTwFYp93pKm5fSOsowYFiiFs+pq6O+Cwt6flzZIhDuK2jMEgh+rwp+Ux0clmLQx9OiDKj7b6hcKDJguI26JLuKlBJaLc7/Dj0B8H/Sx9gHlit7/LepfXtKG9+pvj07wQDQxtR5XvCAEIXcU1v3aXa/juB2w456/Ohv/94mQqy4fJ4BWn1JmLOgLR0UwXEBfqhn1ofEdG95dB08Ns/x56xMLWNw1TnlAbd14zi1RXdOKEUS4zVotuZJ2qiWvXUzNm/43JzeXZ8uXMjzxxkkJOjmATi2DQ95n6bSX3ukEmQ7u/OnDjaYYM4vPXNp4mG/WU3UhrRgbDEQyBH8B0+XiJ7b/f8EGTBDfNJM+AOOfNinU7sVNgO5uiwYUEygbVdVGfzcokC2NT+I1K3UoYrKOFMJpf7pnoikPYlQLcFC68JuungnCma0MlQc6IRYUUP3GiNBioEvGWdO5Bbymy2upusF9WudZ+1QEihU2xevBo+GH/f8B1J8WLZQWVu5hqXNFnDR7wFLDaVuoOwpKXFcrwbs5MqDeyb/2q/Qq/AC8JzFB6iKnh8Tx/0WTDLVfBsQBKXnR1t+Dm4dCNFysbJx/nczoFN9AaH+MV1/NgfDW8vA8qA27kzWopT1x0AbaOcMXUDKwxhIVZv6tT/PWkiQ/n0ojw0xjIFQjm94k0y7Ndp8WuNxBBLkqGOdBJ6ahDWWO+hxMNzRdvy5lKwcwwmnRb89Q93G00N2ZvlclaphlExyqjn1tGH4FL/+Nx7eGEjIKKm8X4QaT0sFU5pkWnGj+JzXWVYTerEh4gJFvSL14p/3AkkGWsiFd5zjksnZe50xU5QryDktpcNQFok0jfYV5TstYOteQF7wACgqRkEOmiQDvvu1/WLzSBIZHG+vxJCFiywzgWCVlRmPd1upTIzi0dl3/mUrYYV2OjO4n4WIrN2XNGIVFVcJ43UqJ+X4sHAFZcpbY0dKRN1yEjh7b5VXHO/4EI8oEtxgFd7nrGMqkeYHOFHCm6RWSzG4s/geHNWUvJkMM7DjG8AH5bP5qDNnJmFlLBCbIQnT6b0pcDahCDPK+sJFm0Avk7GgppTikyEA7tPY6gbXsJDdZvOMv5hKSrdzoIQ0AOhjSOJHTOSZN6dHhpSRtV6KI8w5Ql1IigO3fTdHhdgRyaHjGbOyVNL5B0xkKGaUDCWCRFB8CUuCTCOczA1ABTANhMIzABGMeWn+eXWUSUj12OfFZ+j4i2X8HfGFiCDBJ50hNQ9YKWujRyP2EVU+ISIUx4ACLtYql+jemGpzqnS0DGbX3QYC22KX4uhnmqM+ATn540FUUfKgfky8Z4a0usiGu/s2RdjjbcqNs9FzchHG0uF6Ax/Cr5rJLLEoQFY/4+3wOJYmAiZQQag2sCiBibAi+AVaJDig8PY7cLEBXWVrPGxMVWeHaLucnMvp7/GSTCLeHRNnR/YHgN74kU/62wIH4U0e103fyxKq7NA77BE9gvW9ZM+eLZucECIr5QFQeS3YrNGqG0rXIjP7xbUq+NNenIOUOtMouwkrVipruNY1IBwTsrhRYeR4XiFd+JRH3C82DJb6kMWQadcC+2HIeBkEQ6ab+2cY4Zr2Ck9FUmXChzZhlZGh5hnp+7MQKu+Jss5ACH3sHE6I6UYTVZcHltQ15fl9gRUxORcpNCJx57tKv5oVlsyxX06AekNsUWGs0zlSM8aNnETSE37TN/pjeAVr3xnN2j7Of/Tm64ZnAdJS2qHZ2lmLqDUoho9whPWHTAsbiPOR15EWarRqzCEDwqdVqXICPXj5nQKtO+7UnRwsNCU6Qwir7j6XxqTRdmvvzyfJVfMTy38yy7Q1LmduvIdcAII74l/s9LE5NOBpQga6Jo804i+TP/yS5xAdRzpQWXRr2U00BCa8KQ1d7kPX2QTjL7sYdEkZDtlvNYs1kP3QbMpGaOmUpNeobFtmt+CQcyqWpIGkVkLAbsWCRgAZ6HVJKxOsKA4yA75f2sWYNQ8mbvQMysWxl8Rm2BOb4+LIlHtpSkH+Eu7MSP3gOjjqvbJIaeYXEgUxKGkrfVRv4HAftBMZ81eSsyz2Z7vfUTCNt7ejhmFIr1U6jW6mvaCK4gfz3yt7XSgM/RaclQhP/4h7g1mnabLrNYuZyZqsNrGI5AHvDZ10P0O/kb6uq28NGzJHtyOPGcC/O8YxumtxZDqTFKk2SWFZokWglWt+vlP2WXUjZv0k9AN0xOGRy0JVvBWeoR+YtM9MTbkFZvZCKumgRii7PYaC83ULkSoI1HQySimsPGKB+7nACkbA7a4ZxCrqiqXlGCx/xjgdHdZ4HrYFijtlN8TFxVuuAFB60Ooj20uhsHJ6tsz0l2WAXbNCAA/8YWR10NQ77M1VSXwDyb3IEU/30DEJ4q2gXNSlCEbjjcwZztFoxooahzc1uFzXWjCpiGOZPFExE/oUUxSGylrP4cRKa1BbkWNy7+cPqcL80B9MHl3gf6KB+Ie/dT1/xDQPVcdam3FeIlDvcpibEh3KALk95sZkEyuNz/IduUDX146plDdNqol/WY6U49MIdCUi5TtAJHXYbO0cCyYiVp5wK6X+sfijB/3o4e6lZkztn/nsaCQeTMICsfumxpvOeOO+2Voc7Ueg6LTXs9KLUVaT1AMxxMrXiRmdjWkNTtS8v6lhPfjeHcJd3BZKYpAVuxtTVg3heaQiEWj5oGJTVMwQwegz1xqoTSdNh1UVYDziHIoobbyRafEQh7L/ZrcF83Dku8MPQSVyTNEMU5dRLdj3glGVbG7Rvuebp0uHi/23nvCfoerJEsnBy4nixxzTw2fTPJMEaVqGVe3pcR++9EbTnsamg8IdAtrltSK7gqmdgui5O8vdWHuUsDRGca7vKpZ7tWZanrlBqZ9/AAHDYYZYI+z9u9aCkA/ZGbgCV10SAax3+sSGyigGP0U9k1ZG0pt7ojG2xmLVx+BBybrRQUNjOUa0mNC8BI4I3eoc8TprhdHd+HMSxRGUt7fSw71N4Za+ZEonC8iU2HAJM30GgmfHYVpreba/+a8hv/Rwo1Q9G4mUFg28XTd6Ru60ZbKwX/T6In4E3bUPqSjwAmT172bbtqHY8ptVFY/hf3OU7CEDq7JGbIjNZeXe2weo6ynlaoTTQbVkhVcvkyIb/shPalTfSJFo6l/Jv82TJ5Fc6eg5LIrEu7RRdc3zT7PRElGhaQAHqv+OfYX5fCVERdte802WeXGBsWlLov4gFyvgfF+MPLex/RNRCvnUio+Vhw8HH22kswXcwWkxDTNiY8B7jNy1EiDTspAPTcWdAkJLOwnzixRO6NCJHXSLOpA94ub1God1MFtIFcQErNkRa8ROiOYD+cTrn3v/gxPlo8UagWnAYMyv1hkGSNwFNDgXvl+37BKBSjqJ1px2jajC5eEB4QOTKvxawX5tunM0c2bePGqwi7Mw3FElXudDUrk757lWvCaAtXpAen92U6BQjNeSw++5rcPtBSnOquIdz0lRcdnWQfM/QoAuzyL+ry17AxlDlaS7PO5A9rJOyv0mKQdrSdp+CiNudl6uiX4NedfLQ3rzJRBa/YBQlHcToqGzLsDeqkHL0rNnxAB1XVJGChlcey57xqZ/MjqK1Yp4KATQxaRK3D7YqaSB2PGJIgNM94WMqW2/pJNtk6rM6pztUB19RfVc3duCawJXVt+C4QbPxgUIINWbdaBk7qLph1DOoDbt92s5cBaCOTQEKu6KAmc4dX4x0+mF48HF9KzjlBvADDaffK4uYVmUliGcbipwFXsPgYTuG6YARtu1+25o6FzD8WPR9MexxE0JVzvL8yEInDwFVNq/bCdJlmbpf9WxeZ3x1XHAtAJH92UaLkirO6gGpgEeoBLTs9dMXKlStIExN8Dai4EVxi1vjZBEoqEzdlE+s6oqOq7pxEGVNplmjdf2RuLPhfgZIxEWI/NK+98kOISs/e/k9mG7IOgYV6eVum080JzhTK1D7zRxsYm0sEFtOvkUNfj/XdQ/YitL9F3fqcWSLwS6KaP3ZF94zLNBVQ1MGntRtYMfgjR79Jy+/gVNHBCOdrUisFrLgyvrV2fPWOv53OI2gYDNUHNZpdnRtn/jJ0dGOfcr/CPWyeEp8LmXC4kIX3fyJ76t4e/m6mHvK90fprVYRgBWlxPB3cvmBdzLihAVS0NwBBmyC0RHdNFwgDyJ0yuIiNo9JqY4q4DVTASPDg7KAZmnr2nRR9dixocnZH2VjM3cRP1sMdnvUsDZG/zJGbR/RbA0JR1cPHC38xaegEbYonQWn3GYhhXns0DyoBlYKRcSdFq9vXHlEF3GvfLxkCf6aI3ypJ0rd8Rsadr0NKla81bQ2T/TUmlN5bsXobpWa0kX+M6H3Ew4NWVS2Ab90zmbkhrVItwNm2JVYh2i9eANoL9rb9kx93D1JucaUjo2smPsxb2peWWttJCjrymnNu3mOqUUsy/3ils/8lngz89JDRpOxnGWUdSIbzDrjfAa0E+sqwxRURIV+Fm65ZBNZH3VRWqNtZ9mN6eICBqKg+D7tTuF62D4eaM1fAUQUxVYEDAWpKXdte5p3qdzzl1g3TJYl4QoKnkdOypxrB/FhNtMmMWWfkiOgvSpEySae/PAMY7E2EIugynHzPOBLBeCz2/t6FPr/42OUD5bB+Hx/n+a+MU2Lf5xKKqFu6QFWDLTDL3MRT7bOFtqtGibLJAIwRVneUdA1L0MGhxEIpkagG10v4GJ9ZVYNolfZfhFgXnuk1Nx1ywKwd6X1r5i+6zRNdSmnRG0LWYR0pjZL0KAkyyRPL8z8q/eBXnBfquJbyNrM9vH0WI9BMAf9K9NpiLlz35IbC8S4rh/1IuQOy/+KGKRUyLFAa2NZtXET1DL3D9l1KX0aXC+/vvyq2V1g7v1fWOAkuFiJqViQVQihn8xGEK999eY2I1UUiZmy5cx2fuLCWFLW2K0pOPRq2Jd4TPtnl5fIxaC5U9MClJ0R9iIjOpNIWqKmksnzrKZLFP7qp3bxn0fMdy6PePnHfBSvZpEw8e6uUjzjEklqH4taMUlVtaM0s5L1rLElnSyAnnMRUdOI1XeiHX/CkmFpquZ2NTxBrlEVGKNt00dAtkNkOib7W8iWGsXEYhkw5KGKDNl/bW50lzGT+cjnaMQxcGEsSNz/e8RuKLj9kaGz/VC8/WDgZQm+HJhooDY7xkBHBms4iUXdoM1ochmsQHTKP+AHeHn94aW1ZIxtvOZu/Q2nqNQ8OWo8LjTdceef4FCvRFXL4liuZ+V3R+AFZ7F7HJBcdbg1aDNdCilbYJgdDKBBrH//pK5nFwBKrXlY89HHyD+3O/s4GQyiu9ADwzTSeDAQl0+8rk02lSMDfA1JpWEqu+RBipC9ZjdPJ+LX56XY3CsB8E3AJhVyJtAy2hsUqYeAWvFBpu5QRFTPg98f3zy13O/MJnMaQB32BRPup1y1Tz8Dm2F2cwYHQhpwTKArprYYgAt7dsOU1P8lQ7eavCUt7q3aJnXrapf1fshl6uTmcDQMStKKEWaRu3bGfmd+LhDnwP/SvJn5gR1wb+bzGS/CuoneVCAHaNpMLZrVFW3cE4URe4RtgBhIFhF4T9Un4xzpRRCj+eaK5eJ3ycTwbEqc5kXaOjRpiMwywFAmNRDslPZQ7b3IOSBVxLOellXr9iUkPIoLBjriXJciyJWfWjs4I16qHkkb6X1/6C5a32in3M2oUurMVMkBkpTrZyAYcalFqW3Tz/oH8GeG3zkBfOVJabgjeqlyas519gnqI8EYHQh5bd0OFBBAwoaGeK4hM50EEl6RXIhrWBLFGrv6mGpbLnpPSL3dpBn0MkSwkPtwR2F0O784PDc3ewdeuYd1Kuw2T1oxtxIb2GcNPQXnd/V2d2qCUs4jaWULAjm9OjVh7Pk77vSJzsUEG/jTVhZLUqtqdErVMyZLQdvawuui8lReZ+UrhoQSyDE5Tb/v8gdth5opk4+IU9F8E2NM4ZGGHYghv+/wAvuI+4xHOMEulZq3lbraRLP8vi1iR61kjxeS8INkYK1R13ChND00GUJbyG1fY5pA+t0ISq6+D0xA1f7qEwJfICkVqvdH71BikD+pGeA5qaIOfjnczYSxbm44YoUXdHn0ksO9/EKcKUURuqS2Ua5hBNZszq6Gdq7rqO5r+3dFJ6HoK/xW6NlSjjDYrQv2Rj4HmzxFw6SBU9t2sad10/zH2W7mBddR/DFjAEbTOmRXyMB6UTjnLGaoVAhsyO+eGIvJsqtmpmMZrtBm45fiqWeZLNwHiTEPAdl1dh0OELOR9Y4OkqoQUk7dcdoY2CEjGmRNzBz8HertzqBAvgjT+XazWDRBqCOIplKmu4afgGQLGX1NRsZEC3uIlwwZv465y6g2m4R0xRjmaNrTzRkcOGN7sg3w0kbxrgpnWncdNEml7AukHeYhIrP4324v9ExGLq05G82SQ+5g5vZ9nS+lsZRCOjsR6C9l6XUnZs/M6T6mCe424rkHq9VrtEoHUir4iylOK+AqiZaTg+GM9XBV018zq+oALmIzf/IFb+O06rJvfc+cvakuxGo5dW5zkQMGT02iM1fMIphvvvZxbvjFVRj2Q7IlokXtS8r845uen9T620RXZs7A9iY00g7MjepieLhVfQX5DiczI1H2hSGNDGYZkTSGj803uTF2C4Pp1/Ms7QHS1W7RILBA82Wzx9DrqUzvj/i7b1/Dzf2JmNZmBoU8mF9Hdy6OwjlcgL6FthNbWuX294SUpQMU92Cw2loKzhOEpYbD3FLPOCTpu+hwZCYvjj/Wafy+7eMz3LyAjh6Yy5jh+7YMTvFjynUHNowlZp8zzjPwfTaSH5YXSnm3lelIQo03afgy2k2y/m5GogDCa9IKYVkAANkAKVYk76g55M40PM2Y+48WJ+7gkBHvH+aZEpF60KfO3AoczAzhE8PsrW8Z90v9r2vytLp8+3mP2HHe2dKV1nLBsQb97jktl6M0wO6VBSzuku59oYfyf9fnAy4+htwZhawnZsbZhWeuSKHpV00w/yVS9YldMjAzMstl70hlLsnHsNig97zVQ58qRssb5QDAzaW130AzS/wCu2gFG77AIEeh3ebD1hDu2s9gjAPgjhEkFsnGjs83fM1qLu6Rv7c8YGFAPsley64W+6fps2SK9UlZW2rx7ctmnjGndUzif568xdcOXROKuceuH5Ob49fxOcyWB/2w6rsecIFO/AIZO461LfEFn/5NYH5eaPSOawomnEXzgrhAtINx/ZG6QXlq8ADY6slJ0N/8jYe7vILZnKjBP21VbVPd6VenO1D2Jen2bd3LY7pw9J9fTX+wdY8jw3ZqB1bDh0D0qzhlkRFHyAJKSblpV2sv4ppfznBF0foe7naXrXId4E8+urFfL65uoYfKK98bi9MYSKbwTuGEDs0qxQZ+YxiHfgbB0v2pNvgksqlactXsKwlCEnJb6r9oCQhzxTRrgtpMmyC1QOJfq0ZlVspYP96qFVlzUdpV6IXsV7EctTHoXFXGLWl6htuGRjXQ7HsCcJlisKB1dBAZQ2XL+zBvu5dw/gnlqo4zuF9lxSzVuNYRQe9KtSTd8vDGRski7R0fzcp8htPzC9oqE+fVJQwGgeXY3qHAR0crs5cjpUUZcmcIodhscEvE6bX9GySHbs3xeC1eoQcl7CvoRVdgurm5t/cLBFt6mlly5uRlOkYYoZyGP1X2SuzjyL3BjRF6f58pvuiwFbeGkv/tzYJZUrpV8XufmwDxTflDZM1kkhilvL1Q7z8GlQ0il+n578eyPItHZ1M9xxuLX6pNOJ5sHCaWAWc24gL/QfDc94RXVe47+l8eiZ1wQ0GIBhvYM18xgcOMh8t0sWi9z+JBJ0Z1wSyUgPSW3+lnQL1B6gwjm6Sq8GVt7OXfa8lRtB7yMro+jIb5wReUag9NT9TidvI5MPlNucPeVC68LMFUXmCMTIHjs3J+DY9EEQm+dsSUEY0wLkgHN6JQTAjYsemb25NHK8vWgz4hUvZz4LdAWw5XMk9jtXsrPliygStdAuoH+PjpWFqgEyXf+q0OYN+17z+IpewtGQKLbGZI1r6aVEBxbNWMCQr5N0AJ2uvGZYrh7+Z1fVsKLyFuplRUkxAuyT3OTpasQ5oW2DMOH0jYkMF/TVMaQa6XvPHSSbG0twblsUuK9lf/iT4LzUKVT1NT9qEd6syspD9eGQD5whGA8hPeYJGYNPzBT/fiPXhuIKej7vbunTTErmk9FlxDgRnxxFmE5WaAHIUw95wwOh8CSc44EQM13TLrsb01QMV1IQomG/KJmRT7iWzgb2IYaC+pqTJWXRMq+XuncBJFhumnGPk0+/cUl+F9FkiwLTqKj3XOR/N4+FF0TsB1equKRcp+oxmXSXK9s4zuzjFEq6g2oycviHpdCXQBoFw2QnZj93NBrPNxa7slIBKcsMmMrVzBqSVaWw9xvIp/9e4lGUdJj7aSHtJhm/Vx73O/RMPvLDPOT7JyS+9Upq6wR6oxmTxvoOXcLVWVSmjwFaS/YpW8Xu1lf7iZTeZnNGovu/6m/wAYYOFt2+chGM1w7j5qlPYMmBLmLwXbSqth5/ytZX4zFI8obM4TMJbKRk2beAMLE37PfYVHM4Oe9WpfbOgBpw2/ViPopPoq6tG5dBDT85+IjBLOxvkIFN9ejceJHCzyoUP7nLkGiSCwHcFbJSKjs/FmakNS24qCfzYFefIgErmvI1Klwl6sbtvgIUucFPLpsTIpOIK41IVsgqWWswrGD8NT1gp4RWaMwmkn7LyGfGoyG9CA/R4XiiXlbDMU7ZUMbhvT0MCYCVABJ+SBMJMHfn96/2fNsxXMo8AV2bYUyjyMO00NlDddOZOpF5VgEr6zIR5HChUuK2pqLylfAilqbF3g16FYakWwiZJun01hfMvvoMlLDYKJLZw2/Piq7cAv3DdypK45bNzThhBJDrdaoaCzXnzE0B7RA2j2tvsQg947QXr/yYTWNEfpqd4o0hGK9wEvYJl965olE3JKQtsTYrQ0nEpUWuFyWq/U81ITtdXALq19IasjkdiaQNRL5UusBvHoYgJSVoWmJrCLcbYZVaTDksOl1DpZPUOqAk2faNl1c1BgyyT5LZIMQZl+XwlzSlge8sJcIzpaihYxKAaBHQm9UUj2HnrY+Rb9zTWXNjprXP54wOGq/q2kMSe+N8KhSkISmxh3NEl5MGP2aap+oXwD4nuau7BAkcUeIir1tjmsSe6wXo6KwARUerfTGe70b2lSYGvK5DX3BEq0Tqf/hjrMG8D71vY+u0j6iUaIOu73PqXD99sBP3FayNj3MGF9rhK9WG6t8rhOXYo/hPOtJMDWqUXh3ZSE4HSYWmogpfkgXw1njctEx+Um5fb4qBTkLTXzBskeCvNuTyZltP8ACnLRPVgA1h8ruSgpUm9Ta5mI9GUs9/3v63U+9ICnZwiHFJvW81DZbKZhi3HghGMn1a0JkOxQFF5gsMCXspSw7MT4ygIq4xCq1b3xmonVIXAcF8MDcamdA51dlRj6crDmC65NAzgg9gMIPXqC8Y3G0SWQoo4RKG2OqT+/VBgqUfrFtxgDtkBIFEw4zBo76EMbPt0IcYKbwAXFCaRTb9Yonrdq3pEVc3YQvx7vD8szvR/WlpGpva9Jgnd+AHIAkBY/+MyQN/jCzlz1t1x2apTa8komyQwu8tHd6s5xRlnGdTrblvXU+Y6UQFGsVU9wVMvk8A9f9b400G+UENLSMLrsPmxOZeRCN6D/ZhiU6kSoVBU9qwEsscX8hKrDsr3AVoUUTfmDHUWiQlPBFpmuGNzOBwyCl47k49JwAVkCL65nQOOuT+JVA/KZrdmyWKv0C5983W1isEoXuP+yN10T3jncarbskODJSfH/SrZw5e0IxAX/lfcbWxqrwCvzuVO4IaKplI6CNwd203DLQzLs+/oJiEyptBechakCmmHnj2rAKzwc6cMmuZ7FXIf12noXAe8z9YBrzvVVeXeWFdttrDZi/k9+ZgtEYJ5dPIBQUqlXAi6vb3X39YkR4ZaQr/VRA57Aki8wffq1EBVgs3lZ1egE0uVD/NuKy4FcslosN2Z1vY/E4W3BzARcsTDP8lVFudGMjoM500bqFMVpRExk2C7sVDuhRGhbPNu3wjhSrz9vzBLdg5+fKTI7U3VnuQBu7a9ulfe0XzkMHw5jflIqPstSiVJlG51JnKcTeYB606FRkkCU6BXC/v5H9JBePyUwbts0xqR11oXzJot5IfiRO1HBWyYPW+cgsYboxDaLuZ7qVq+CEWTEbSSG9Gtn/wpq77juyM6+nEACCh7zdifV2L4yqIItSd45FG6dRXB1ubwHlOzHkVbXaSUH0i7KBjAa/ubBhA8We3dYZRkPD7pa0rD05v5cPbySmD9XsRc93ikbjRlJ9/X3yjCtWA9h+UDjquzB0ssUyUjH+pJg0OdJDUnNDjLVc1pASozRCpLXSayfh0VozpiRMxPxjLZ5l4zXyRuzRsYs6O9Y45k79pgRQozrbx+8DhAqY08jA4smYOmqcYdRvRtIp7NG1XphO7J84eFyJfWjcA5jgc60/loFeDeoLJow30n1p8ooUSYCT7I4u8v315EfK5j68hej+5GbUb3aYhJyWPeZ2unQ/iiPcNp5pVo3Mr/VcXX5fai1WX/MQWtn/xVcyXxYaj++PJlqVRyM9I94qLntwcYMNRYRwq61FvFrC8H/Fw29JZoGB4PHO8DuJtTVGHJq4MUsPxWv90yhnJBHYD3MFTGNEYqdkgDlqWwLZMw9TBlsciF4RprWMaUehpcb/YZ9UDskr3Tmk24dy24W5C9ReH1vp7iOjgazST+nlcVOzbrolpi1rXKWzabVcZsvFWIqlYb1v33doGyAee+Q+eP6rbUe/xx5svqdv5wAD0K+ZL4JmDkr9p2Y1aUeBI/QY5whJx/6fAXoa0twCbflcxVT3MJTFVmWlXMS46x3iW9M7hM0cb3jxQiWQIZ+NIDRk6cqwIPAW2E0laeY1H8FS3s9d4ixsaz/vcXjinTt8taUBja245pgbNe59+RbpQFyj4twJZ+LGwaLm7STd7JpjFTRq6Fs6VEodKiRr27wr5tmS5K1ModMWh4xLbzD6GRngd/nLLT5sW7r3g5R51AsCmRyar1X/nYHlpXbd8NzfoD7nQb60asKxkQjnecPtVY/Dyf8IvdNFaHkWXFpoSq7qDNyeAag+RhF108fhPL+Vsy4AHuhEBop2lWk+E+5JZdr+Gx52K5lgdAMPt0jpKsLSAW/a6ZKG4DfRsk8C+QjT+6W7IM5xNaVztMWB0hMZYsNR4jjxgYAmbmIk5vCU9VnYXpjrpCVjIKFSfa9OqmIojSduh8v4mvWtHkrGY6aYM9QeA/hPHjMjWovDDvo5+IVKDFpnW2dlvwAxkJEtZKr2b8qoysMRRyVxdJBoFkq59RN9R2idaNPS+sylrV7nFPRxt/YxHcG9mwx6Cm/X9xq3PDQVSnz8dautHsLfdvUuGSSTKvm7v8naqZ1CS1NJvmD60Vk/Z+PCjSSpqdOb0l4sVf954j4ZKZl4+xY5X2T0iM5zXhPmMeQ6QXlOKnnSE5xTWfKVGy1b53T2UaOwT0gv6v9xmlrQqnv5UcvKN8iajgxC+OvlkUDxN6HCiEr9Io+UVlIGIYAIfRt76Jm0XmQ59AvKhRDYuU6vgF2dhmW+Hd4IGBUjxeEmxvf5PCnf/3pX1xPY35B3XHTv8MFBd8egRhx/H4qWmYP1Is5W1MFmEGravKfNFOYWAszH56ps/wZslVkUyTrY9yZKAG+CYLC5lVaSwkH1AAIVb0PRx5ZQqVEl7le8yNLI0FXKRGoCfmIZg9oCyZkHZcVOhBBI1Vk8zwp6L4EWQt3Y/DvHKTTJ559XbcbbXRXw6zgLN84onJhb0LJEzRZsEzQB+IeEKQGmLMH5VeNZ5EW6sVA9+iQevvHcrhn65gFppY0MwO9n7Yvbg4lodJUhFN5hsBJT2T0Agc9YYY8k5MwHpqo6opf6+TE6PqGq46U5vKEirIXgh0DFyo0k6qWHDWyayNpWzHT1WNqICuHFu/gQJ9LvOWKIGKrsNbp9/GVANILJFxCY0Wn8K6YTdWhSBykcZ/HH6h5xvWUPsuuC1MeIsuFReEgzLcSNdnarLN/Z1mvsFIVEE6nJF2M3INvrYRTu8gSxuGQ+1/T06ezAji56Di124ToBtcTBqgP1sBHKtzAk4U8owdFGCYs69p3Ebgkndk/iwVSAFR6FBcaAf5gYIEg+rfT6RiDZAe4PrYt5LylciBaaTI2PRUXwS9tiC8xBAhmU1+AjEUGEMu/0F/1BdX4lgTi9ym/6I6yx1ZPPogzgrTMikNOimoG4f5qkXtUFzKyJzBk6d0E8yaoZgX3Fjqh5tvl8DwuPzq+242B8J/5JinZ+4TR1niVNCef0zwPDOo0g8UO5rZr+5rOKy8PuyDeSyNegOp1lylSILsRrSW8YivUCLeNl9ROmHo76ewerKWO9QiAXGd7jdJFFcGv1i0wrPSP3juCrOHzJP2cnrc+4eo9QD0XJ39zZhVGpFMSSCkjGpRNBlakspdK3/ApEjDYLK0zS99er4tj9ZA08WuP31nzYAxmcAhBN/lwviEWrJuBYOS7ndEx8a6mhwi1Y5bhSocnPeOIiDWP8cypuygfMxzOCvZjBJNrjwL9qBm8+8IwqqmMeXKnZNnhYTt3VP1BQ9i1gnGGaM+TattrMx2Nw91wRqOnTlcUVJhZXJroxv5b0A60dQpC/HLPsRC5IWfD7PnG7/kfSUps+L9Q6UueceNO94fV++fWfwpT/HG9x9kqbat9rwzVQilND88Ie3yxHR+0W774VAybAToC665Pj1IlLn/HcCEVa0N+PYnRxgGPoMPsrHhOvyQfJ3B2DDW4mcZKyio8GI/ukx3FXX3gTBP9sbZIeOAV/z29XmaIQo717vlGlUWKJEFF4tejokTapXvSwPhZGtNeohvKMeLA1554WlLsIl1r/3iVQQqQnU4jnVvh7Zx4ungybI7ShI8SDn+h/EGBPQ2WBcTXfjKWfLsLHtJJfUo91GKnydMt/FCTUseQMxrWjhcf6b4+DqanSsPQS+CZbZADBZYBub6h3gp6OfL/AOmi8DyCRYLNcjDhWjiCAYVCiEUMB08h0OV3WHxrKKpwh221Jq81eBrkQ0X5xoov5nTWDZvQZWB2ZXDkqsDA6cK1wnaS7oXYbJTsYiv8yBKHc6/DLa9kWxW46W0EGPkyTF8tM1j0/lMnZB8EVyVjdI7QH2oUB56ac5QMOsaRPdVyOxvoUpUI0IqpxyQJouZn36z4ZMXRJ+FAVNIapo1gIhy4f6uiIzYv/x9PdgI++bCXjDNutxCVJJsiOwb5QV4F8o77r4F3SKvr4uZ0iQmDRRdVcVEiefE5sN0ougCtOKdiDRflJq00uLpYk8Hmhb2yU7NYi6zr3HNrbwKXIkhhnGT1gY+9NS0Zp1rr9TGemDUjIh13zxOcp+ASTacfQvuAF5zQGKfOi6vjR0NpL2PYF6AZHopRIZruVJCh7pypNQNGdNgXdAhJxRWEhpR2xT5YveJSVEOLeLEYnCZ97JdE2OsnFlPDpP7DbY86iKmmPrfdgfzd0cI7rrELZJfUs/YHOe3FSr25fwpGEdeh4706kGzXyteGR7w3jHHQ+0GKl1RCV9AJZOx86OCJX9y/1gPVLjqysOjtqk6KYRlS2W2ej8kTcuDxHSZ/nv0Mxjdq/L3hHB64TQHzpymx5UP1zD91F9P30RogTFLshh8PCNRNxzmk4wI9RbPyRxcODRy5VwUsCoGimle2FLRJRoSqYay8okcb9lcqoqPgMu7KyedxSI2CnAgAyinbUYvyPq2eutwENXOAUgsg4WntpFt7uAg6maMW4EYAV4KAXhhOgYvLww4YkDYkTSUYJOlG0oHHUnzSnOqfoM7kxKupENKcJSJNG1uMxXTpruPAx1f/Lo/5kakLD8e17oBoMSqznbkpJcY+6KBLbgwzh6jGXN0BXhGGYqIbLv6CIxP3IzjMCOl0xcaIoesFoIYz7sfxzz0nBExtKEdH/vtPHX2Kw9bKOM3MoWIdq4DS4adOMsm6qL+gMnOC7S/bvVHSDrDYtCwatd4R+vAgx6uBCHikbdgUUCHhCrwSYlkIk3aAv2utgqYDlGc77u6cgOnORBGILJnOE8NrMN1ysjfVY2AelBfeigjM7lBB5M/S1Gkfa6JlE5jU/edMVkoLK+YYqEwSkqj7MxNnP8yMhpNaG0loe7fnFuJHffRVo0SZB24eyYflRv2g5SIvzWbSpfxa1fdIDK/fxWThWiNfy/Ts5sc8xPbGRmYBWgLrdxLhGYGPgiLnnvubGQmA/ktwtVSIOBuHsYYQ9kw5YPe5GTUrBv+xB3prFBiFmc1CjPyw3SLq+udq27h/5eCO0XHuvWneGlOsEaAvfvXXsJIGjgjyQ711K3xuvF87VDtqMLn6GEDYzzX6/5hhU9d4Q6zCtYW0yso6ObrWv//ApPB7rnFv02zbnJYQAE51B/rbMHyFnpDbn9o3nAc/G83ojFaYwEK1mYBeBn3X06TFVzIcOOC7mfWF8cddAVu9UOn7v9Kvt7AqVrRfQG1vqP8ki5biePjdtfJsqTGYIxy2HJiVdpW0vutuldKKaoGD8YwNbGMlQIAgtquubJbCTlJ8mvVdrK7mdsxWLmef1Dm4pXuKwCllETBfGpvurMTkhkYTN/bm+QiUX/qO0c9lCM/2y1rN+VwUH/NE2k6JievfD7m8vwl5b7smCIRd5GgwHmMbhXryI/IBp8kDqj6ORBgXnSjvH7YBw73gVkiv7Sg8vrQK9yGwCPbl2qmRrxMCKNIlh3Z0YM54BIbXSpmXZoODsDC6P3qEBDOTdeg36gUeP4C1oG3V1i96MPEUkeuQjKVUF3zDXFX+HhB9TGIIH+UYm2EDFdtsYkrhbdpPefsCJkD1TWadV6SeFGuajI0g0MsskQdJDnQxKY0i/BV+do0nXUoU9NpsQfPR7mjnpD7PCnGn4xiORWRwevYYLfFexwJRi1M3z69DZNLxQ8oX9+9B/7zgiSkj90T7i5vPUdGoQFKqWDr6RZAiVLDbkFniuQ5rCswb/QxCmfmfX/OVEYIEN+tW6vhVflja4lBcB664KzwYfin4j7kif59n1SRDmYjr0C3Akpos5u2lCQPuhtOxnxw28qRubE3VgIEC8+Ja+OxEv5+tVNSDeCDIoPXBeB0HWh3Uw56kDGDSgz9ppYEF7V13Jn2O47M8B12F50uRLDG3katvcaXoX9MdH/3LAcbJvVd1tgDTRf5BAsoIPB6ORLD+/jgMcQ3SraNqfmAFC4OecH3kCk+4nnO3UQnE2O1hmG43P8LCGUjDru1Z6M90A4bsbrlgi8jf6u9bIcLwL5Q9UkR5Hmuw6EYLDYB1MjP3oWuByxXZK/76yf3k8sCeinHY4ub0W4IZnkQ+uTwUoRorT/PChSrmfyx9cQfchJmeY27K6tgq52T8CQdXTcQmi6lYZkz+dNCtI65vnZ0jz1BPSd4G+0/UpQnOm3wwUMThoq4RMeQQ9a6Hq3yv617cyliaWdyJkoDFdkJFgnFxWksP+ahjpCo0k8dU/21Eru4a6mI0iZP/umS2AE+D+aL/E6XE0uE/LVASD46I8rCcIlRJf+c2CkWTJD479NCVigKGAp1jlQ6PpzvYjsoHRYAoGf3hQRWFxs12aMBT6yp0EMkMwAmjTReoUECVM/lv1Y0CmOLVbLAqaNlKzpHBfNB754twGCnqIoErtX/b7C4h3KZXO/SM7vEw6EvVlkf64S5NEh6xsWBwCC9WU6rIeopWa6b6bwg04uYgVGCr3ZpTCGbjeWKITJWmx9Si2t6plC1WXtrt6ms8fIo3dG2mMfNQyA3CODsgl9N6064AqqRZ2jqfT0PT9jn0UCLJRXdNqDWqr+8iEPyDCFrYNBsDbbJ6P3mqzbk7u95/NziGDjRxmb58t/nez8DwkvZ4Dp9l8s7yXQzM6zg3hx1YTEb2iXA1v4njXWVnWnc+aT002p3YgMgOqAoH4EKE29tAoObvckkNbjbKnvWxz4/usgyH8dLRWAPKBq1ilUD+l9mAlVzUTJYt5d2tT/NXZEnOSpUBObfOavSSM8/wAD2NDS8CQzhJcMDyyNAuKnGo+f+pMA2L9eG8awBGjBQZHO9ng5VRx6cNeavwwxIygquWqF1y53thmmXfRuSaM9A96GoPKLd/QgI4SG3CXcGdbvAo30mrCNoPMTUR5cnbivRn1wrnePBeplKK4JIFvGWHdJ6X4RrAHuc5duq9YnLaEB+gK6W4lod/PKib/DZfjKVjIsQLTmxM4+cVLTRuRtI5k4DlGPkXQ2I3V27Z7ltgylIlnnvkV4+z7IE2S+XKbH/v3YqnSY2Fv5+GfSb9D/NWWez/sycDO9Unzc0JuKHFhUWhP/6wWpAfEMjpqi53Gx6qfOL/Nc7xy/HB5xVMPtSVCksNAPKVtsCGTofyq6Ic5QzaXiR/3MDVSLdl+YZLjZGx6cNVMl1LrKlTJm/LO4FuCGeJVW+2S13R2glL7JFtJhki8iVb9+sgwQeoG6oWaxJp1dW2m9n5Gnoy2VwMaOYRNWuNm5W9LniGiJqoKi/iH3gTJesBt4ZP0E3lOLicoAyEDy0hbVkaH7Ilk1pH2/2GIZzPPJX7S+IUSTwWqL5X5txE+fe67rk20hWmR8/pbcNcy6UwFCTARexzbFV3/unR/N+mXijLQfgtIr+VfKdzK8gVHnuyWCvtZMrL1b+x+5U+Sq2VEUJde6yfUN9Oq+P3V3iKWQevLxYpHZmfUsXLetBXPXds5Zkkmi58IaeRnd3BmvdlYau+voYolTVSMgsNQOauuGkCeStyWQq5vCuvbnLLBbsWfD1pI1zcXrdqvwTp2/kvl1hnRibFRTHbzNnSZLeDSBjIiUkz0/mcTA/3bR7B7vBZUw7KUAs295ssKvg5U9D1wci473E5f2Gq94S73OYeRp4uexGFQHWd0UBhIA0KsCx2hzPEcKc9DV1o7s7mx7Zxim7qfOktRcFRTNStSYxVgguCZ1e56JU58+80OZuhMRt5kLmZkAg9h/5B1vQ+lGsGtMCSkvp1ts5/9fR0J0l/BzpUv+Y2a8FywAQCXRaF0iQ/kgZZH5RlFEPM7cQvzJUmEx4oo5bJLS4KbH7lxN4HsBjNy7vVKPvMxiOxRAMXRr/enNxHx9ThyUX8n4YfNJrYVr1st0N9XVgBI2SrfQ/FxpdCNb7e6WwrbnNTslDIsHorv1z6KrezOwpvnIqMfEmOpK9DctjZvSU/B5ez7WPcfqPB7s8Tlb5tcqc8I49FokneSeI9t3jKIKi1XMjV6+VkcUSO1Dk1Gy5OrKbAGNZqwCgosu+eVZnBxxEd1nAC22ewpPBWPwm2VRN0ziBB57pkm1orj1ogqQdEkaLWl51bHTEGpg2qH4L5N7oqvILPN/0Mvh4WIz3PB4h3/gevDi3JwGG/hxfKU82h3JS/SOR7vNUc8qlYaJbsoRj9+N+W7Z3PltHgXrigmzPJOwOvcX0TDLQBEQ6TyUPh3QKIhtXBXlycQ5Zd69Hhj4LnJh++Hw0KzgqYEwfc7YDAX8aospdqgNnC95rlVSAjpQLIEBDdBbv67I4SuXvhLR37XveEY66YVnWStdER2mtOLM/LyyGw+I5nFWUA6HYm0/KnnJVGaeY7sRccj0LxWENwtZR/+d0aP/Zmpe0VlJM34JZbvtKw9Dxi8HcKFvSpZ63fXj/nFDl0tBUfEpu6WYiF9/ShE24gwsf5zko9FiJ3XBxY77904ENY17dY/UevTbHUUtpR1RjOxJsZ1eMwJqSTq/5wrD2Om/ObMC5tDkfSSmmzaiNK9K0AgvdW8gv+peuxVMSuG7bLE0Y07QjxcFqRvr1E4uk0L6/CzqddImoyvogYB1Okn2VKSFu0KWWIWbfcovJmcKg/Y7mRzdcMM1RWn5KlZLDNfkWFPMZ0+bHehzkpWK4cD+wor4yIIhKyq/f2OQOX7MOvWRsKI0wFldXDMX4EOQosKJMhPg4wPH9H03GDODQ59vKVk1SZOIFCXoAzEuVpEXOksnJYtkGQNMbSTf7voj14cz+9PWFt7avLqyLEB/lt6aySFGhkgrG+U7SpTHYobILZ9ngLJ2TtNPh/KwSnXFKTbxREYgFfIG1aSQerhvl9hKu6oxDy38/gQT5j7rVXI4zhFBV6EInIAxdWK10L9Nkae/jxoL9bdZBwL5JHO51MuxbKvuZ9x2nW2LcP5rS8QsKKU/yR9ajZLWaGHQ1KiOZ9rjUepd2sYWq09bV4lxcbLyyyNSz7uYr6+QYJSczsVtjYWrcZ6/sfCuM9lS5C6uN4L5wlvw5dY3ddPrHGUnjPdlg8hOkBspoDHVBejixWKiUOI6ySBuBvEVBAp7JssVHNoVgeontx4+euD3b8h6NG9LfVvX8jHk1TumsBczeqx0c/4GPEGLukh5jVyvmmzhogEBeVJNl/TGCbW/ItR8FH8LusvK/xsuHYt5RIi/Je+WhrjDLvDSS169tp91I7Ngees9nfYSZuWbae5GthhyIXCD3zYIDMt2ZoNBWYpC0hGTb6jBHDxuKFcJm8nil/6QZpZx+X5dQKuTv2FpGVlAjTx+IphZINHx7ISZZbjYcGdjWtSGR75w7CwZcLe8m3qwzA/kesqV3zW7In8QyXCACzmJJT2WLLmLObkKBa4/jQE/xcX2imbnUZCifQdLO3ensSlP5v3ShmG1EA+Sm7Tey0gkzTP7MQaGf6Bvm87svf+5Nc/lh0yMzZqwvNrz+jZcrfSPirUm4gFDkPHcCVr11g8uoWrKbksXPhal/SuTArwiRqfthM3KoVG9OI/RQZSU2ppFt0pZCh82CQM4LJYQpJtwPZz8ki4OrVgIPbDDckJGhKqEiHytLLjf2Cs6XdEOrlrP1JDy42dDnlC6EiXjocw8JHiArwEwfnvLItkTTgUc4RAXLRk+P4AFu0CqNlJydjRdIBHO5iuNO6yZfdcm7fDwhPrp3FTnNc++j7Bz81MLWDW8A1oQ6YOwDf8TuVmClciDcx3v0cXPhYNn3YgTzTC+qeUXeqoAWWHbraVy9O6i5379GO/mDekWHJ7U5z8goGmOdQet6Qr7ZXJ17dYOsH6cN08mutmVOrvVKWKVDWnDCFikjwG7YceWYmmfRHTkW2Eg3xg5IHVoTQpwky6464O9eq/z4uipneRYjbojbsRS5g7DdYG9fn3iWgykrpPKIQfKXD4RHQcuCJeDR+p/RX4gHB5Iw/ki7AI55Dc1V9jIGIAvnzuoTKY1sdkxew2BYKhFJdJzqpuIp+/FNslKlONmgp65rOr8RlB4EbbAgHWwx5Sl/jlG4Oyi7pkCcvnw9lMcvB4NR/X47FvVPBvVkyQkvKV/+1hAWrEgHAaZa39klCzko8jObeZLdZEU32cFktwOvYE9H7uEiM84mHL3MgIs9Spdxh0CmBR8+hEV4hzXp8w6/nixKa90J9eH0Q1JXeGUK0o6dKMXQiZOSuVXHktZf7SZooDWafUW5OvmpegQk+nk+YDE3bh1G6/2IQ4yA5CK+xSBD5tW6H4IFfN+BCdjCaWO5yUhnj1loyFchTEWpkoMsNXg6xckx6rAfWXsqf9EiqbAOcUTg1SDvUmmlBLR3Pm1+ko6ZfaJu5530wtLYvnc/1n6NKUVr/HB2c0DkIfUSye3Gm/nEjAl4s9pKAH7w+eYXd72wBG3hZ78GuhxWrObWaRL1q0YyWuBa5JUxwJIwtbwALzGZgYon7X1LFgMFvZMLimSvm8h7FRVEJq/Q5hTscZv98OSMEt6z9ScmWvLz+4lwGQIlVpXmTziJxBt9UewgcCUg8lmoi+nyXse1D3Rvj/+QzezhggXdTFX4LhAzEgWtMGrRtY13DzUXVD9JaPpxfGC6LVvRmaKHARvO7HJV8x0T8LosAA8bv/1dvxgfOygx3ba3q3PrBn0WvMIgD6TCZAi8IPGm3nyMkQHUIogyVJb3CXBxDejXjr6y+PaysoJF+jBPtRlC6fd/+apMToYqbdwXre9tzpw3XbKraRVvI8f1ihWBcsma/iCBFLUwBR9oqwdmYoGAfsXflNvdS1KcosnPDMFCtoBhoPs7khz2bn8B7RUO/Pr4rEkirW78fTXsvyMSf1ae2x+he0jvaD164/OAbrY5vD9Y3no16SduUzMTAsmtNVQsFF2bLouzQB0MC8uwgnYCDHPZj/Kqe697FN+fFFjX3cs5T1UYq2s6wo1CCyDlkTyZ6AFcigIJ9GTiywkOfCUKzpA4Ai+lvdlOw6h74r/FK6snQET8YIsSNoydncXViwbeBPc0OkWMDPOoBt0yWlBAyFRiEyURj5gwkQhZDia/RN12XMIKXJuoOrk4GdmnyuIE+jdbvweLEuF98D/Yha5KL48vdH5JigS8zOXOl2n+5TFq9Ak08nX14Ng55srouxpIvTMUJYcVzFPPLSh0TW3UGhyff6esp9lxdY9DlHHfeztW01GSlnWRyIYJcgkC+6Rscx4QY0Bl91lhfDsi3Inm8xw2bsryCMkf3IFETzgc68HPrHXhKK/18pAf6TcrYWdTeetZNRzR2JrIFAtEN4LBC3V9xZGi6HHOQXF21m6R9+PwVOEvn9D4LNMxoynd6s2SifKBh0kkPNd2lNs7swgOFfntoTlZ3OQ+Kl3PZVHxJoyEM30B9fiQ9F8bQPrdI07bvTynfkdYFqPEifakXymGVyUnw/8hcKlxsnSSq/v3gNDIojd5td+KabjcazA1EN8u6WFywnKmz/RQ0PTAyeluvSPoQ0MaBqDlYw1g2sSUMTL9+KnKg9E32t6GpuBkR9xqLmAxIDaO1VrgvqcJaLOYrwCFoiHWBLDEz57Jfun3SzpwQXNqUaSB49C8zEzv8e9bNqk61zdefMC9W0aRr6/0z2uBdXb1r0Ar+U78/t83owg6unHZ4UpUZbr/0e85/RJdKVQzgUGjL2VmPyrf+DWC4M3Nc3VTcP0XKR7bX6X8WLoxWxSzLHD6r7YuRYm1wq2uBTmYtO5umZloeBt42kOqt2N/yk6MzPXI4oCx2DrKwZZ7I3ufBZ5HW7paKex0IhL2nHBav259BaP8lxovnLzgcTS9N/j5VmPm8Zu9tgi0FEhdMFLTEy6khE2uq1cQ2N4XT4iVfGoeOIx5un0bhiLOfajRnnUGptJOhdenvcEGHAnnLl2LPcVbNtFyPvmqlEsD3ThlyzeS2VXYzA83PrUZAwrVvY0ELqwCqYayHglksfEC2hLu+CARrpZCBnXW3Z6RXjjJ+xrmKwTwp/Mj87fJLnKWg0EMAqIYJTa2p5DE7LwkMi8NpWGyBDGh1/z5hr7WVtq3G1i/bH3VvJjr84Q5sTahOPNE4aDx3a8ue7867vjHBJZwq9HjZS+OgwAg2xA1nWDB4oGRRUGwoBXD0JhBMkhoq3wf/z4v/nR/oRA+OFlfkHXKWvVwAaXbyfZG5pbr+3fe0tc6z3A2cCeOebLMnq0B38FsLt4k2SuiCXIgyQkK54zpci8ZZbhEw+7WVDSyUwSJ8lFSaoBQ1Njf1zDFXr56bV9Ou1w5n8YlWFsm5FC5q+J0k955gKZfqNgqvXypIRTthKDJK6YYKEgXkVGfB3J2Jsrg+cUv10+WrEanQMFDzcV6V//CFRTaABmffVBtFBJA19KmtdtDdwqpBGU8xYbhJ6zEXmoTCJlymQ63AvDygxYyBHYXfxdVNMxlGZUUjvOO++WEBqh6bJ0iJajNvTX8N3xchgvg3+lHP7AvOMjTk298sp7oQefqmcP/ZWek4+9M//sWua4JJT3BZAaqRBoTvq90YceZTr2RXwraspSFdq1eMM5ciNI0pukKNsGlFr5eXJgBFPBIEGR0Hh2lgqujgNQc91Kr7i9DJin3JppPlMtBw2DTzta1iHWlIHyETv2G4VWiMYoVAhJtT/lvK/KBFpcCoGAG0b0RT3FPRRCDC7MsjrqJY8zDVwmKB4Zi5SKp7Deh/aXvA6uajYjnQEfy7d4Zfp3S4u3AUzWolQYuBJt5+91BZt3HkL5xOZGTmhyNRgXmZ167uWj5nLxdkuDRaMAXt068E9Gx1FLL/d0fyoeQt+HlDOaEeDhMEzeve3ijBybn14NNzSHOsNCElXRGt5PUp7dJnCneXAxQK6/9xgnhNo+8tQYQ+o0Ada7/guSHlufWbbVpbhGglIfeutNe5EvNJrM1Vobr/voNGMDlonOObrN0a9oO+w1DD0kxnNDc0qCWS3DHIH+0rMxVUr01WrcleABJRRQb+sya0GKrJCTOdRqWGBJn5ouRdaSv08ufNZO1IBiJ9p/ajPi4mxWrm+71Ah57h1dgIVoGx1aOXEoCE3s6q01W7LJCdSAfmIR3/0WpxZDi1QV2cD02yUzkGSzIQthvXPbqAibNPi1aX+JbOFxm4zLMFdtCkVivkoRryE6e6aoXnW22/zfxFBlMvjePHdRRF3bRVN64b0zDdI+5IvXdAKEF02qPwxCx3zaueKw1kM2VMYaonQ1MMue/pvr08CTXRI7eTj7n4Uf3xvzHwfLgPKzJv1An69Y2Z/4vF8vq2ktIrwJCVHri694BHejMv7sLEujib5FlEALvUtds1Ch+en+2N0J7+uMUV6NnAGNOeiE0YsfTCJrkGLnani+DcdmkC3HEUQknsrjXhuQatkF4eW2WLieVNAMr9abqg6WvqGeIzVmKW9duWFHAv/7xOI7TuGcz0UtC+FJ+H1CbC8JRMLnPWSyo5YU7JwsmeSHU4ZmLHFS/gN/i07Eawb7W2j+p79TW7HMbppOdxA5/nwl8FkeMr7Bfj5OTNGeiw90Iibv9yWc7XScJUNV9IAMN+TBXLsHbQgDnb1+glZCMdTsmq7NkRIXwumyROyrUUtFAJ/IZ6UNeYyEvSdZ+LPKJv3DDS19T0z4Jdcp0nAAhDAiJ8zuKpJaG1z/nmfqcb83Tr8Biz5xSfv1yR/cFqGv+QWy9sY8HIQCHkXjPbCJ9tKyXq09hHAapxWhe6F/VymPtioH7svEjYshvSlCefCYGEUQJaYFpAYO8yJKtiOAmH9yc3ySU9HEsQnwXr7EKrtFHoEkzBtJQxwU4h1vmjaut0P9xTXxo9bb1YjyAn/hN1W/DNw71Tlb1x3amjwxhd1gf4AMExB/fT63nC/i8hKUZqVxPN37alBVixRAJGJVkQm9x7GNnPYxu4aJeZ1OfAO3/P4gBwU/YrQqsqVYzSJeMvjyES6OYTQI+3ZELJ1ZLj9ofMYzgyT8BmutSvsJMTPLYCFimnMr8Nyn2m1u9/tvbheSGy/il5djm2nQBODh2bJUJVLvXM1ivGXg+f4WpRJAfZN4N4s1KU5rJ5VhcvN9o3mJkTbxnbrwpUsBnGF7LGA4GnmGpReRZPT/nq+q0zxCPxMNZ4mOYegkMZiQL9CvLa81M4ubNO21TxG1FAhbeKXiFk5GXGnyPcxePS9vofrUmxkiavfWem0o5IZqEj8nqCnzVVr5MCKwiw/kSZwU9+cT24BtzDQlPPE1mvCnlMdM4JVnuQtDKvxuIajYszszpBm9L1wxn9TVQ8ikFwLLWILXumOwhvxZX0+TA+qMid42O5fRIKCcXgSoz0CfJRiSEh3uB/om3nLbwDvvTRgKPio/RcTJ5fkgrENwa9kOYSVcLX+jRBhLb74oyz4OBYGMNoURJ+naRVPBarRk52HFjAbzkrPDYqbyPIdawjA6kSopVtOobpGutS5VH3yjumaZ6mRQCingbmZVkjwSoVJ/gDIrFsIHAlDnUi2HlnVOoF2N6Vv0kj1J+bGVg2Ufhn77MxAq58s9cFRH18y6hDYXLWz7ymAeo4/c1ZZbZ83PK5mIh41UsN4bUla9TTsA5hYSIGKekKa1q/t9dtSU+b8t9JKxE3ZHVuvgiuCbUNSuspGd77DEPctiIjS9EIyqjzVPatY6jtIz92dTt4hDDJitrD0zHHFiJ8X6ZjG6BuMHWzKo3A17Wxs/ki7Buu647ILBK90yR/scICUZNREnfybzq7gEkBMCRcXGz6wfR+vLUJhP62F7rzJnoP3UEtrTrqAk/+72vdq3CZifVYl4xtj/lqjCCuMkuhZoLuabzca/J0qknKlKJFsoGN7v2Pk04dYN17o2qqHWVI1j+Eczh2Kmj4Sxr48IU1fnjKVylxcelFLS2M+ytDAVGW5ix7kXclPkOxCislbnrh+TmFuHTn04/qRgrrzHxaU22+prAOZ0zU//DtzZhsgdf/EeuxKyTYU8qnRu2HyQ7iv8XvN4etFqW78s9swdL9N9x3IU9CQGPFbKhXJ9O+sKPNXVkHDRuzsyCJhw7DBQuCj0rwyEt2OHL2DIqH5zFiVsI0Agf/mCQDOn6SSJmAK7Nc87jRzS+ehXU0JS3BmYfN+sx4g2ZAK0Gjfy5n4h6e5v0vRtQxIvhMV0vOaGaotRZlDKrKKPo+r770FaE/mO+QRKnUM9NfYaM/REfvRzbvloUOOFVVKXcvuKCx5lHHMI7wU9BLMl+y8KjSiICoKWy6fJJf3QHRMQX3RzAMP4YifEA+dQBwH4Vc2Yfx7Q2z4tXBxwQHZtK8noxh+J5COcmuQLCFhEffMAkYWrSRO8Q4nLvTb5ygRAKXlNW/vPEesD2BvhVkDrxhC0GBkLPb57kpagaPYc+d9r5gwc7V1sFVbaZ2rYvswJuFVTKS9RA/GX7GBIdQfCxiXTKTwzXACGQ1s9wODVxU+TKSSI7y1IRB/+WfOgtR890FYQCUuw84IhOe1orkWzbSUzoT3ZcSo+T3mcGpCGzIDaoa2THVJbUI6bFilZgCX5FuZ8auJ7OCoe9/OU5vi4mo9Cbh1CdiTKlmKCkiCdgR60kLRO84spVHvMFJa1ezR06FlKQAHjWPMCEHnw9zLhfuNFkxcuHaxBbjhBWJk2IdCjKULNP5TBlSLMPaTqiKIN5M04p5Ywlg+EaOkYCiQS+z0Ld8lxGgvyC1Kv5ZEgVWApxKbPIWaxAtVidfRHxtETJAgD1wGuKqe8TQLuPQtvcNq92Gw1BcTyflZ2Abd2lv/AvsV8/Gr8EIUFv4ah9It3OpBnatO+KyM9rZqOfYfwSP6LAcFyv7YvNC49i8K7MT/saOlrcZyiNKkt75OvpFNL30e7mgXsUQQpNn3T/b2FVnwAnWcLaogcTY5qJ1BstSRKU83ytQr8k4kKlgcxpeGkkqJwrYCr0BPpev7+mSBOqhyyd7mfozNCo4WCXXEZN3N0BNTWun67YwWeMFHSdZJO79sZE8XuPYRzuxQRSNYhkLoqV7VhqCchoYWko</x:t>
  </x:si>
  <x:si>
    <x:t>OjaciNyImvItsrXEkeVbt+4Oa64SZ3+5WEDtar7AU8sOGhOHsZOxKnkVTYNmn51I0mcvPSTz5gM1QwKwkQIzzMzpCn5bh3Y07Y5eZoh7b3R8dTXVCvO9iNR7E6TCfFFXrdyS7eZhmrpbljXX0CWVTpMCLT6XhCSUP7gAJRD/nmwWj56XhHRw/pei1gLdwCxXIUvfqtbC8WdtRXju7xBaUnOrFfbIM8SueUJh5Fs/8L4SjfbxwCCHl2BZPVPR4ROkjC4vGaWs4VhU6imRtjKcvA9JmAlC3Qej1u1M1Sv9uq7pL46/nTaNAiVdBP5sbMxnbPU0Hv5toVsuT+hOVbVhjNYfo8yZaYrWs09j4epuKdsBaoYY/oR24KZjAlH01/oWZZFawpP/NGRDWpXImXHP0WZRda6TkiP1CnhEOOIj92Ebp5IlilQyMfMBmO8fL3Ry/oYP6jwWeCBdbvx2bLdMAYKRNJkDgoEroIkWiynknDgXx/ZqExJI1iN+pAeaeCHeoA82q0aJF50ZO6QFeqsFhC5vmSS8XU3G0ErrzquDuhMeq4nNXFvKoYtEAIfWJyt5GHw1KQR26jz0guXfViPwGYo6+fSxOgzW8KC2WYIHK5c7OsNAUA/cxpbxPwgULF3QjNo37L18Ao4BjXwIrX/CNgCUTMs2DmZX1zT/9/4Ka5Q9ZJQYHWq8XlzG6BVXgFR3M3EASD3Es3eD/bSWXwdMGYxF4imoTnlhh1bZ9KsNOZQ7EoCWRCsiL//DpIVmFm38aGLoCu8bmrm1FK6gK+cy9czY2Qh79OquTnN5gtj0E5PvyUd6huefCRBgdZiQzwMAT64v/p3d3Cd1I43yvx8HoZq+3+LC862uEsFw9fIAzZs4ABMoL9pHtFigfwTYuTqOyzEc032vU/UZUJP7jDOKHDbOSNNt/ADswd+iIaWVUrl8Gwt8AvmIKzQ6FOeSpVSJzx6LgWM0rthSvM3zsYxbuVuf6Gb5pf2D9KYnzAC/lxA/Cf6llYDtmK3RyqWy4kOZ6EGHtrLW6Ce5n3B6102Qln96eEH/aQ+gspN9vSXCEPvaEue0+BcMi3I7he2IAHs57CIdjmWtGoO4Uv7wE2UUbihs4u+9g6HOGnxcSxGCuH2OQnrKOPuH/x09rPf2mICimitu4wiKDjfBsusU7WQCgDUe2lttJk09313W0+SuFQ/N695fKznlifmiL9cxRfsTSI3RPL3Lb1eq2y9DvmdZrwnp3JyoNriEIcv+8/iTbH8YXsheXlYPJvD8j3LM2MOrrUkr8WHKrXLgJvYHo3oi/576g7cx5tFshacs+tcLLPYUGVC0TKIQ/fOuDMynx9F6jy2Nu/ivLox7b5xxEIJc7utPs2wJeCq1TLh+7CW1aCL8bebe+rlBnSQKXNEtlWsYEipSHShTgmRF0MerO6O+j522u3pOu83x1iWDx820XoBn3JYGF3acUO4CsSsIp2CIzLyJIqpQZhhOZIXCLBrjc21ypCONP6ri+9AubXPeybIeir8AfnxSEBgYI72iR5BkJrSLefID2WmgVfQP0isZvb5PFxuqXrMnGY19y9tjVocwivWdvcjb/tsyfYrSpU/eceDGF0EY/JdaD8x0oHNTaiqZYhCi1XQU8O6uXN665XWDfIxC/9cceKMGAj4lBbIFNj0Nvf2wRZWmU6ZTlj1Pqu1w2Mq6kW7vbxctSgf+xKZMYL//qm3uNuYuOdKHfRVQ6QWstcEhori8Lq0SnN6jBu2j2P/7nLCvdlrV5QNZ5owwLO2qUM0gbzGVYpeHzvoKO1l7vl6kCsmpj+ktw1qjF9Z3+4wg0Ljx+vTiNNjSgBdolBOzMfdLuZo4o7YVOuDicHDvalIhYPW49eC44zHFPmQCa59tB1HIPkycXHcSIB1Df5oNBbOKdPMNZpuzg01PpA5Sla3AAAVRdAcv41+QCzlGsgPYdeHQi2S+k9ZACx8MBF0SBf/pthrWFvFXzkdhKXbQv5ijHcbBJqbwwMWhecDlZZl5UMIXkZY4yLzzN5LxXDVFml/JzYJqMMwloWTg2RpdTaJjld8fGKeUCAEelIeASiB+hOeG4aw+pY4wdAIYnhxefeyYziMDi7P6ZiUpbMmPpDhnRqkHxXXXtJQe9CzQPacf3oKKua+VEy+ePBAAGWWNnd/PGjVNp1GavEKu6PNyGKFqw4aBCKZrN7BPD9N8w+E/NWRwXe0mvc3b105hpp1RQPGs4Pj8+sa99cALnFaPd8751PBWmrKlYun/oXVChsn0HpoCtp4AzLagqG/MH8alavMMcXkh0r7EXupGrejmk1w29MGkRYSIw5pA2NFXBZPjfm6k5lQ1qY2rarIyNmYWGyd2gEKXUhsQZiVJ2HJrr3hLupzb+6Z8QCddxZwzrIHGN1sM9sbPNxWgQZm93C417QTRsGY/SL9hOVfLHc9aY3eTmOlOX/ZrvfEzss1BXDbGpwT+nInK3KBOypSTZHzlgRRpWV+dvSbPo87JvrCaqumYHPbHMRvuit5UEMPCcXqgFpP6JEJ3CENdxLAZ+iaZ4Mbqh7t9W2vd3y64mikDE8PQpnAh/jxIS8hJbjtfkAf1/ub3NHO2Pqp9NpMH4YTJAAOqkGNy/aGMoEnM58IMRJ+1nlZjplPGThuWab6pykcekM/TtJXuFvGaTnLyoDbl32iZabMa84c25pc9nT7lAYXnUX/cHLtNGen9HBTARqZbowA5TCFWo9IWsu0DLENkivIOogbVvCCWriZ1UfzQXMjzaWNpIK7ZZUfQRmtN4rm1aUZsb9nfXgtN/PQpvCcV/6N9uwjUPFsEenh/3Y9brr1jvrN4rIEbqQxszg7KRx87wGzTtsf+8W2GWyl5BqBjyTwu1W1G3+TIs3GRDW35GyUDDnYX0c1dlf/+sohJ/xMaWB1zlsstiUMPi4QWtSYGsXi7MSrpDf89p/bpe3Ijyb1/8KnVVSuZvlZgIUB03LOTCUACeZ3SQL9NDVm5E718eL9AZastzpSnTfYtLe6LvbrBLAGVpQf3cEJjWa9yDlOMcsfYn//hw94oIesdWOzppHNvIOzbmYzrRvKhFinwnO8ZH2U3Z/pgO6ZuQMvlM0gWy74vJPYqjbkbwc3WVJjXWGtV5qm9hYDtc+vIl+uS71O3CrRdMNGkpBxUwyD3JJogEnZESIj7jqj4mezpkB7QERaAFNCWQzqKDIon06pGWDe4ogP5Ksrf0OpX8vs7MZ/JqgBtAX2VzzxZCCBZCq9o0k1QeXMooNEdaLJxrtDrnI00LHmqcKJ/9Yik5zahYLJcHp8III7l9IkoSEM8QiTgC5Y8PML13QgTooMlGlTa8/ChXtmbdaU1HK7M4qFw+bSLw8paY4ijPAeeJSxxyfc/mdSy7cG6cC+OndewJP+rOgRSvx2ioTlT5PAalJMJBxjXuZSh4+8eMIRWB5JnBhRJ4Kz6SP8KdXHxlrvNmucZsK2IlLtTroKtsaq7sF/W34KVZk6nl5T6waN/L3nYyTkfTzIJ1/9QKmx4DbWDCLcFpuB9pPpvRvbNR/fFQtwNHrLl+8msISrMDncyaBBS3aj9z5T9niqh0G26YKgYMWznytbVZ/KW0tre0vrNn9beMeZniSLEBfYKJasNdO6OyYP+ROrCgtMbbTv3kQpqoXZ5ZArwpIY35IzIDjNQmCRro0SkdKlpA5C4Sq2wgsHs48BMGgFbpcN/gL29OF1RGWl/Dr+YaQ8mlUv0RGwt3ht/GH4scDbzW89M2LTl2xANQcVFCdGMVrogQaZAvvzNiBnF1ujB0gSoTlauAiYqAmN3pnt2sC1fHhdEmktaGM0KemsL4+ZoWrU7BvN2VeFxobR0cPrdvxsm168Yz/9RmMKbv6yg40QI5Bed0f13waHH149UprREvAAkSUTPxgYGzblInobVfUc3GTT41WfC763aN0GHztfhiIwSWRFQpnP85SU+ILqYXZ5gWKRL4057Q4YCNIeuO1hvtMZvyqXGbBz2+AluepPpNAeRp/8XfBOog5JE0svZbzD3cSeJ8NPOMyVaFF8edCX7b/lbbOmq6x5tWkuVLAYz2y9/SYUd93VEz5KqFW84kS7QwghPV/nSNGffUKxkdZ4Vb3TUQDbgzK2m6Xi2q+ZH/nt4jDlmcBcxHtFrSlLWYWIYRc89n2XfrDXF/2I0OEyU13hVrWSq0+xqRtcMYivwHApmJjgd/N8G6QFJYBK4XXIhfJ3qbRC4GFYcixvIR/vZ257GmjCn4Jmu9r3vaCbb347ri6fdC6+N2XJvz7H8hbwidzflbR8sp4o6Z7gPYDFBkAQkSq/lJ1W4CfEGRiWKQcPBXjWZ9FMp60S601dkT1jY/IhIBeLs/g/5aABhYZ2GmsTc+X4kx60+H4OgGIj8GJap9TgT8tF4Mn5PuRQXJ5fO5Kz0RBIO4PdWOAPYNrXC9QhXFQDT1GXRXOBxIX+1/k6aVgA8tR0mcZLvokI6cbmAIhInKuMhK3t3ewh6DhISSLm2MD016CAh8+RXO7Znle+Tkt9eLQgbLxOaNNby8jZWSReQrdMc3YcZpe/U5SsLP7iws16uA/HfXLzryEp9o3ojAVcavHFr8EVgU+hYmzdRjGWOtmQk1882ZG2YpaMEn0CipU06maCXWbBrD8UyKn3AoA+47kz95Pj8SjxcNvV9Aou1aiZkPdCsMR+n7/3bms+SqPghShJTXvgVD/R80jb3/vf1X5iBDjlpTY0Bt5KVCU0KLbN1Q5ZL9vgMV2qZoFrAOPx1nrViym8IF9kbE8KUY3RJvu6sGdHMhW1xpdEOwbJtrcB3NzR+VaklWHcJN8xVCy3tqehQeuEtrieN++ymWBTFImDmvLvguWCvOELxnBJHb6zy54NqgGEyZ/7u7TNZ/9f/ePg2gxQUIsIchTOv4DyZJJDFeQgu7yyI3vF7u4wWUJWsQkB1NLxkjrKCkKJRg6PmGGa3DQOkXciWmKjYRpczj22/bDHj47+230V8yUZRfoCNR0wDcJWJ/wnGQ1f5E8OzMyVAWfzbpFO/sKKYDZlxwOjMuGdYDIu6j4SAH0OMy9yJGs+USCg9JgYH/wrn4xSeZJzb3n3f2NAZwnQDz7aG3JjLUSTmPDu7srxzM1zGvBJv0iXNL1h4HqtfUBWkFlyAcuuC6QbWxbFOV76tQgEbr3zmdsjU3xUdDQMnRQeTw2MtbLqFw7K7EHfTT9ukkL3M3bGPXhCq3qDx27SxpSmsusOGZjNW6mdxJbW7gU7pTblMbtFEomgaHg6WuQ+iIYrHixWe3aF23+ubwAwoyrLC0wq2fcGOqkD/q51psdE6F//VSIFBo8CTnn0QRpZaCdmeGHEb9/v2yVTgOCS4yooQY7BZBLWqHKdFQTJaKRtW8w+QvQXaenL8KsaMbGTbSLydHT78PkH799nIx0uGrXdhIDZZQYOmJojRWEqF2UNzj1MjyitnH7gRps66/4BcypMyy9/v55iN2qCzSDpKeSejcIsnZo+mCyMdczCfON1i0J78p0oaO5VQ3454T8LuI2VgUulLNNcUjMrw/CTnLcnNMvy+V1hqeLeI8dnurMpGDaKEmFwwq8uD7+0MW5CAyapii9LpM2B1epZ0wWtZ4UN6HDFRNwebnjgzTY9uLbEciB6ZRAL76/HtOaCHaMN64AlQt7RmEkjqjar0JRfg0BVYPN9C9XczGD2bQim6+1RcASjTx4MptW2uwF4dxzcP25bpgPpwaiUdyrW3zzwx9BLxyFiVEm9onfWjVaKGnwCYocjhXW6Y5HzzGFwE8TQXvg3YLeMoJLp7L/lDaZSB9IihWtF6SYnDanwMqFk8y4s2nUHRVnfK6e0eZK+HRWYR2CuWIS+SampujqE3GNyvhUi36tz4vocuH+TnFuN7qnG6VMsLCh/4rJ7Tbr6LMxFXF/qY2O1Kx5GJm5DqkZxNP01s32hMc46Z57G9CUX2lsmpTPLOLGRRX+VbUhkP93OviL1jNAmUcp9E1DGo4kcVK3fXsdNUW46V9ukG/nCuZXGKwQLKnCNkFx6v8vm6O2xoS6dySBJRQZVwUrMKwFuofpVS3pN9n5TRcqHCcOng5Jk81szHQZ5Lbf5SpWVbYCSc416tIXdgraqC1cecpzdMhK5E+rSSjXr7SIHFGvFDrV8rbWSPZ9GTPVbWWQSjNfGmY3B97J//Q9huIWi7jWrybyg0CTIFLBLGSV6yN5V3oh8Lf0TNccHUBopjyi6V1Dq/pG7IGj/2KFe4GQiya+YAWqhsxX7fJQ6NXyV/tye6T8+/Hzj+G6tPxdIGZN47QfSpSwbkWLah6TgC2UmbWXSPYKdv2q5ZTM7kv32zS05XzHdgC3gK1e5jbGlabCUe3WgYH6pWhSOfPmab/p8cqlM1cIA5+rLivvquPZxk3t+JFJo14Y0cEtHBZ+ssbTAqPCorXN4Sj1p8RQitep0TdQfHW0jtCrG4k+iFYXNNU+kKGRzulLv+iSx/vHSoFNRLhlzXXulph0cxVuXH2ljRXKE4NnF6/OjaA3pZww3g2PB4xb/O4pEZWOFkchGxbtyTLlVtsLNECgva98m9AveexLLh4ZjQ9qKz/sZA0dT1KAvYMNASmO5gGr2htepCBOHUryvbQz+YwFjUpJibQM6poD+bE8UnQ0myvYy62590e5GF4pYnp1rxdZNreCzFNMBkiZUNFa4ACMZTB+GES7EEeh2zN4gWpeG1pBWXdw1VITukZVJUZUo395QCNykMgglGt8+duo3+3gM6KQbzAoAa77xFJCuNZLMZoUsVTn84ycS7/9npo2w/vXEvj7x54JvZ9IaXpB06/c15TtZSzQdI78b1CO5KTCqK9XfXwn22CI4fdidRG3C0WcIAzz441l+OJAkNi6WMCk0KgxS9QqyhGBrAXX2YfyfxskTZUd5Av3WwqgdZvp0cQ+CksAv1GPulHIYbR4qg1L2jOCzlUFguYkl116kusza6z9auZ376AKFvv6r5Zr/DEhNFOUW3+r6oBG7xJtqvxtoflTy2hw/JKHN6aUmZp+AxasOOMgM3ZlirtB1RxHVAOtLQGg16xyCGRpXm6JBVRmbZH1dV0yVipwmmds2YT1///eLKP8qIqAmJlAqJ9owtzPhBjujdRcVwrHOWa4iBxxf9j2BTsPJ4M2VRyQl1mKlshKZ6R0UmvD2KjZNa2dqwttNb0RrNRk6QFl/lxJxml243DdHMKlgS4wNzWiKwXRRNFnnKPLdAZTFHkJqfSng8ktSH2mtYDDvqlfWipxcfC5CRTSj3TdH/aiQMuEWpqcjKkATKlgIfll+TS2Dou0dz+QGaa94U2qdR+cAgqOl18C0XIDffftKYwW0Ks6GM/MblsqdNjO1LFeggX++NzTzwAYyMPq4rsFrrORBl6ntbUeV4i9REhGjl3aHzR8aKghLYaL3/DS3/nLAS6h3zgloUgq78uYP/6hA5H/LIb7mqtnxcAV8BukN/XocpJOjcgK6y5t797ALRq7QaCtGU3U5v5srsVNhkx33k1IHulOIsjLP0DAC41kyEHDo248JH0Zvcj9F5qXyrBQL+IlCf3ejcElto8TWfZvBda5O+jkiMG1lMUsX3da4iZ5VfOrXz185Eme7qfGmBfjg/KMqfthrIKBa5u10Xb7wy+ziy1kJ70gWLNrgjJHrjjbGnWIdUJsYBpjXkWa6r8KYPt5nTgPExrRLopboZwE2YPm/PfS9Y5HB4jdr82kjeMEy0AGRwTQqzQidnHnI5Xbd0xkB/ze577Pj4mPt/Qm1IiQ5SYVrxH2qBFqBxwzJWwYa74ymmCYCvUsOQ1OeLmD7Y59evseUo6w9pKqmGlhDvXjVpZJnUy3GBe+rqc79yqb/qunuBErTcISv1nNFl8A0I15RY2mpV6x2WDhQ1ZOCt8t+cfC/vmrcR9kkx3La0b/kMmLVYGAyyvOW94V3oXcoc6vwLwZAjwbgDKRZqI7pNS3dZ7khm86MxbJWH4b624Gjmn8B+8zFbg3lTbc7nL1gZIXvh2BPbM40qvNuknEwpPeSPjd9ACilCY0c2EjEmlMfM4o8P1NWARkSZyMf4g/cQNMPeGdorA5zRdQTek+OjlG/2hMdcncHg6M7JSlBGicTrSuBFOjCigrg7hv8P6E7mw7lVnmdoytR4Zb3s/ISPMEirt19x3+QqLwkeW3xs/RdGLumzpjOk6WFNm2sNETGzOdEtFCcKF2HJD15XKwsaq2QvMpU836+zNLOp37eEITnRf7K9hRTaKMR+tUmbnRoPPyydQLAmer8+iEHRy/2+RmlTAfMbEUtBWvVSFbmLOAsoybFEDCLRX+Z/AWjWnug3m8AK4zJbKur7cEvAMasHx9eGR7fm39mGJhTiLSgTbtFP1xBIJdih6SBXKSc0fiq4rBVZdwjPgWpOoiZYft2OoqkF7fT077gBfzpqs7gTebn4uzfJO18uTs6SDX//irl9YpzVhs0+PV0S1J+znNtNAYibnjFliINgKKidRO+gt4qSHN2MpsPxfYwK3SJHE4Lg+GIqA/mVsRv3jtKBCUMZCwABEATmRgma6bTWxnaASbTUPut5kVstGP9n/A8/xMO0J1pieGTjnyLuhadNl+Kq5+h2XlKCVIacc3muYC84Aj6/eHCVe2e7dhgt2MH44M5JyETYj+UT95odf7VP3HvMYnmkQhx4vA0srJBxL27ujZlLpMeWQF34WEI32Ovx64YSe+2zVgt0aCzqI5phH6hKVv5xYBGv865Rypg2Vz29WyFwZQFIePug2sotTMvrWilCqMTV1hkGWIF0YvusuVeCrqTLx6CKvBzrVicizHH6X58B0qs58ClPanMGu6kprfLluBoN6MWRDnjzLN+WzkxG9AoYt0hHF0h9ybDQYQdhi5toy0fUiR+faxPZ3DaAHLZCOfxeA2Op0LEmASRTyUWg0lKK1bsdWXyqHMNOD21aW/OBXiPKbs26eLMEilZxCwPWfPdvtJI1z9r0QXfahbIX96qXVf/KrMRZK/oGKeDxLWaRvamuib9P9vSwHFH5aoEEKe2Ovutm0Kywdv1fQyf0VYBhE75wQi2D8OmMNp+49wu5MNZtmP+C0uUeoBcjumejGp3tMLSU4Ny6ntZ6LFUEE2mSy6SvUY34GrClInxLv8I+NMTdtIrR598sVhLjUKSv67mivNSzkyqKxSSuwe+rnpgx2OxEGqv8QiKkdLS3rnzaUQ+mgeIkIih9tkXmsvQr+W+OdZ/TRFwp9FopIVypu9Rz7aTgiVeLV3h3iPWow4moWGHAqrq2KVfAkZ115oVWrCktJle1EdmGNXEogLwzmr649lHCND831ikZBmKlS+AUXbweNWrX1avrLKXORa8hf3aDzWVgPq81qw5VTVzjKC1fx5W49ThCeHkOhHuVM2eBAN2kErZBpnlUNsYiZ81A/XftjB6oxmpK4kfp9NYnRueg+wDwBcZbStJtAO7YzqGakDQAxl0WT/gxDkNVJVco5DMrfWQYOuqfV3YtqPPDaIq4t7sKJLZuOU+GVLkb231tfI+KFSfLWY+FlfrFMLlrq50SXavAGXh8vOUYVwp0mCQd2DpNnp238NglllB9tFI3lqnEzNqUNBxNur3tRaFznkQW/hGvTAFbLrXCMKWcXrYFpG0wbelX+yuCY3U6w50TgH2LKk2akN7nqNo29NA2p1+qr6HeCdCNh6S9JDdD7E76e3372ii371AZDmXxDDaGAbKQ6UQeQ5neWV5qQ9n/Auy8v4kQ+nQEpwMsk8zM6asJ3Tye27W9I+sS0hPkfchIXL0qE1ilv5jtbu0WpsywWemXUKeZ9OpgZJNEpsk+UK1/FhhAQ+7BG225k0YBxrdMSWLn6LYLgtUXTxYZZz58kbGszdOtumLvhZXXgTmHUWp6Q4DTh3pwsdlMXl7qe3y5S9buR4drAFxSnbRmMA/sQ5/UGF4Go/wh4jwOlx0qA74TbSj4WePpjkOgLw1DmqbcOiDPQT4dfEF3pWmdweql8Pysffr2jhaxHORVCos3bunwFHy4zS7jTJcAlgNurKcx1lt2TZYfS3f5m2V4oQFRfYJ/finHbpri72FlCskOuFBtmnrAKdDMKAD7EDk2aULdYhEMJs4yZIfzKdHDYIcXTIu0hbrWtJ89owN4/elUI+BDyLWLSLl5qpuWU3zXP70WR1Ji5xyz06ejtekFZME2SQcp0LB6R1QqdwTmFXUgRdz1+IfWJ3dCTueSfqm/pR9vKUjeusQpdeHdD5Lr+1vcKjsbUX5zaQOHapJL851PtTlNMhNSRV+OZuxtYEsDG5rE4jdKUQ3PHUlCfwugoMsfXicBu2l53cmegirxS1NygtjAeQYYlrdbx61ol2FmcfCgwzEeP6ZutJTdeDsJvKld+UnSAn7wIjQca8uto0Myy+KAXnV5iB7q9bsF4oafXPef9Jnsr5WI2hG7AHQ1JCRv04pNYoG3FPDic4rGdGSnO72lAx32bWwhcz6thpMjzDxUJzu0ZDLtWrmjuwYF5ImeXOxd4VzmL68vOatMs1PoiJqI8kUb4uPwUumbTNzU53TmVaKpBZb8ZhP6Crkwi3Kap8FbIen4ovqu4Cv0a8NKgQrKuhtJv5J93nXRh39xPk/qaPrr5+s5IMUg/7Os5lfgvSq3zSXP2oL9E236AkhWTXPdijfOkkTv/h2qI57aGYBO9CjSTSWPurRbCJOPhjGkRXsKnPLEuqEZNs3oTJoyhxIOz1zaFLSW+LYeGchnDjNT5wfzME/dRg7DdAUBuNDQBLaMW8AF2MadqOnGxxOy/0MvTlLecbGE6xKdWIxSeiqbVF4zkXtZDdCg6M8NmPxa98r+B4ZQoQx/Hqjp5DpK5oXBHhLiZS4Kpd5OkL/eyuMghcSStB79YmqqbTHAStLqpCqlRIAX6DaHuIh7YDR228EwmrMt9+R63uxQwm89UlABxLjxaae743AsKYdDQHCSqLX0jzIjj/kJhoQ8CuWLX1Nn3M5CgphI17wRshQqwKFxiV0pzj7x302uHmz8tVG/wleE0sFjqQKjri8Lor8mec4A4/UoQkpD/0+wKTXc37Boog6HyVNwnC14huuJt3yymzWauB8e10uMPJoZbWcEJNKLZCPoj3Y7d+jl296So3VzaOqDpKo5UsdgUwVVYK34ZyQOROH7lkGmM2gss0nF2EApvrTCOI4L0d9gks+2VZoE6RSp3wS5SJ8rhYSr08BdlrUsoeewTefXLguGSRLAM9b7zmjSUSp41ptfnk2RSURHGjm+mMGEArmKXpIsJ5a37eEc4ttimCHibHnIF4cMprkimULBC6YI0LYmiAGL0DzURBlIzWyO4xtSQeGmJ001H8OusaFQeSszPtXYswAdSgFkkdlI3t/2X7ZeLNaMS+qr64oZ8DGnsDVR/f0+a9YzYXRO4Tq2rcmFedybe875JQW7D5di1J7DNElX6VYyjFynnfsJQj4PxgD+CJ3LcOkz7C99O4OVnk3EwxFOPs+6YQm3sGSQzRV2TDPLlnhkpyhbeR+oZVZO6jYSKivQN5qHraK37T8xXJbrCxSADN3rT7KNt8mqE7d3H0M4tg+j8K1Nqz7Br2F4CKgJ/435I93VnS8TqEbEZ0oDAHful456ug7s5IUe+bPtoNba5cur8a7HmhenkPVyjjTcYtYnTfUtY+18rCOoH5j/uSe/XQ5ppPmeeOiqjvV6MwbjS5KW+d9Ra3gjBgqx6RWqf5vLiYSDDp+7gyb/IgcDPucM1T28bpOCx37lIXqE9cuaugUtCJvNKhPOyOukD7//cnh5LoCCcbEEAhF8oIopzGKUseRkByFK5o9db2IWN2rEZ8Xyzae1oXIL8VfAVSqRqoLu2xbtIXWKRezJKdg8feOnb3IVOuQClyod3PECjphnMF3Nxyw9Q6U+S2G0rdJ6kn9iq2+VZWjwmhfAVswa3sXgGa370QnRrRH43btdnBAlAJthXdTEcYxBH4MT6LIZMMWdL5F760JB8egQNCeuPYJQ35T7UVsVentAEWlDBtrvdk/uksPSwIJselXYQTsc4OxkAzeUB/VesoLlAUdwXS0UkSQJdoUSE2FiaZJboLZDpPJjXP20JrSzlQLB2x0UfsOkYMbrvkFMIx7ZgkfDeWNhi+j4fALB/ffzrpet0s39BIHy5MiSiTrvKHbRHcLllMvj36Zlv/J61sUSZRTNhhkvRjvYl3wIRMqDpvs59l69cF2Bt4fjb3ksaTGmd3I6i47+K9blAKfZEYxw2kSjDs+iNzOpMnLIoVhirJX26Rrjji9i0tz4X4hFgpzbnsmbu08+NeSzDpscA+G66pJHzSc8v1iXQ7F5T65hbwZMHJePNMN1SGk6dC+l/Ge/6R7j2UhvtlnwdE2sco75gKsO7zlOjnmUVIRsNnaKKblNvuxCITvqYNQdCayK/hHb107rewYQBsxIKAt91KKuWb7s8oDcZF5K/rkCdVeKLARK/f+WZNpbdjgoaHVPbapYrdryuWz7bhP1OJVSWL2g2I8rdZpjwsSnSxw0aK3oTKHniAS0dqIOGv1PnwQ7yNct/UPhZ2PLYJYtSBNORfoiDs7Wah6l1WwxK/b3z2WCBidB3GXGCRflQTeb+E2KMcdunh/tcIAEKWodzchjrlk8yiHdOJJsoiW5b9m2sPkBRAc3ZPBsUa8nGNQ31OpgqZ8Y75kfQqFC+tQuZd+yD7AmCuT4kMsuADdOTzY0+PATcdiw0zzFUEAaVYC4kmOCSU/+RFaIHnwdx8Qm1fFAUCYuyivca10MKaKrYMluNLsbZAtfaD2Xiq9je6/LcwLrvh4cpbW5b5u8PCUpdPKe7sA+uWvZKZMYp8yPM/3LOlRY39T2xqr5NwfXfi6xIRjiiJFFrbB8FacGKf+TmJi7nVIXlrpQd8BXEsBgBc07owKG64LMLg50fbRhRN4HPMA0duufdJb2weOT6ztMruZp7rFqd77Gmh4XyrbMXkKF9RaktyvG0gSroZdQGVs/XxsrsKyNeHfnskjvBj9oGYU8ru+FIvEaZLjs9e1KjhQ82RpHu85Ub3jZfmBor+TDWdaXk4TOP16wYJEpSzJgoJfz0qRSD+EVi2w1yqvkSDZC2jvyEsMoW44VXwlYr4nm8Zsk1nAgpefoipcAJwJS6luiXmnpMvP1dIlfuR5DnzLNG7t4wGVjgssGNGkMwxwbEN06uXCTSrtoag/sOYl+iMxOXu8pZtU8L5sivyr/yuEfmszZY6T6ikyPOv313nRk57htURbe4YXnbX41o/01elGMf7dBvSyjFAxW8AtcUMj3hGAKBXnAR4EKMpQCo6yn2QQ2c7AwihoFJtHc7R+hHWEWwezzcnFzdDnT0xbKbclgcRuf4k4lEhT91FttzyxtAMGxbn0vihvr80S1FAb0UhxtJwImrEy91ghbv+iqn8RoGzYzgVPp5p4YRGFtm3RChrReZhBYEqeqhugijia7xcIq2q+tuqItmz66uar2m5v/uJwUmN/81AN1KY0ASPW5wttA5TzdOycwislAU2gmKuEJ0bBg3Nh6YURqovkSMmGj0KgQM8/tW6FQE8bHTwKbJheqQjlSCaAGxbqmH/CNuk8XQxwWDl96AEQiDINI8xBOPhwvJyJYkkCHvi6GAsbmW1g8w2HTJv90NNXZBiHCUn65Hk3A0IgLPmXGUnDHzYbk9Jy6mlkCTqoJP1WotGd6hGlIXBjDTnX4NfgURLlSBUP/RVnv4XkfFJg5Ch3zxf5ul0dlgUpuB+qax7fLr57J2JAFM0X+iUyt02ETeSDS2wdhSjY/aEOiwFqL3zpS6IpjXFi6KiLpmA5Sn5A6zct2zXjqv0tF4kw/mddki5Zj1CidRYFlThDnM4iyKPO/LUyu8E1zT6TGQPheH2DX5P2KAR8dfh0p8MlSL39Gho6YJ+nBqZTOT01CRjaqd8mbw0RFVV48qC74Bh2HNkoCJL9vt3JaeMpupuqBRUfAYX5C0Kro/CQgKpPD8lKA6n1iC+DYXrtUkP0IUh7ftkmu+quI77plRnkNpsAfmm6RcfYV+glhkYkYVM7G2l/m3ogzAycPefBdNkRX4/0jklulQ2oA72OH0OtUl+tXtm4H6jpC2fB3vXcAyoVKVpR+82wN83xwqTWfXN4EOyS/JEqCCoYqzi5n7vC5jSy9Goy+AM9uCmQ+9bOsl/OCgg/5jmRR/9njRwSalJIRkwaTvNEfshEE+eSFMM9qdgNDP3do+9TxHepJIUNzs6DCjB5J+hA86wGPAKq7qTskLtU7zjV3EIJNvB+uwRxf7ydW+dQPncYz29JXKzXGPBalJkad4j1oiXf2v6Wio3PJDUX5jbZWA3sMvsycZ3g5B0XspUUYkpi6yuQq8JeP23ma2rNDAEykJctvqES+78jGdDzXnmLyxo/qDxMNXkQhlWRbKwSi7TTWIvqB0kIPD3siheypm7kaRUeKZGD66hsq6JpjLsJ2V/PX5wRpr6kDuK8ulbJFFFHQfuIRRmSlqiEQVZMP2euLPq8VDg3Hg+yk6Z5PSLNMp6yNqEMqMMsAjIA7RsYh/cMxRi6bk1HgurWmO4C8Y/nqZZ79IknzoVy5FJn2TFhbrKf97R8QfvLtjM6k+5NWuoPAS0RGmnHatB11aoNEbodw91ujsM1pyElgPVb+Ik5MczJYRAope1MOZm8SIaPnJ4yoIVlv7WjD1HO3K1Zy4g2COPmhwb9isy4wgOia2gAbPEjnf2y/qHeux3IWTbnUXyf7fQjQ3XxTq+2g2dZk5rfPz1549hfKpF3nQ9pxHbdcTe0v+Cv1cwA0iyJkK3h0iL8FbpdnQu2ezrbcYELHPwNSKPkFD6dEM8Z7nzFlKrVffnh6EU30+Sz88uT1+Hik62OPQk3CJCkLroOwkP1rmI3CswhY6j/IV8ZkWk62+55Ge/hVl2Zjo710Mtgd8TIYViYVx97sF+IlUJhbUzjEohZdrZYGZruGEJ0oKVRrJkgQ/kejN4q4JGn/gWBwV1uxFXd3rP0KD5wS1JtFFI7dZx1IGYYFYYU6sjoeVK01LRaUc0nYrpktvRt6BDwLpeaAuREkWsH/0tIK6AI8W29LSyYvENfHrZllZ/R9oCLTuZg2J0H5gLFKSdkLPQAHcJnsAhM13t3zQOEO+EA8i6Qbr99dLClHL2cakerYF5ZkohJWDllhCIoa4tYVVTm09B9gnGrLd882t8AyxRQsMIZvCWXJ0XfX5dwZHD2Imsj9x/biF7AY6HxpkNu3qmjuuRiisqjTYAb8eB6pMSzYXreEscj2P9ENajYLhOMFeM6FdHrWn1kSTK3P3Z7Y+zXU5OxTdl7kqUmTCwGKERgy71TRzCwDKb43CoHoAvdtzYkCnIMv+RjzmNNzF+++i6OR7i6m7JY2/YRw/brAORmOvcEoEj6B8QRlLRQcvabUvX0tV26iMUe7kD3UPCFc+I7n1dDcVI4nA/jNPC3evWd3fHY32TY/ojHN7FbEvyzb/1Q9wJ0ypLmZFvlrMOf4nSUxR01g9R/7HBgJimOY0TpSVx3vQ1DNtprUImvWMxWM2ByNrPnx9auxiwx4sjcbDI67AroSW++z6yeWdu3If0IB+3B/XYnVe4D2xRYKvDs7s4WQ5r1JXzcta4YHENABq1TYwc+DwbA2cTC80KbTjKCcnI7LwDY3KE6U/t1jgustPRoNiUzcdHV1mdLJKGckh6AI0IxNfbVdNHd7Aq/yGXHGWsN92usqWukWgCdwlPm1kdBmKA40kMFrHFMfBim0tG7wnPUYZ4/vCev/Sx5s+VwicZM37qiPEarBF9yu+Frash+7ojG0PJnQduxozKhSGF+EW4qd8iWvze6J5AV+2NrPLE0J5l4tnYp1BLnOCTEtvdsl+D6m4wDXmrKOcfoAcoqxRKbLozq0hXzsXS9f43MwOvvxwN5npYJRoPC+agaEyhaI5L80Mk4NCcmtSMY4KHIPU128lVF9u9SLvWuWOWuohUOfxplocA2KKXbpbJavEqI93SeqPRCY3N2BBIs9ItvVchgIJ0o2qYV1ebPE547Ki9547bly2t7l6+NRcGNpcd7cPnkLNbVc10UL0ZHtMDQvEP1XIhbwrXFYSfli/B8PUhZWnPhg3ehEF8U9boNfOoFPEWIqJ1FObDBN+EwdXwMzcCbs6nTjkEf+IvNU47siOLV1EFu0kbVdGUCDzyiJikiRjgBSoUvWVTcJq4f3rznOyI91NyMmfMp3yq0ny3g10O1G8yMvKFVdkNpmAXxNlpIZ9UD7CItRQozo9sZ8QDj5N7uqlxP7/V3FDKrtcjQ0vuUodhXFywp8bNI43Nv5OWziIxO1PyJgcKU5QsBdktiHvOfAJi4q64oktG48qP+qC5gI6Ogqp606zYjncK3qoq4bVdcl5Tua/2HT59L/3teb4jWFcFvO47+PyhjUtuh7NMAE9OLMo/J8M9YNQg6XPMKb+0Mszvn7vtkUe7IpQYvyXJJXDYiCAoD23bdryHHQI0Bkm6o3G7seEVY5oR20qBHUE6P7/hmrskbxXCXtE3FILnoWqWh6wT5Bp/gOKEsHRt8YdZQIMmKL3VNVQPLWIxCTsKHJZllnRU3Jhypo56MgakJps/DrefUSR/693/rDU4nMBcZcuZO6MrBd+gPYiA4oQHIwbXrAX5TI9ZWZdCsFvQnE8Ts++s5/GB9SnHxLM7WpLwS/9a53YEkSqrU33KRqL5wX/YnxUtxP1JdgwUHBtjTjhc6EHPYzkBSBe29zD8SKVLHR51TOJ4/XPJLtUQuHK2QxXXgDyoqvPsSEMewPH9g45NQ9re5suDoKjR8nvmp348EG/5nPKuOEQH+ujfavfIP1WTdAzP9ecYN7Q1n0XrH0Cot9rSW+lmz1Q0UiBsKOT2sIKM//3aCzdUPUJL6K4ZiJARiIwCUCm3/OuKHvJRjwN4qH2fC6DQSMbRyf+OWwoVyXMAGreV6uWxpRZeutxZIeHv0JDH+MUdLJdr/3bHcWUFtRt7AyByp4NFMGLK1I2WAztVDj7p+MaVO1EaJ5b3pUFjffEr1nNm8zB+BcnRE5Yva9Cy78FEsyb/vJkB1abQfj7u9muLtAr3HD5y/0aTGLFKxACrp2J2yHJ/wOMLn5E8F5bMhGWUn9zzmySpoAE81fbgtQWivLtk/vRbeCGxZE1EtviymiA/eex+LY4uzkbNqlj2LL3+cF9vsSUqdhIVoW/mbugbuCWDcBuhB05Y9xUCqNnpN5f5XgpZdVoCqzrw5blW3a+LRfLmbLW2YPawjSJgL2KexpvExiiTurtAewbhqQMVl5qF6EHBMfOBxwCQOIe0hseUZuGzxnhj3jg5FLSZmQWXsq5oOJ8vfHDDQyc0b7HWAbIzRGNzpzHUnzK1Y25m9O7hf5KLsP/A7lKEzqPwH8Xzb+sZY4Y+dihBcKCgCxPVrhnLMqKFwXt5W5wnd6dSepkc9q06UrH1XG8pGR+KDMCuJQ8R3r5bHAckl3uqJQB9JyzU4rDqY+bga3cbYyZFitjj6d2AkqGicF2oVywfmkY2zMIEmY9qxLXP38OQSrapA4Q5QXAozezLFxgMXygM0sPvqXtgFrl+baW+PIJ+dVeytuC2/4sftZy/82x1nCLAhMbhYwkhAofhsyV2/gnLtTZbLK9m1NxkCNhmS7jgX6+FqhCp4/O7oXFmXGSMbGB0P8dDrRlOisBNmQNmsCzKa3clothNEI6ipOYNhl/qFoDHALCxps0xgQ4xBodsRJn3f6ACQ3XOEV0byrunBUxgR+n+WTXtzCmqSwNhVo5aTWmXL3BM0qEVjL8CuHuAY4eLfgutx4L1qad3NpLCIEVLY8K6Ep4usvKNAw7jBf0LGucec0TmBphknZORMXToPwAXj4U1jZLhdo8ymC9Cdbk5z0PAeDq8o8iLF0ZDZ6OGcSY05ZS/8+vxhglDoSM/kOQg7LzJKZX4niVyi+19oVmH7rwTOg7l0dijpQf6/pvubwdJync5keMCNmlvZuqnLuhQpvNiN9mtTidnFALAv9D0EUKcUOt97GmCIcyjoV9FREpcAQv5gFx6WywKRuxaFUG6R//O+tdK6ffXj97/xC6TmoMpLKKXru4MMPKPeWKxOjCVHc6+0LIkbUxObxIdA7Cyd6DP1SoPT9nPsSKGEpFU5dsFVt81IB6NAjTQNdqa2tPD/m6WmsGHyJNW8l7JZWZ0wK4OLf+TNGH5vxuWu1wXRnGfB9NN/aw08HQbq9JbeK2c7RQkQgKVLoi1BOGJAt1o3yDxfQO1NghayGC1T4DEzFkrcsXfpo2cQf5sU/7Ag+CbveGE16jk3BOFUWeKp8EPpDJZ43Ub+vkB4ufDNy3VnUVLvPRvc+aO1mB1mxKopw/+4rYKDqkKIwNnp3/msmmOf2zw9jO5w9tCdMCszPBHMh9D7DRuvE9KKSX6BaloMDQ1+PQU59tlDthFVhVnqw10Abn60LrhMcV8ggbHOvm9Q1ODZbZk2R1i6asE6gssunfQuqWJPnblEVBgHkqHU+DSeIr+tm+Ygo9MPNo83YlcAEQ/Ze8sAh3uufKe8IC6wF5A1maqO4N2UNZ1No2nCpBFRYhULtKrVVaE4XLiJHfXdLLZmdV/tpvRZ36oMJOE2vcve/D4PX3Cx1Bt/pvQ7rgN6g0KfM+JQsNz2eW5lOx8hdE65ArJx1Vojcw2Sjv75NgPJolyb/sQxDvd5OyA59lYdnM2GDuv4YpAhm6BRM7ScliT1AbcxbDvxI/RshKnexqWHBPk/9xOR2ZOCxHRuCw+J/t53bqeottfpWZc/Uaa7FPSizryHldh0SJ3U0OyRBcKPmX1AsmS3FjrZR4y7SdyElNIQPPAhhq0jEOJ23ks7nVvRgHDW0XVqpBVIIR1avygZVcICzVKxijBk0lCJ1HBolAslO1lAh82sHjvhqAPeaFp4WF5FN1PQx/LBkyIYDWMcCuYm6kT/Ftr5akDtYqpieoHqbbaEvCwm6fwaTCcLoYTBgX3GBmFVDtXqN4J7DQfEooPmiwvT97gHomp6Ci9SQT8aTOZeMHrAIuv1r1f3KgkZquHniEOD1UMHFUvxch9kuD+3V3x8/p9Pp2cNasACR45AckQIAlpF9Wv23j/D5Pfhf5V6KU9Bqwb885QKaZTSKXcPMZfFzD45B0chh5eVIuOEnB51d5FXNfJ9jtL3oQPcNx5BEEHkRYXNDtz+rehV1Ww9jawhYTqQHJE71Gnv94kEd/KttH0ZOJpyrYIwUiUvbtTklOM9utIjTUSpLuF6ize8ngaaCNzQnDPtlotCsr2/E45zFDEk4qAfJEmd8qq83CVr0HtZ6MIsg8dhtXXmmEiby/Ojb3XOIaciNLEqYJcVOaH66JZvdSa/Mz3Akzg+VAYMXvB1SqJQsH71QA0821bSKP2j3T1fiQs8FpUkA1l0XVOiUu7TsECTVVw06IBalJQHu2ToW2AVsYyeoJH8UkWiYk4MbLdRdcnARR+JpoVOkAWLwLo4PDI3IlQaZYuzmes9Ts6TThcgcp8HsdRvFmLfZi5HBteb3aqkkB7HqAnJRqxCncR3E4KHH8aSNfm7u19qDvxmC5nSkjCH3mMzJaPI4ldtPSxQoG1+sbk1whpKIvvuoQ/VcKjY/3y37dZNnJAhRFjhlca5RXySoiMO+GKxlxDF1XHsxZsyLOD/7ZGVMuW5pWYP/iEzi+dq1OqQqyYBnAAjymJufaWQU2MYmfusd805L/yu7hygII5gHLPfMxxr0/IzlCWaVOmH2Q8bELI0Mgul79ymyn4lw92M5Uh8hWgpq8HldOpaBVveeEflc4/O5L/91XF/Jtal0DfyKnkXVWf1tKUur9l7WpKVjoTmRRQzPH2Uzssi7fqEALeXy50LEmvvI0QnwdsNNQ8OoLrLGwOoXr3JD/SI3lyBkxsds5jiQe3Ef3NyyyJt39M2nOVB28g7g7kLDWSgoRzyt19xLIoAylcCFc9q2G5T2UCTWMUS3lmjui63dAwBIglgGwBCqrbuPzlPl2n9M6x8Bww0sFvbCChbD3KbzDICr6jF3c4FoMWNtuSTp5Z2l4EflVWM+7kd7U7Z30IN5Ib592+EoqgHqqB2veiOPiBxJOrRUOgqy+VI2fCVExm8MKgTAYmXRvcI242t4SQdqEo4VRUgVZQxfQ9Z8khwBG9oMq1RHsky7zto3a6lILFb/YpYWy3LtH0SLyg11oezArTRBKSrGPZ8Y7HIbAWPhc1I6FZyKfJ/087o+iIZSvRuu7EB7Q8z/HH0ybm26nXfhvAV6Zma1+oB2rHWl4BvKnQ4xTNnqvmOnF280XW5xB+lW8lzCeWCRGH+fqLpEkJB/XufG5GQzvvcByJPs1oTeqiNe4zl+g76DqrjRjLEq8rzAao12R/Xz9sUfW+R8iqokAskwzIpXYfOICXJyqv6hZ8mEzQ8jS/+M3oFZaqNm4Yk2sdw6oSIY6TOzjOqxqopoSz2YdRC0PVzVJ1pYrn08xxutDcEEyK6BfzXyV+UZwHjI79EuzzZGAy/mqKBkBy/jUt/l7YxT2VZdYIa4ywHLwUY+02DxlJt619ulrXMr90JkKemqkrrH6JMsR+BEKQRwGfoFxp1NUQsqb/Dvk5K3F/Cezds8HgwGAAHcvNLCSeYHW9vjDypCbpA2Ona40YcmsTrWWkAizBvV/Rg+YaJiF10zTjwKLXtJIPOFwcuypVF7boLQSUcTOmuBhc1QZtulWWt20NtjUnl8K1GWxgCTllCTI836emwnYnG8Wd+RN66yF8bVMcm6x+9VHTSd3B4ydUK+F/mvfu03sfDA/b07sM/K0AfqWUWv30sEvS3qL7/Jwr7m8TUOus6LEoEBqBmVvj5nQFQPdJNeJvrl487OHJDDpLouTMY0crtOkRNfePbdS3YmZRa2U4+lgbRNe7UZfc0dWJICFpPdzEpO87SROytdLK8SS380+gl7qN+KJvgPRMcIiDL4e1lOnv8fJfJbRpWdgNAQwyWnIFM6bGH3o/Nxd/q6Z65oj4QAnhOarKw72ntRnVAdvcXdRYqdpcsxQcDVopFT6eVfzFoJOp2MG/9y+z9faHNWmEu32Ol71fg+1LHkPGzcy5A7qXabNshM8ofYk0r2z3D+sU6ju05a4GRlBFaBTcCZmj596rhZdQP223eN6vyQxZRVe8hv6K2PK8jkgi8ObeDNNt/uUeHYfCr8DX0irK2OLxbXyHNhzOgFiW5sa1G8XN/tOCbG423UVJiGAu2Lqoyfcl6FQCyr+ms/l2E0pMNtf32/NLMVKYwX91vr9ftzq1nY4kgQxLHXc3BsLzzH2uLRXlmbpSYa7BhrJNjWmAx9I3L9OHU49pjxgYz4bmq0qRCKIcq3pzYEo4nqo9afbfQRohEwaerq75KwFr8AIjgnNW0C/z6ujiBj2jb9kHhyjXkAJ+LO+U0hn5f0nmtIDUVd67j/yWEeXpfbF9HNBFZaMGBsRgptFDzbCFyiZwSHe3cj0MKfiz9DK4iOTms8btrICj4uXcrDh3kXmuYlKgA5AYri2JeJ0h+GXHNaj7Equc2EavI8bnRLWFzjkO3d1DI1JO230Gk4WOLr2et/CiYYBkxGf/S8hK5YB/fGSadevrhmXjgYZMFqKMIVvvnLxJeA5e90dUPArwP62xRaxfzvKT6GquKDctW9i+eHpA5AhaPF9sREhe7SY2AYIc4htTodwFTW8DJeKSrVZ9FqBcVrQL2liEiepTYOzJYIkoFCtF3gmkSAL4HSWYAlZjhZG+MDmZA95Y0KAzUNjt2nY0fhr+evkZu+zhVOOgIxEUXyMvhnO+CC/4+IEAa+EjomvyfEafZLT3s0pnsMQ0igIFywDDB//j7hiRdUee0yt8faa+SiDpTthhSjgf1HqxQXqUn6hTK1wiY5DM7UJEESjQQbbqB1LbarxmAuI6wjRGq+XygM3ZZL7ckNLs30n9l9TfcchsrvwEP4FAZr/FOmDM4HRnlJbcV4zISqECEFj1iCc8581wsVgh6O3JVRFRhM/Q0BHnAY+NoQmW7yzbKuxOmct5W6XMG+dwCDB47ZOf3q0gzyb57gtSBjEskO0EpQj514A1SSClHsDg2ouFM7Ca7YEqnam8BuhgacWKdluGvZDwowhMoVuTWkbMqcidanCC+wchsNyNj9WXQC48iXzgDaHdrHNiUDQqtq7lV9+myXmddB5kZXwItLQeEajYvaFHw847SW16QiGLtEO6OTdZQLqcD9/SElFeK3ZPs1VAUOsoW3PuvyVn9be7rqPuc378rtc1oZmmzHC20zNMZ+vhuqEDEm3Dj/fG2h4ixs2prg13kSSacUE7gFqifxsrLm5dG/DvPYp5YXJCn3dWJHWNaca0BBTicSLbdJE9T4IYm7Jf4A9RqlDS8H5hFepoEA8B/JK9PLomJ6TtotMykFfkyRA3cx3RlQECA99Is5VHn6jYFXlmlro38WuIZjcF1vHhvfkdNg/NRAH0tdjQ5HdMc4Oo/RgEqidUuNXMXylKgdzzp83rZSbWoILPJhwXtCvB1zWHQGzDxqyjSqDD/xWyb3c4QlKrzvKpCEf3e18Os9gM+EzU/7aNJmZ66t62PT+INeRcSOq4o6KwcuQjkfZjruAyXaa4ldY1kViREGgqRgr0jDplg4ix9PVBH2hVVYfMXfHFdrZ3dd22lBzqieMCYC1R+LzZy1NQTvoe/TYRMLokVFgEn26tJsHpK5rbjcTo7Wmn1iQpqObp+cJe/sLefS2q+wPclG32+c3jSwjxG3RbvrdP86NWO/5CJFm6fwMqLQco4LF4d03TNNMWC0N3zOw5tWJAVRqCaa12OBb3Ol67WKzhVOBY0ny3kS/v60q6sTQv+u9GgSb+6SiMGlnRzheUCj05+Psn1fWVrgxXKg/zM0IHNtqRHtig4dG3HUtwWZYaR1QPTQPlndEu0d3Fsa1gppciX6+ppU4rJltqiJxUc2qEIUIMZUX2AqSMXqt9lkarIHmlEJrNeUjJzagnA/y3SJ6eRcT8Dt0pxddTfxsHhy8ceBH+Xw58C2Llrqbsh8J4OEzOWg3mkEZIc3/+922+8+JbptFE33CmaL+J+7yhsIjRmhSsBZKKHtZ5b0p0sSeUgfVk64WVhAhGIBS5+su4JzOab9NXCTc6Ax/uFyrmSSsi59ygxe2l0PwYxkuAJe+UywJP7m8o2jRzbTbHIQFf47Et6s07KU8Oyalo+FP9XJvXBzfQDf01AKlGUkoM8uRtWJI2vXy5e3yRucG9EiI4ZjdTfq7jMD27thoCekwnUZThFhcqtl2Pf0RS1YnDUnnGz3+T7ATtQVjKO8hXKL5j4FEMWmqompcdGIXeYzljqfleraAP1sCEPhNmpzcOT1nMTDkBZKPgM0v84t2Q4LSm0v45PYZgnnEN3raPkLv+iLEJDwUizUeI2HhezVYn1HJSvgDSajVgsjMlo9UhvyaLo4yFqfhLChmUjsPmecFkMxS57ZTtk8GpICyL8GOeTSvaqp/rO0RQ/4lwqSs0/dygLb0FFwEFdf8SNyvJuO3klQMkBoLIDrCIO4ZpO/9qgUf9ZI2aYF/nEiAvRjtx+NebE7oHO0td4flAza1BIaqJ5x7e6QdvchOSLE4a2JHwOFjsUS6+SgSkzP6AhhwpcboYOI2WyPHX1VVFh5dfGXLJr3fWub04vf75KGTNt4g4j+ai7eRxP0B0yAPzCNKJRdCZSeQu1uyp/S+okBCX5/eNXWwvU+H7cUx/YDY8wk0QcsmIylwK+bxwHP913yrVvIIu9wahPwrfvSfe0si1ymkfIpQaQbxDIKtK/BiqMtMfPp+7RlXgzX6TK4ektp8KJxYhOJhR4ElLjrBDRPx94MTUyEo3H4/JrQl3SIBSDkaIJKbTh/f6txEwYsqpV8nNEThKaW0GSfL+dlMXkv3P7aHl7MX7i7cP1u7mO+Y+QTaKwlCUUFCIO3T/Tioizc18+bSmI7lC4BIQOg09rPAMYmTOPjkNDAcIsJHQ2r9hpiYBK638OUEA5j/MF55DsGNWKRZBuyL9NYT+0B7k2kgQQDpnUB7NClm4fBisvIRN/j3QWpmOH7sDhEm0k+Ih5U8G62xIludtsA56D62ecXOfbbag8cLXxdSKcpyFACVGr10xpZsw+iAhu6bFs5wycIPrsDqDdN8KaIds60g7vvVwEy+M/UMgkquWWqHVq2SWyt9EsJqnaJqXipOpPPCWkaNVHWG8sgufMnvtJW0icrVwGwdlpBgtX8Q5zMRX2CiIIo7K/ZFNP/VGg/T7nwq4VoDYv5kwGnKN/yAk8h3xNePunILcWQ/fQR1I/oJMO+LeYC+T82A8Xqz6D7oBXuqmwl7UabEEuK7O6WvH/XrHmnWYrRUeeDuyJOL+b2GaIvx1u9ZHQQ7NpYpYhesOgW+bRnM5edWBfXFQx+YLLj4/X/vgvGy2f72sJWu+qCkMiYPt0Rzm1hufeYU/v4x/b0usdfUEA8vjO4th30LmNpZ8bVQMGk5OPPB26fv6dQPv6ZCpcDr0XBUJVSGzgomf+4TejNySuVKYsp1ckZxu5Fk3Q9/zB6yP8S7UZhHmmuLcqYe3dSDBi4l4K06FcA5L0aNkxbbtd+qnFmH/TnS87WJ+NFPk6HnZUh53MY7Odbk4Qm9Y3Lhs1QnthjuKgLvR8hLBrnK0oHX1ppS4zshCxNnfwF7LE7lKt6JpBurO5QP9UXDEHTkBr5/qAC2eqGK7XaYnnzfUQ8e+PoNm/eCCh8jReKGLBsWt+AysZ4VHORKrEDHFsBFAr8x4k3dNbnHAG7NMqQcgvb68ck3lVvMKIyBy0KBGi3SWvu3FUZ7Ii/pcmczZzNkoegu5OnYWNs2nam2YPNnoPe6weg6cvMqBbHqLw/OjLCnX5mPz+danX17wOk7/byCT0SrK+d3h1H6M5lJZoBXrx4sM/9wPyV9dE8O2VkKfZYVARj6Pwq1vzPiXWRn0vfNtylSo/vHjV7wi49JBQZTk/LH/zn8IsRJKkcHljDmmC90sqqqB+fS8U3qjAKNqVIk4GX56cMv/MMtH7oNrPGjULu4ipHdvQh562u9msbEtvjUqv7O4aRAXsR6YdheWZiARlyJEYEwWlvpOp5QL9ij1gLdfJY/x7syYsXj+5To6+feQchcvj2roshp+BUnAG3cA5GbI0Vt83CESJnpvONKnviYyZWmQGpASWmGw082IoVUY7FrRr9zJ3TK4UScYIQzoKQO7CW8RDAIomIYwcu1Wij1aoLs7hpZ5H1nr6c2LRb5trmchAH7WSvGrAfyxxIPHnKHl5dCdYkIQTOcCz0UWMM5j6enwKl3W1foXK8jVtdN1RrpKgB+hJqIma6zC4prfbmTLjK9IlZQac1vOY9GZWRJlLYLecyF/njR1Juaoj3F64fKNdr+zlru9H0l+yskC6eOXe7KyL/mSG+d2yogm/efMm+ezt0jYisqh4ZPymyavh0B+MXnVVJXlzxfqJc5eqmv3SC8S0cxFx66jtWS6gHla8jQ6NJR2puLxHCDPTEBL+XvcwcE6oTR0jLHSec+BhyN/cig9blZ8qcnF3fb7BmibCFpW3/NtNT3iMsX3Wi4GsGpbV6na6mVs1i8N25Y9BvLwD4hCgUspUOIEFktADc49kssEkZhzmiAqktcUPG/RAXjThpp/9PujM/Nerx/2oAHNHjKoQuyJYwWDjFL3XPZu8YYNzMfjSH76ImEjw1AlQAIGgxGMgkEei0PktxywvvibLZhjwn7WEH/l7JoGVth3b919Dp4OJCEQHnpcZKatx2W18Shn7ZW033w8udvYA5q3bj1arVhwalGzE1NaV0lC9USRN4QOMmw9dg44uOenfkHhzQ6IcRLcj9O178+cWIreFZWI4XEaEv+DJp9SxoRi+ZGfYyCxiSUmG0fBo1Ps4uLZRN95acGBEQEAk3DnoinzWVHYsYv2B8+7O8ML4V/xQvZ1Z8zizwei+9eJOvGsiv1KhoqRUS+pbjpGE/XZhrcJkQ0CQ21rnxgU8zTELRVN4xKxhfdL6w6fb7aS2aZKCa7XX7UBE8PX9qOC1dM6LJmoYDPlJIKgkUX8jWQrTZID0+Fy8+HRIxL8pjqOE2QRFDWmGUblq29iXlkx47j8WL3F2hY/5QHrVLJvyjLSVMGaXtWeZsfiMT4ZMaHgqwLN1GdF86hTm+46scBy91P3WAIDvuTWGE45TT5NBUzxxguOT0Fcf504B0ySj7r5nCz4VNBfQZxGu7d2PxA+R4u66toh8D4TvXoBJI+mDp9OgHkOPaFkKDP2RmNuaoU8Tz8bsXbFBJy+1ugP19rbiE2Cm6TuZLMQoXEX+xZUcrcpCKpJIgf3OWmOvSho8HKwrNhdvvL5lY7T/4whO7HV7+Z9uKicFdeOYGwxEyod05FlYQXPFOYPZkGSOeUvqxn30fIIRPdfl2C+J7051Fg+DfRXciiczwgh5XsMncxYPOawFU261pXwAcpNFB5d7jCzuJpkPkjISlN/r+0THk5xcQ39vnl6haV/+cUt9B0e9FZgvT10ez/3oauZ8kNG5im3sHVgDOXNtZQn59RggyHYvebd5RfF9tCA+pxHhMlDP/dTiME+LMQvKV3xdBLc3H1fKKjd/qPnWt5P8bmSf4pjIhwSiCLzQyknIXziV0obizoyF1xt4ZzUySWnD/ZKk308WVpSf7Z1AUJsghdFIrv15iqBE7AWzFX07Flj9Eaolecg0gKvKAR35s5II1kowdwb5cEI6AM5h8b8D8WvIcUMIMm/epFNso9oZZoptfasl5pYxQPtNVw8ETQFLswcJTGRZa/Q3N03cYiWzQtKcdQ5gyK+Ea73wK1gMmYy4m9QPeS/FY3o7D9hZR/p8e2bIHcrD1xajtr3/ulFlM/7tpuVUUBZ618XDF73wKP81uNdQhUYl4yoERY1rgSsWENFsIbn5hPErjqkktxpIw+0bx2NSjKg8XRJyJ199MpnhplsdVLtUA8wK63yODsoEwGnk4M5elpr3KSRZgpCohcx6/Zm51W7IXtbQ7SdYfCj4nNwaNpNO3ysCf6g4ifn9n5m5TSzMzQ5K7HzQfaarxgrPHO/p7FDiRJ9pEBMZwy7Vzy1WwWfE5sZBnfwH8h244T0eygWkxBpsIdkOwY+xc9kX+rTsrKE7RVNF54lsnRkAnIt/1I986vsAoal7mNXizfJAhHQjM0Xvf6LXj/Fwad22avsIUyPBax283KzxYbbyxTRnghZVakMkurBX5d9/cb1KJqoQhWGCahMR2GKEVn14KeiaJrQkTQD65Fvfiu08XT5PHF/EGP+bcuEF7MAlCOgfYob/tvnpaKJ7fJ+F2tA1alip761kqxk5mKaAFZ6zeVRuAehkQ4i7RAQCoN5ZdudW9vK+4i4Kddc27PbkvfJHpN7Q9pAczYHm7MrzU8SzdiwWVCviK68Q2CY2g1YiFCL6laOiHaOf8CSh7JtLgt5rERSNsNA42joodytOUKhMM4UTq/E+Np7PC1pH215+/ma+c7mcjz3Jlx6J0Zb7n4JAKtq0zP5v4oCyZuaTntJCREtwLz4uxlMh9wUoxScdce40juKrVuX8aPBh8HMoJcYI8PDpQ+Nz3Rj+7y9ZJPzKfPyqYgmDGyWnmhpGJInWG65tjrzBgzoywr4PlIDMlGJPPE1O4VmSsZwqhsrRuLtB9JPfVRgB5gFsr1h311WN6KhpeYsVHLnIlJOwnfSLdCrZdUiGIZ37DxWb9jnRxveQrzEwoQdyryHHR7PhGWh5Vg3SDX8Kk1BZBDxJgTtRVfGgSB7wpj8XGYUhl6CZ8hunStnurQykcVVtv6HRu6ohSohKLb3q+GJw0ayjrZlZWG0C9PdeOmo1upnqfgtwfe5KZi3rrbSGM93C+P5A5EpkXhPOvmcLUi/DlVuW7xFamhST0Pf8Dd6udO2U4BWrbVLCqLruKr7P0ct91bCDnuTYyGXQnJUrwzTe4gLmJHqRSSno7mqIYbuahBzhoRNvGC+uisesJpZji42g0FLB5SfOCvc4uMsLFP02Mcvn1MtcaryABi8ZyLgQYhTN1VMukIREPAvlj4wHIS8vlEGZOlfT84yfyv6RBCVUhdGY/ZRjYa6jGioqfCrpxu8BfgJ6VReMLlLVUUL3bisLLNMt5ExJ0fZBFvduUBY46Sahb84yJYVvPdnmDR8xVJSTp9dBFlcffIdEVcocmLEVV7vYFOHMHbDaEBZ/EHY7BOLFB3QvodlWC1BYYlr939lZJ23DfaQdQNRxc9mWfYPzc/Wq4fsDpvpQc9b+G0fQ+J95U8tLAMU/rr0BltXDvCN3csl0FJ61TlGxmUkwrSInAiyt1etBbmSO6CuMDXmA7EH7/etZwpST8tk00EGN7m4xRKRwCRaqgi8Tb9On5vrA8QDPPj97GjI8s2xweEibvpYNnCpMacExaJIshK02G+zxpAkBRSpTX75bnvrllwmPPVfcqUCWMJ/oILovHv7ytCGX/10nkJvxk1p7BCyhMVWflNvSCmCIaAsRwzoPczLNeKTW387sRSRyvTtlitW4olYOWqhTTc4flUAIbhq0R2HJOKdTVVFTcSI40wQkUy3amPoq8pEYxVsB8id4zLSS2nHfgD0goIv7XCCwNtlZoY/m873rTgSn8tMFeLHn+u7l7DnmRYiTj6H+L/r1gLu3+9wVBZlwLh4rbTYBqRtStxbIUg+S7Sppih61wtVd35DLB+toOjHN2jDkdpnLb6yoWUCPxEFWNTW3uLBeQGEBTI9wyoKtPiFsT3LHfBh87ISMFLHzMtllAcfiwn0XJqLe261Wc5u1Pd9A2G1U1Daso4jxBp9mEgOW3EdIDu2BEpvY1bmokGb2OK8aKtW8NVV9Jgs8kN1EkPPBo8Qo7DsIWIq+PJCT8ry3rQBj+sfobl3b6PwUea/NYollS7Sk2ui9e46+9zyLc7o2lhoGwpnIN5kINkI0sBMyvuVJ224PvC/4yZW2GIP4QC3IWciaecN5M80uqX598BFds+uwXliMVLm5mTfc4wXmTUEqtxjBjSz3pdNRKOgkySwiKYvi9YT8R6DQL9wfvBghMLBLKmkbAlR0v6jlFIQ8vu2v0ySjxT8KSOReNs9nbouzTJq+O1CLXOEmIzug2DCMqdqb6ITQrP1cbw8nbnvrY+/cprNNlhBpcHUKhjvgwAoluywR+xxh/E5QPh1FL2xq3UUpgR38j6xI7pUX3h9WgBDmopIu6CMQotRFN7GPmmahKv5e90XiqmFtB3k/0Ac6NYcZXiTX08itN7NIYx7m6ItNzZXqC3Cd7V/dVv82mVfqRDdeRulgChUMgQb9FOHgR1JNkzFNVILh1Qy1b32u0HUsID07ktSYsfog5fjjgYbfTrgHnwa+lvx6BcLoEFh6e8a97rw+7tZ1m2lsFl6ltJroFfJXLlN2BjVo9C5nT5Rrbd4d4CZexI2iZcNdCUKEksVP3KrQ92x05ZuBEZLZs3nRBwbjo5tpCmEnYEgE1SRi1LN3uRy9uAJYTJvUyH6tOrEZAZjvk267YkD1h+UObLGr0FpQFDtD80roXrfxjDyuLNQozu7kMDccuj58w52dsGc3NkqYTlZDLvG9+xQKWKwTVZKnsNPplJ1dPLz3RiPkySK6XwpwyqkXghUoE2bodj3g1dRWLbBQ80xNHb8jILDyxpr+R7REJ6DCBLMA/51Zb6PwOt1PstPcjI/JqiM19DK0ZI5l/d8xOivVxxV++SaEwLjchDVjpkE4cIoTnpCZ1SdCvWYg8kHIiQsePjeKKfqDwFWlnD0QZ2thfWbv6tWGUvHMwZjHBRYI68wFqZPlRuft4Sie1lkji5DGpG1XERBH3xCM8bEbLUIrAQBUvGTfgtf+m25YWV+q9UK8OnZNxgVGIZwCzwh8aqsUgv/qR139KqIIH9qJIdSoKi6IcxtlRMEfV7+bGoLeR+jHOxOXs1WFsL770hjh5IA76PDmx4X9MXbV37X+eYKuAgNrxfVPHQOJtwW1K84+CWVdtrhiP8LhIXwcGF9CxnHngNSWFvOVi/9SnLKAGPbwATYl6T5rUODCEdmoPrNjAdkHRCLo1tx6In0kYw7JtdjYz0mNifGoVxiV7bv7ml123SiUy1ifOstc/ZOdekgJHWPSRMPN2Zz6RR0WEcNpM04d9C+KAQtjvKz1JRnVEp+G7VnQbM5wSxuzZcU1+RgkC6PgLSdAXKxBhoGBudhmdzqBkXtH9QwR14xpDGQn0kShXSz5oNOQtyWW7UDWWl6PZpvwt16nHu0XIfaR+uwYQ0KeU3PzKSwCvti91zYbezVsNlUk3jTlZaY3ebi+m36lUv5l6CofijETjUlEvoI2gvwDMCuzm6TS4Wx5rrLDfIu/aDERV1j4cNQ3gb8ZgonyWKsVX2fwliVvp2pfJqzwcBVLlsGOjGQp320IjpiQIk78lToMgmeuLy0sWnOg5Ke6pZyXKRa5sOgDnBPZjkn8wXc7ZS/wx4QobbUtOquHbevXImz2/q0PQG3VfBkHALNbGc4G6vpN7pz1ATI56waG9GrVkp9tpmZcIDTf7qo0gutesfGptLdAcL3AFnrwpNnPCaEDI+EzXGhHl6stD5nEfHoLMwBwWjd+0t4w+RXSCw6g9WxNrl92vI9emjQhXE+1TAGit+Nn+t92u1Xjw76FREGPxXBjd28gIvOz4NcNQ66BEr4LiRifpOCr197OEBJVlQwXMNTa+K18Z8g5mFxbdulSpVHaJZuKM2DJix3jx17T5dfXznazLG4yawkB4Ej0jvHVKhSXA/TGkslgDR9ZMFdyBpwHPtkK7Gu4f5TqACKK9T3oRJIKAmXMPo5YVK8gM44BNTmTISbeSNiub2xPOXGnCXsm6lR+CRHK+3YZXZhh1MRSD9z5KAO6zbXLIgASYG/1q0sfKuCTr7PcIY/5oxmQxESJvA8A/BzW84jBtn/2S23myjoa43CAgBwFPlt8HZb2r+/dUnBD0iIJjmtln+VJae3cIXmq7aeZXnUZdA2O8LgKSy1ii8/KRGEHXROhFF+ICGTGM+lqE63Qy2GW4wxKmWy890T5ehEUp4dCbRqFuel8iqdn4AOdj3Zuu7qPE3Z0Zo7NN1/UEIXX5QY9xMvw7bdw3qTmWhQdHEgarYjXDRZI1PAYioOoRmpCdwx+l7jDvNo6PnkuY5mwttuRLWcE7hJevtrf7+oRsMMbynEnRQ5mFwgd0Rr1CWFGzz2x6gHEc1Dp4WHHrgARBlxyOYWCZ+t8f9w4cfpdA1jHqbStUT8XXxVySK8Tzy9IhXi9tPMrVZ/QLri1o5Z6bnFwPx+oMxdbRzplPJ9Bznlr3w3d2HjNnB3TBu6doLOMMl1DRSfdf+BFtJmLjKhdMSpcAG7n8Lf6iPFbQGcvM/9ngji9BkguuEIpHCOkYKRciI4Lnl831z3NNcijR8goPglYWzHV4eHM1riDpvbh6KwbkqpIAUHr4jUCEhslmGvaYp2DswPIHkKBpsZdU5+mKkBY8OXhXx9WRwXt2XilNYVsk4aB1U7Ogki1x30U+sQB9twUNnpODGlYHNjtPEe7WaPzBhn28saGZfnkzcGjTgi3ESyvVSq81Rb5d8q3HDsHp8yPqsWk9SZ16HLo7WNw7BOewIaCNvF92MCSQtoaa8CLaARuxo+4kANul61bg7LRY9tsCgm02vrdyDGGmaRuqTfeqGPBJN5dyHAYogfDUvw7BWs9dMz6NgP3X6dh7lu4sGUgIDyGf28qe7Dn1x+w/xXQxT58AolBE2xfmcB5uPk9a+57PTnGyVhOZdBruygzlMj1WJXEeUUDa/z2IlzmHv/zlvKYlbDxpvcz4zn2cI6t/qCMjWt3GO6NL+Rm49MUFQis71YvcJCi9PqsBMeD0MUqlZxhfUgHkby47zLcc66wBbQWiqTu7hGjxCvuujRquTksMBJOGG7ZUvNZS2jU0TINtbbib3PwpSEGQLXoB/DBt+pOOiaX7ZbqsemyIOZqbXa67CvKF+BwegmaBRprsUxqG3Ut5CN0ingfeWG43ulDPt5mhytmyTNs3oVvAAM5BqP0DtB57472X0sBtqzBg4UhAzLPeHKyG</x:t>
  </x:si>
  <x:si>
    <x:t>KzbEttYXsJGMehQdRyQG9FrrOECKXcT3gnktwgpbjtVN31YJtbn+ml1gfy31UYUKw3pHse2xlNTCsLUV3dIt9uSAMpuoxGX43uJL1gEzoUPqbNcmPtxEeB0aK5C4QO9LN7NVtsk5KQAVxoDwe89NFUaj8dDenvOHJZKevY6TCLMj5MUdGG433Ia1RHi59RMOFJEPsJcBb1iAhqVxx1i43JglobWLGOZvkjpq3Jfyj84sCs/Ysyfi1xsIrncRWSHVB3zvRUqXAFpjrfbJrMCI9emdxmmrNV42wuGFP6p0bEF2Uqy94Y6IhKT8QcpZSz0DYrXVfMhzKTqZj8iCxMew7ZMPnckvRqbKrG/BIkkChK2cz1D6KF4vMyQDHJuxq4dAc7GU7U1Ck7jxcY3U5Zw3HhJkQtNmRkfvo83yugxaL7UupnZ4uYDK0uS4Xx32I6TmzbM75mK1H/7/zGNrwk4c+kGNEuWl/vDvf50Sh2rRjqacCtHpDi9rdUMnFdnafLMFiHZyAxF343Cl7KkeYdzw9SrDT8dVjXwQGBM6Gyg7X57i8YHoEoFYdZKK/76khrysTJrGJFJtH69SRgPcxq/M0HGCCVKrbK9bVZCptNG71/a3ZW9KaE5zMvuq0um/GYchUZbQt5PXdyk7phM+tKGbfCCwhMiDhIJnC5kWHwqopawbf8EZla4Il4ZhxtMXPgX6Ef74hG6WviqDHejSnCxbj+BCgq4q7LeEebaRZUvpsaoLchMyyJFqPItdhXOi472nqhlP6gPKrBQYAjAyd8iz8SnLf/ppfhW9y4Digr/gFV8ZBhn5RqnchQMvdVee+pfllESCtbvrLm9w+QrHaeBh+cWb/6aCkz1HOgzBokQUaMJ7StIF97OEP8YpctqHwW8awchnf+3DzZdpdhFlwFepMCaNv7fvm2WHOj8UbIgXhh1aTlKI4RmNlczyN62Mz2gVrWHWhxR+NcQGSJ07LIInt9vwKcSic4HCQMZsZsipxd63npYAXSnX+KY7KvOSKjx0hsDP2qR9JE5dFwi2B4NuxoxATqu48qhF6/mp5yBBe6hCb+1Rizz2fULq2r3YQSrvOdxrHaweYfajg2nZf5JzIZ+SlbVAU2Z6cY5ZPqPnuVMroya2EsHBCPKHnS37HGyAxBekMV2koa18IbuwC7EW6SeCokUJES94bzg+/U1cFCUKtdwH4YSipEKlL9Raxl/el2SnciEJWKIjl60HoJDiTQ+bQC9/JXBLHeCZ6h2IeTFNPbjcIn/QRQdNc9hxHWdVpjGKJhMTChW9LMnHab1iGUMzE5MCzBo4/FouC7q7a8o2qCEdO26YFk42LywEQClDEVfSmr4E8Alr2uHsCgoFEVZ0Ps+TI1B+qUJRJ55MnhqCsXVde/ZOfxvB5WW7ZDz4+RnfuBEiX1dmn0qaBlfaaxdo+MLWT6U98H6Mquk95B7DdOUu5wO0MNMtQX5PmO5V9rUYHglHiwPkSW8PNleDImZ4PSIum6CnELKB0v2GsWLs7/+mlemxDwT1kiQAVzri6q394aweD0m3d7XGJIdfI3ygI1wrX0oYAvxfPsK2wwsxWshDqQp2SnViIQfP0V9IZwQRUb+jKEZFoGzBnwKBEsous79R6LMwjXoA17vwuvZJsWXNuiJm4cTZXWsFU+TylP6dKc3xW/xmz1f4Rbjskbx0oiOu6hLBfauI4NzdSWSkW4DLszNsZKMsumJrh3bKxBixvsX9aIEwe6ruvtCmF1gHN4pj1khCK5/VC2gyjce/RIn3cHayWj3xsQEv161sY4RMbFl1x5oqV5Gqbn2z//yVheWvKcj/ZxhX2ktpnt0zQcG1Ul0PV4/lEvgO/C+gGOU/UuVmOdwg8RZWyuxowW6IBHBHN8QzP6acxoMLl/gYUlxuuf10T5JiwwnoZaPbu3jgWPpoxLpeolPoH0ZunWuj5j9Z3SDTfPcGf487auojw+PGGYkR9+fBqbDMV+Dh+txrwgCACeZ6eTlOTm/DMId9JH5i2NU87FpNVwdxN8kJvZi8W0+qQqJSrdXsPYWgCkE20B+dPsltNlc3XWW990SeZxSa6uXMRkhv4zFjAySFZ6tx4S0Qfj9okcwydWJuqJZdYqIQurkrcykxpDdqprSSvmNRvFZVwiKDjdd+TUZEk0wjabdphogPT8bjUvZ7OdgNkzLOdBqJgHRihmF18tuDL7hB2dq7PxjvlRX2+QKmwykx1i3LG0DQ1E6/g8a/y9Pz5Xu1BGEEE7aP+iKbRBrwWkU+pkEOmHUliGZQn98WSUxcXHDPCqyDlU8dXrwO1bcwH+d0J8BEh6Dt30VKV/b+Uoe6YCoid3uDxjxZobNR78RMjC0wyzQqJ+5QmSM8eSL+5QOpTmeuj6pt0wWiX+buWCtz/z2hM8G/B4PxcWqemKs1C6yLjnKLgFYpUmtfwMUei+gFLBG8mHcOQf1Z4fcw1vhV/PXOSczfIYtdHai6rhyE5Z7U2oyNMNKq4Uvy3DZuDL7grNidJCBdBnjVMYB4LEwWVatTKDIqayUwqL1CP/uKmMPc75McubpslY4l6+rzyP/SAkp4YAptE8p8XywH+Q6I9Je1J8jyuTrE6SxaQdCEXEW1lRIpE50jabA5CN61CtiwgoPLz6edsQSHBuJ9QCNsEWf5XMr0JgsQnucuqG+NvbBn/UpLPdQe7Mikt/AoQQObEuJQstUYDYMlGPX1bo4CTagm3MSKsCvVhdUD2GIrSGAjxoZ5Lxi/vlt/9Y2N0r9G2Le47vQhUaGD9QTbCcFAugWKWIXqv743vXnChxvMrPXiIsLsV+P9hHBiVUEJcDDcTQ69z3xjmChdpWIM3G4VmRkL9ud6/7vZdbaK/UqT+40szPC8zGjfektNK42swHoVdto8ex2kLWS+2qcAbpwtTiGKHbPPi7ZfTq/E+mYmpvNfrd60OXbmfWDbhCWWliV+0p5A2HoGR4NKcdXp3fymoS0vc/hA7ff7ze+vBLIfv/85QYfEFobVkVJUlG+DdRMr1GqxiUHCaYzj9lk3RVgs8bw/qcaEeNErJ9tCwGqF+qtpNtTHfpYfw4+7AVMixLKFrVkZUvgRpM4LrKm+E9fa9eXst4LYI+jjC8lYd/E0kCd7fh/AJXluMxDi8j4fj78bfqymLHI0NGHRwuHkGsazCrU0Dw4G/tPprHnMVhym8QZkW9zrtmaH5UCcUMNL6mCYk6JTGh83rPzo7mxo2YdXFQGhiuFYRpl+WHLWuznTkZxB9Q27DTwPwL99XPnbW2x1v+VN+boGP6owZ/6dTBaAc+dZR+slxmiMSsBJQB/AqEZ/6ohA247VHp/Qjj+qds342oTcB/tNOU+gOKRoQ06P5vLzIxlYvtXDta41DKYCpYoX0xXyQ0dYsRsRlZySphfgwiheBZMRAo8/JDFe4r6XC+2q28lgU5bXQFZ1rncgtc4g72RDTlGkRd9UcZHaRhGkZqmgFms4HQyEKMVsZrX3qKHTylzMCyh+cfKZpVC7lMpGOjoczSQ010lzeBY/I/FEGSKOFJq5gzkytinZRlUwZ85V9VY/8/oxi+VNt8PK9I3Rmf3urXm251TqDIKvLbap5OqKx3frpinBccRRK4UmToh1ORi2deQHnYUTiFfVO5jc7n7CZlnCJD1k/nzqyaZjZnvhrmILPfJHzqfqmEc8dVNCpQuQtOSSVmUZkPLH7OxCWVNVhSIs8TBDXD+1xhz0yqauNnI9BTIIGpywhuN9022qeQUIO8gh9fJKSy+Jmp8y852pbvS5MKkWVbTAWZDOetKglxkuVkM7nrC9msEvUkUjQnoladFgBKckACrzWV90cgvlxgHiFZQEb7wz3ShJRZZxbMuIauLah9oCMkQY40Zenv3ULKvL6zEkWmrmEXcZA0RhJ/GNdg+XcNAi3RW7sbCxWSaqIe4Bkii4ilmyqUkwzmCSov0jRUPdTtgc5M9aRrui2cvYzRG8GdnrrjIxaeXeb9YYv1kwtauGUi22S6pZyQ9WFNURUWnlWxD4AslpL7T84Q27XfNxCuw+h7/wVScXMAb375GXg22HiXaCPuIotQMr4TsZztUZSPP7EoYVyb6wLw1I1gisQte2oRebXVFdbBt2CHdrqSpNOCU6aSWYl0kczSbUhk6REcwLBYJwwTHBpvHdly7r6nykLDXyAGOlckKnW29wqEpmL2f2QUpmvhWM4Wg4M+9zyoIKz6ATr2k6XCvukwl4SMarYhnK9ckzRTRacNwrKZhrsw6UKEm+6S1XY0pvkOEiDswVY3raToi482FMntGxc0W9j756vIbtH0hBMd2dCY0PF7HUqo6VTahVe+klrZ4Lh0Fw15+2bXD75RcV9kshV7aRtR96Ig18qTrCF847lk1d0n1lMIxiaFXhng28rvVSIWjv4aTqf3YMFa2jy0yzWJS0Uhrcizuh5JhGIUetVQ0/PWErf88ATnw+VKspvTwoMoSD4oKkrqh9LnIRbr7XQzBligyoPj7Bi1n1oJNxUypLmBySiHkOAYR6WMM0cRsoRCAUYbBUjoZKtlFWdrqGiwh6YRiaL7x/varJsXPw3DjcBRvuZw6mcLwKqJwZb0h7RTkexbr6TjijEU3kmj9P4FZ5kDo4gBV1d9FUkjelBoMMi5Mdy5SV2S3/6VH8SXGL8PDoMlkGiCTTlKNB+mssr9QXWa43knf2omXhdV2JWctzL1Jfx7YhlCLfzcw6cOl1ebk5Ubbi4DtWKcQkkdewcpQlaSe/VPc5Y0HWWmUfRn41AW4GGp70SCS5BTJqar8FbAu2hFAETgblXvPMxDFU4nMjLiI0H1k9gV3qzfXT29SLbu9675BIXwvf1ZnSnxwjuoTqXsNY+Fqo9otOWALKz7wBiDUtbEcTQISVAVqRaQTqehGdYXV3+m73hFLXOPbeR70+GWokYnHbn0jUUAV8TKNI3hhpokIhd5ePZ7rDf9SislPe0LxSq5DY0BVUE6kgtnTkDEZt5c1ex8CDaKPigtE9+wtTi5ctfcl0QvgjPE1TldGNQetmyj4WSdOtAGtPsdScHhh6y3gBVoA5gg9J5zbYX51sJlg+mEpmQr/kB0mHk+H6LrEuplmpTVYP7x/pVAZoEc3X3YP7t87EzIE/RS1gb/56CxRoTI/my41/+20YimLxgmRs+eHG80UL3YFcOWCKAPGQiTHXyxQqr8aqkRsWlN0lmmkjP3z5UN+iiPyYMGoBq114k5NnBKnL2MOd8jdU884kcKF+iHqNLon5AwxYrIH7slVEb1Ebt74X4W3YtasmKY0oQPTVgqDp22eceoOzZ4NqSYuQvTaoskKaqRPzruSi2csxuposXcHgwGUIHSIeSJ65mpyAHscx17qrjT8E47uUmd6rYkySeK1oWRZ7bjFvpJayDDKqAl4wcOy20bmX1CWwadFHv1G/tpvKhn/FY6xl3/VYAMC37C3B7LvyHoOGJbrwm0zP4esxet95diV0WDtT571pRfNsuycrjZ2rNtqkODhUNCDnzqXTo0vfRmkdKJas4XN6yZ35xp0TVu2l9X4fV3lRYhNEMDAmmK1MRrUyS/1XOKG9CMmOWd7aJz3ygF/UZyzFo4G5NKbnX2bMe587PWwzZMFwpdpQqtyBwX8UyeNXcxl/Vz0u4MIy4PqULV+ULsyhY8WhdFQUcf8CHh7Uhy7Is0VXXMYYUTeq4sDzaEHCeOQT5a0HH5XcMHrO8uNRbAM5h+Vn99FsQCM4US0AZrWNx9yaeNvl9g6aVDOb5uM6OpKtA/4BHye7cnzsrOXUGdda03iws+qk5NUJ4ruDfMT6JrHw0lFsIiTajoRr+dA2yLM0U5JgCJ4UR8oRRBiQOXDo2fa3+bGzRtASOXiSHqx1UCxQiAvdk1Az0N2VBzrh7XREQqPZ521oNiGyyopSelvy/WzR22ZZEwmiPeZGNbUnmmU4+zTy5i0tGBTLXBVh8LgsKK/PLN2xfWMKSRhcJHMWSz6kGNDEa8gA1jQna39mrSxh5U0tCCALUJZpw3NTTxbWfVkbIyQoEVJSov7eqr8Wr/76AACDdu82/v7kZPZbzLHltbKd+hDRYFdy4lFqvmbIRWyCctAzWi/trJ767YPHM+GwBoE3lBTq6p90C+Hp+U3dBt8yrOboLW701qxez3q37rCRWwbMxMYLyU2HDvyKc1QWi9NXN0olOsx4Gh5pIa8wehaHZSKh2z71XijKRciwrvYSGE4a2Pfm9fFra7bcg1aq2Zn0yvVqhum/ZplFzzKkQ0wa5zNzk3v5AeObeN6q0JkHBTs8+6F39bZRI/wMi2psRmB3a+9ZiL6BAh/dfSmzCywY5dA9IZFC5BkSqdfSr7/gKWdfXkz+mW8XX2gj8F47nv7xmegPbaUtrPNlyrKeBBWjawgHTlS3H/inw7fbd3PSNEL0SGDK69she5JGqkBpbs9MOao+4JE+NwLCuuqd8so7NQ2eXrWUXXzMkXpSFeFAvYdMsycTMrT5lkA7mR2VZ3p9omGw2s3LLIfTEjzS7hYfnCzfdOS87VdiKg/eofU1P7V7Oy7GgfeNn0FvTBXfTwnX89dKQUxeU9XcEjTMKoZDdQlMwdSOAebDcsDb3izzbuBd+J9tsTW2UzclWSQKLaO7AsfMkxkp7SduPjI1vllzb9MyVyuMxla/MO82f6siWQFVfGi/nDo17eyOdyCOD6L+0zE3OXEcgzvkKabe/hxU4uZnHAiCjlr0I41ZaY0gw2D3IUDi4IA7bBQ2weu65nwsX4y8T3Ewm+pWvDVK/geVzOcXSFLtCf70u39C/zjCUHIrCVpPan+BU7lCTjud/GfXWscKJSGUZVwM6ST3N2tfZVh6zgRd9jKshKpgJWjyA1BCPbyox6ah4/aif/IFtLB7FlfkDe9ebNcIiXac9Hg+XzantgGLuPPJ2YoBWBZJjiNueu3d7QyOJ8lcmIo9FLmuv5Z8VVP5gUTaQKqR8D8tlDaqKzyrc6IN5i1ljxj+dd2ZzkqkchY7AOYL3IPsOi2SElGu9G39FWT7orr2jCu+m44iFzVSYw/GcYmqkEA+w2ULBfsHsVVMqY5SVJUshBkwTDI/lHqvCC0U+I/zc/HeH+DhyRLvE0vrW/8bQj5aVShZkeH/ng68NTLVvhxFCGBZN56etU27iYpxsE9xYs4ehaAzA5LuMCRYSDwOVtSYq513dEJv2hF32sbxoTMjYMlpN39WYDITJMHInUxIVK7dROLT+PN5E+Tcsqm1/xZE4dcXMr/WmMmRW/+M7G/7teE8WAFaYPUCpoM4LA8UQJsIRSdwi/Pjog4BXn09uNAKF13GEI8KqvzT1rhd2plfhIPO7b1yoKVz4zk96y9G1ZqYUYJ+0oB9Wq0T5SkIajCvd/ba/ogkddq+ebvKuLpw9o5K8fY8zdBEnT353YZ4KqcMUKvpPk+kV6IsT/h5os59R1OdgjXaqn27en40I0bE/oOEPXUtsTi9UvFAptZvmx9xnjI+02RckSOIYWVcge1lugmHV3Eo0xqK0gWPkkaub9m7klyN6cctSFqINjgJEKDi9tV2iXLTK06kQFvfjQtbv6rVQaZQ0Q8j2k5aro1muRLi+Flnxof8Hgmxo+zzsc2sMdh7GlwYvVh+7tGx5fsBSFo3J1vmxBS4NPMq6VRqe+y7pCN780yOP33H1/CY/0K2USO43DW+ISIOOQM8wamJT4v5h5fRm8D81bAUoxB5zIShJzsyAe4CTmjLMJnScyxN9M5deVdhiU9qcl3lYKr4cH2owJa9z2ynnhaZDg2TJ5Tr1aXQEwhscz0RgBPWcwMrzdzHc/TPdFB5J6QFKCNVLEt+nS0yejRyN0e11A3SGO5mlIRef/mK9ywhv5tgKe1ura/sHJ3pW0SN1iRFiiLPlYtCZ6mpqzDa7hFP8ERrUWBvxs7fQKkfl5YxahqwzryzkiK8KRG5DjaAUXAVbN18rF8VRN6GsXiV90R2cIPBrs3bjLKOPnBtcVCxwbgrQdKk1JEE4OD79LsTEqHm41REKGT7asgTH0XDqIG0fk4/VGAzb787T8P+ADWdNCJiXQLMwZsrzh8uD4gpiZIKsA4FLKtjlUgmUyXOTc/5Bv0/k2RCz8qWN6VqOh0071Fmr4xAt8lNwxneDVcShYagoC9IZHZJvpb4GvEOlpt5fVY5mviYutQ1xErgCLUrIeVai/ifS9zIgXdeaXH72aXFqK5lcQ4+4Naht8gDgIV/tEc6OkkstkiWdLcZD1qR8b660+KWsMnFf7XJ4/rOqYywsX/r374VysTP3YVPUgpFfEu8RYsI3uj58dnec9s2bsHQ3eprsp5NmmiKOXaOp0LQugD+ygBy/NZ2/XJwSQp95PJfXfWrXHlVmEmHjvQxw1BgD4x1mK0HI0R5RdDUHL0FgJPE77c7HjhBoK0QWtAK5u+Jcm095I8L1DDj83LbyfqKY9iz4yqRXjzLHTSVAzcPFoE19Lu44oyLjZ/UGYflEuBj+ymJo45CFkUzA4w8x/WcsKH5pgUGV0W1l/la6+No8A9JaB4sNbnbM3797ad0dQnWuoRyFgNpOuye2Xfq4mudFArtIL8UYb+YXkqFqGKwjkI51jSosNvBBSUnIrUbuXl0C1Mye1aeF7+iYFnCbEfkaJcPEmSCWtaTZ6r/jrhENrlFb8ui8MSEZXb7bbYVLQLhnVZ9NOX+bTbd0dPOVrl1AvhCdxNgOlb19RQ/3nwmZbJyO3EeInr1v3DHHBq/mWqh7lEmqAFNZ6OmmayaU8gmndN3ThkepFnnDz2ypF8v3GR3On6HLmLGTGqjkUwpdJMhrfLbdFpdegkow5zqwiGFMzvYV6SOooT8jbLFG02slMZnmfBUtbAhcUUuMixNGeawRiivSjr4AbFCr5p8blYQwljOOrcKtFOl61PoJUSqXjQJa8jzeVCtJ9e0TmtpzcdFCQxd/S+e3y0giyNAOQy4ZbqbHeutXCzK2nIw/5PZ7n3qhkGoRXCTk/5rvngPnNhTPi6m/JehnHavE7az9BjlpgIZPouKgpK+BfxagglPKbkgQs+tIR4LObwprg47vodgqDL1gkWivGKI5YbMqlT00olrdz5fdZsLNMz9DXdqmCDot6YaFNKdDumda6rHonjXUpUlE6BRMA0eP/iMvvFTEe82f8V30WISX1+Rwzixt7mV20BiMtMiLgPVwJYkdRTtBoVY9AIXSAwpZop3ZuY+4VAE475WmQbgXKnh+CypD6YPLm9PE6reeANUeNxHMYEq7symi9w9/pIxNmDTWkYHVVuQ0eoCnE1QMqBFvyrGPJANB71phd1tJcEaTScjA0cupwN5si57gUUEbnNUXbnJzgirt+vCXU8GImtOjWRv7on7qYgpIs1FeKpIZy9jc1XuLb6xgvQ2sEgTMkgsXFNnLEkul8/fA2Zfd0LsIKFp3vQSbGewD8juOdgwJnzOmtxpiROqd8kDZ8VzGNrOa3cWOgGNXDHexdqxhS7WSyZAYVbFdlC3DI0RYjKwCBiEk56RSdSn+ZmZX7RI6gfMwpLYGRFfxky/LfMd9ZeJfso++9S4h/Ne3jAOvt6DhwQ2SFwjsw5AWAS/mja1FSw9wW5XkZi8mK7ZHzA1oa8jQOQIMRflZ+KJx/9r6R+cnYHhw400usF5nfgAtEw4j540v+BGENZOiLYw8+5adl8VQu2OTrHm/Au2gcL3zcxKs0WlDfifPyLWsHcGWq73+RENTrByKvWxsE4Zn+WLRKdJsEpkute56a3DdK6prxq1AEl74sY0t154kesPlBF5Pgd9W76BCiuycGPFXYMnv2jqnI0QUXBo4w6wNF92YG7T1qrc/zUXpI942CoSCfYAm3MaUK2r2cfPs61FKy5GHSkiCX50oY1p9lt1+D/zBkIS0T5wmyq8pwwSt+e0OL2mcna3FNbx5DgiCFp09s7tnMkCPHdtaFyklbJfNnOwXH/BpoFMhD2xJG6Ybh+C++YBhFPLZfqlQpFlTK8z0sfAG8EQayc0FeZ66vQNKfZuXIakvc1dPgDwA4X73121s867PANh6didxDt8rWV3PWDgahb/vZax5F2VsyjDo5ojNds8fGyUugJFc01aTHdZ0qpKh+kPPwjvK9W3z8iZapd9JjKR6ooF3GWBQdJer+1j8N84rXSguf2ELJOas9r54ShTB0GlKjH0DB36pxBojDdsTDqqiJcQPxRryTA3lu1elblNzWJ6lZsnIo/Ytp/GbLL/VfDTK1uaM07BwG3LgvfKubGgznKEr0lQNN9HmBrhTNIX1R+8Irm54lfTgWXVPM7KI8CyHU5yvEdIHP3+5O4GlyoQ29qWuMgTKGw1te2KhJj4XhGOLRoRSrVPBu9nZAHqrL3BHHocYU0uYS5RbnZZZysLIDZqW0XtuPAazAQcstrnixV+Pkz05JbjeuX9GrvqJl9nkkvrFA6MU/frnE0cH5oMrG3AEt1u6Ji86M75rw7qMTexao3mG4K50sLcvrHTnjFV6TW8qYdd+EdZgSC8s2GxCsHOcijZ5brrBAN1N432Q2QuDyPxGgsLwdQ2VUExZsSyUTTfz7q/eQumzFv1d2OipU7yB0tieJJfrRoRRiXLvomuAA+6xws967yc9S6iJzNgRycfxxMQ9+g638l1A0DFbsIhxCd3Tz6Y72bU6KfTSyR30SglRVpOEgydx0/K6F2ZUg1a3/cCcj4FQ7UTBJcs3pW4N1X7UV1VvQyiEGpbcj1DpWp2pwzPxl5NqHYp8TXX05FR8REtZYos2eYqBm3P3CWtmP+q8wy+x7KLcR6Lm2ZVbOeIuqfT8nP/gSSZ3ZYnQ0Gax4JgB8PyrM8fmhNRuep2114sXXDpiOYkaJRJVfhqaO4u5unSrdAfeolO6MfAxAZ/26/jUd/L54twL8WS1mcKIBdK+fG7/R+zFd3a4GCgM8Y65YR+Qr+GWgnr3r0yZTqrVkSRpz3KGMCkBWLFAJtGoTAxKfkGcZKaKx4zW+E8zQUdgH8ZhJr+wmi+aIsmv+rrMwNUozitwZ6PG265zwCfRj3KHrStL3JwXK3H6fK1zVLl3vym7CdgAgTzc88sZJLj03HwVSFqouZic63GNiINRdBRMt+FESCgVgppjivP2EDoPvRIroDFdXFsdNahO42QWK0Hrjgoy1bIRMu6k4lkbCAwXqzQqxJ/qQHYtqfDiVSRCbVGOF2PUzC370aqaDZqa0VOWeTWJoDFZlnQWHSHfvYOFp1h8zr4TfYmbDwtcDfXocy6COmuiKrU9ZAXfNOR7p5K5ay4C9ZjlIm+MuQIUVpZUdcN8vAaf5QUHcoqFjdTqaW3jaz/rnBb1MdyJ6YJ2WMitKvdf8UuShbkmYHT5yajQeiWZhkGq4AKy84jZ7OVJs+jk4xr6KDSKlNM3JD/AVZBOPkeuW7tFoGfU31RHYhmwGUeqUXDIPWPu9pezcuaplTcB3x+9srIp78nNMRjh/0WLDWNwdpwaDcdW2p0dLG6ZNpWwPtQZPphKPXME3BXOH0Mw0UeXuZo2z/EGpRhz4FSY7YSqShEVmeg9B1U2JTPoRKE+V2v20yVJ7139vGwRo3rsmRGnp/T4RnJc0Ko0Z9xBABz4BWs9SR53HXzTJ2DywjL+M4T5PsgPd2H8wwa3GgQw69WYSU85G4aZ0UpnEw8DW5ichLEYAwxgfSJXjPr6pUV/zFtMTM2Mbz8eRlpJWMPAsgf6r+dkct6bavP+W+PQvDGHy3iDil1xhkXwwFXUObD5Tuk0TZmJJ6Ewo+XMCVQOo4zuSKdDm0Gjq/2Lpt61qNSGxu8HlFsj++pQGZaYNf8mIKwhfCe3tHR5e/91Bok6ybxF2kpuOyeW6JxVbzL04EtK7pysky7BGKMH3O/43o1wgCKFeKD1T/3cn4ij1PXcW7oXcb7zUQok/HfoED304p6Dg12JjrtVIq+/30pgWScOirn2BOquHGm9DQClyoZhU95/psaDs32ib/VI6TszlMfQFUcZukGITeKDfqEWreLCCBxI+JrSGY6zkcwQQHWSvvH2+aFLZE0I+qTi50HjPUgkFYSsvVu10vtR68GjqZFMJcgdWQDnJEBNa4nHu6D+TfAAuUlt91HXZXRKW5pGeyT3YtopUlIbulo4R9p9hgu0bvYJhU3wG6fu9lj15Yy9e8p+iwBl3/VEQECwqvFD0ih56ksfGJ5jzAOUXUw2F15nADVd5hs1lvIzyGU+R9Xn12TC4r4SMfRigj37iHeSRlxGCPGKpgBT2fOvwxhreA2MxsTVu3zf/QYyVsoS+VW92yJt8AD60iD5WDrZqyt6DnIcK35jQ830sf0BwImkz60lSryAtMo81W5BEwLcboK9vAjt+AnX+GF/YNh9KnD6nF2bPDBssgiYP618LKgTk3dma1vc+1tSPeIsxmv+ynXUUTE+jnkWhcDZiibQ3F3EvgLhJM7O+olpzgLykCty6DJ7U3cYeHOn/KjWyIxmnHuzekBS350ELnwvdSbEzfWAN6xCm11U1jgtAzV/r7pklf/vMlwyK2DAME2ZhODP+fowxVoyJqWTRgwPaFx+GG6OliFsNaD/ena9pmU2y4Uxv1dOS2DQ1zrb9DTsiyuUuxDD1zZRDJOSkAWQjHKv1caRaFjOx9Vituak2kMNK+Md2q8QhcRHDgqlcZqyby3G7jcNedTcPGjNY59uVTJ5mCKRBEzqUWC6Z1mtKsbzw5TIJU68S9MYwsJ0qhygYYAz+2idw0DVarSCkjnr+tldHh2DlRJ53tRtlBA7i0/81zh/TTgogHkEr9o4yBfNCvp9HvZFcdNQgiTIE+3v14UEW6ZiJBUIgcV+B6GE8D8Id8cK9KzAdzA4FwgvZP1zHdhCnM6QHUeAgKLJ3v611tfrg/ASHP9jkm+3xv8c9h4c/GMDJAVNbV10OXWDTeqqNLfIXEst6WR34/VzGvAYLIYmFKRhmz7RtSAc0ih13kbSrGz4e/gl4pICAqGc/7qBiQbgSXU0Py1rg10pygulrZz05Dh7eIG3xEmgIJc1kvfX3VHijlWrVHgdNMWHBJcVLvStixQISXKhV33k1rcf3XZOQPrzhzEsx1jMfqpowxH5UYH0vqFKnGfXhbKQoL3v8rghcMhi4WqkoiXET7mNW7X2K3pzDMDchJRWz3PFOwq4uiXrWajSp3d6DSEEF5E4AqUc2VjB3ubSvZkhVRFPpJB4gkSnGrvQNGy1t3ICi8kPK4YrUxd/OUrlHTV1dTnEseIWEIa34gp9ArdKBGyiUw9dq4kYIB68s5zE/b9qFiaWrFwpo0uHSbU8XL1W945csiOHqAF864x+7r41o8O4ezLuys+0T8elA3JdhFeDhBfreHmiH0G2WBa7f2+mtZcxx0Y7dfGRWYOQJ+2w9yuSKZwtqzdiCIj1Ec9dS3orbnT9puhegIy0ZW0kPx1/9uxHBFvHBf29gOSPdF+Cok7ltiAMAu4jyvuIPEfGKN0V6AtbjLgJz2c2LSL1pF0fqJCxfJr6+xT4MG3IdNQnjDSB6vD0qex5lnxd0CMo/eRSQP97CPpA7xA4QFXWuEtJz0eNtoEDVFbhEHCoORb2/FQDmZqE5hSKwD12WxzfYImXcSqyRW2Q2YVLhaA8JzmVq97GBk8JSIfXu8I0jI0KngtNqdhRZde+l5ywzUem2oiYNlEDEXtKj9byQvIzMySKkxEiPeM9SOFjIOqOP/CbALXcCmzk5edCAiu0ARodLH4JbtKiygB2BTQX8xgTV4PGTe8SMQ4IYsV3n3DtgODK/380+GJNUz6e7zWUIL2DM61q1CD/Mbq4Lw40/7EqqFQmd5VG1cE4GWXmN0sok4u4N3s8EDpb2fUxxee+mSYAHOCd5aMOpFVbDhAlY9aJDGf2pNR+VagjtufY3NyqQVDV+lvCTU1SejbkO+JVMDwRkTDYM888saZ7Ss5Umn3YTDPhpWL5LBA1kQyXZvHzhMrryJBBdCW6xGPlo/sQL6o5uCZOaoFOGZvLss5fVthXkI/2KszMWHdmhaBaidEfDHPFbRjASO/8HeY2WNlhVgNFZip/jGjEijcle59bgNhzzGLs6sRPWmz9FlUfHf6qlJQ1frtMBaXZrC4OEckQ7fUxecy4dhYEv3BLy7Bs9aJ2BZyiumEem/bljIfkXYnV9RkhF8rot26SWwrlm8CKajwuwMxJ1NsnyPC6tkoHqpquMqb5PZtyztKsqRI4EK3tnum1j7puJZHtOXvAVkP/dV/ijKoGedeCBEnZX7blRZORB5w8d/OVBa4UEtCSK9omAMOdOkUEqKP5H72nT9TvGCqMLZjvD7A+y6EiBAqt9e1W+LgeZLcPWpY9z6/bZgt8NMd0NG0e1T1F382JVLCNhPiMSegaG8aHCQlDZSEUMHSp8RZ3PY45rMtC+xPBI+eUD07fcTqkR8rra8/3ZgoO+uB2lyS0O0h0X0ZbC5Ji1aUeJiPFYNQkGlS3B86Ie76AnO2Nn4bi+lyh+DYnH0H2hNyAzqinHW5MqwlEAonhivEbijHa6aXT+wh7ZnbjPZ1WoQrqcZuRX0JqFhJSWrFqg6NO+w4Huem8MDqqIAjzDxZYasEpVmNi+F2hHCVrCCeVN0nAf19zg0vtyUlewTb0pJapfJZusHvDjpDLtRNGJGWieWMzP69uNM27Uc3Z27JxMFpiK4l+iPSBltqeQkndk95HDlCHnC1ezJC/ZnP+OKmYWpg52DkLVi6kvuL4WGMEtS1aYVxk19MNfhh+hPaaC3305MUTVuR8B/WOC7nDJxzjGGdpFjXi9HWHV894kFvYUtQGkI6afcuTzenmYd3rxwboZBonnE2fi5tnYmGrhL14/WwIsrpZT7Wi7xNwkRP57xYv06xo2ggrTF0zOg+bU/njEqDwy9Bzucmw/5bPYzwJD+pyDUxAtub7MNSqFr7nsvKStaiGxjpimb8tymlWM6Xlq+M9FEyh1RKoYfP4f2GqeEQAj9NkaaN6H5vXiZQ+xI1V88MBlas3rkIUD+GVUDFCOVY4EvY9TA+TPqCS8HitqVQcWU+cVcmAvdeIMX9snl8STO5wNpRpdATYp5iFr1aFJ3l/28Sw7mPI9ugO4SMdKTVyXkQuP+/GhC8KT/zXROc7eotlchPpWniJOT19GK5QM8mCSecbEGJinFNKBfxW67JVMWjOJtHImDEDYqq7a+yAlmFdBwgecYnu/EP0X6Luykxjs+yWvANxEH7VMe17K83vSEKYgzCXFtX5U7BaRiW9QECdPZOj64QweL0ZliQxmMu4qVm0DFwzIs+3t16EsFXLKlOkYYVDQ0K+vOHaKB3tYfUQc5MXRP0eWzWCpl4E6MRXsCwHKnj6D1izSBwIkHNDwV9JMJTWqcKlrqY5o8m5hj885LmRexAspRQVanIoA4tN/hblKUbiVXcM44IPE+DORvWuJnHxeJXh4YAqTvZ0AspgvyMrpE3YNopuGGY882TPAJYog4XcaLq5K7MpL2FRdqrRdVzGNRzPcmTnoDhDIb0Lb282P9ECmHGOsGHFeXUBRrSSgPbV1rZtIqm9znHgT0YZLwI5NmVakAXdyKXRU9wmxfOFagjlvL8XiT7Gvr3IrtgW5+0xrXn/Cg3TJRisYcYMPacM1nxfYx0dEVZSLKY1HZ4+pFp7pNrpd/LRQSnKoSaKbT/xS92LZzAOHyVH1oX235RNo+nLfVfiW2UtWG2GmwFObdj+sjXY1yePO7NMmnh1gH5B4XXmhnnzQ6l96xbpSawcm1m7ItrE8844bn8zKIpwb42tKaQYdZaim36zsH3fbAxItRt8h+VNv39kCmZK8oUN2kUz4b4DWC0AEe4sgnzZGP5GMe7npBDRPUW+jDYmMTkm+PCgfYNzyl3UmH/n1cta8+Kf2t8uhg4FosxevVF2SThS9Pe1neWal4Zyxdl/62sKAF3USIqorqylOBQnc8iTQMNJl47/9OKWLwjU91tIMbmagjsex0UYj+EUGoxMnv2ck3AsNEidYrTmqJIoHi4syTBlmBrPfJOU5nIB7QMq06OmDz8h/yepSd96a3evk/B8DwxbjZ1VbHD4r1XfxnYsBgezfkJoDgxuXQCQnyRYMrlfAUVxtdlJfClD1TYZ1iH8yict6evQZONpOqJgdSCbcFVXGA+H59CXV4fmHb3OehEzlxG7hG6WsZohskP3oKYh2767b3Bv566BSti4y7XgiiIflITUkVKOJZdOnllwByrOjzNWk0BQfanJydzHCkiDzO9ORcU2Y3uhfjzavCW2Lrkv2D5/Gh4zbSNGRihppIp/C+wDyqy9JCoKcVn/ZndXpH+cqNLjJplHBGiv1xfhMpXl/I3c+HXVxNwJIzsOLRZw2OlUvhZ2zCVH2JVfJRd1MJjzO5RXSdLRhyUMV5mDrB6ELHsxl97yc7Jfhuup8WHb0y00sKN9twBq1hXHrUZ/Gbd70LmnmDgZMSBEdhaYMI0V2/ZnsfRv1LC+GDn8x6vf5hnh919FT6nHuocyATwBCYQXzIYfLP2cMANu0rQD1YvbQ5HdSk0Pk0cgZLmOVL6bV0Go+bku9NQcUI+uaXtnAIOMD9hzofPzzKauj9TkVNPLBcuAWO/iqVDfrZkpguR+JYqLVkduXkw7VFsvOwlnkXjLYFhcSrQ2/AbIkR4NNwUZ4ME4z9U5Va6+ML5UXPHmEGK3J1v6rK8iPnILEiswijHr1ZI4EpZKZAn0hfgb9Lhdv+0MiUnyffVLAx61AVkjaIgbX1XEay38lLLoVRL84NT8aIwPaVoDz0ncVpMwD4+M08rI7msa/Izatic7i+Y2S3m+wPOqZMNvUepx7A3z0fFnHRamzBSel9pTGXOGYxB6pMG/FF5NH0b5pDVINcxDacCtmC91UXS5TosRiX4DntH0i7zUCe0JCZEA6Vdcq6y23Li8WiNzfhwLg2LpB7SMurfL3g3gthuUgInl7H7YjX2rhUnbX5wjLKRcF2xt/31TbCvoSpnFv4XmUHT2D8kT50AVe+gJR4m0DiERdvUoZ/x0kOrb5y68ClnNV6Gp7KWLsstuWUqXf6QV2Kxq2DRkmplE91D+50HX7+iF60ylebhRbjMtIlHW+l/b/aNT1pwy2jLt9yCrn9/0mwE2NFYoxNKHak+euKy93iWLewHwMM3JqMVDr75G6Dv0dBRi2Po9ITtFqfdYqiRT3yzOoYJb4kA9TwomwA+ULIp+qaujwHR4tjO/2U0WQAOjY2QxAquJKbQcCQdUrq40MqnlsRMX+DwkLu9BMQtGALqx/H9ydGjAU9FmxEbaJKBP8FFwI0QI9ufSIaaPiHmWut9NHYeMqzL3OlsDXhe0mn3RxWcf6ZwXlP2JidK1yx/U3M8hMpjaKr/mQ0b/DMazsefU3XVX5bm65i9E/HWNHC/FicrkHVIB6g10gBIjA1/fP9mPnAk6D17t3XCQRoI7wn1flHG8N7NQugVC02/EvA3AGRgtR/LK2+Yuk53c5sKqUb5PaeanFMsBKOIHUttBWA+15PQWLy/FtyY/MEnSavT9M58+ndsLv2vyebpCp++HHFDwZvd2HZvvCrF6Xq3kuJiRueiSuDcGOjtrqN6hekKG7Yx2GFFfDUCVP69zx86UH1s2cETtjaPbWymPHW+CN4tze65R9FiEwtbpnqcEupLsHGVLGJmT7uzqgOrJEUxBSGsXuoes0/FjeWnQnTp5dCqgGRWjr9Gvr0x4UZIqUmgOh4rcxaozXaidRfS3xFT9RrQGthCjoTgGEfR2tX/GRMVGg3eZFytcvr1DKeyed5Hf4WDZtoO1CVGX9tzOQYtHh3wB4jP3D9fVllRmmL+BN/Igg7O6hyDNkUcLQxdYsbzlitEs6WPSvvHiwbaMXpZTI5hCH8I44zKQBNEwKr0cDMk67xNrqTk7MA3Sd8wDlfttn8YkzTI79/FStcdypz/XaDqIngMxFytPxGxKHUc3yRPEiGyZ9vngIlRe9TMHZJTskLg7YC4R2xBNV/ypTyhZ6QgI3rkyaQDaCGR9uMeQ6hviWJMLCqE3y/9kddYj3T34rJkPTU7H4PiTAK8myDmoQsuwHIAJ60WSw8ALAiYBYhHqUMJ5Fjlv20tCB25mJ8MCpjGsIJeHOyC8xn0dmGKY6/3pwGnwH/WOZchK94tO4ishS1SYVdSCb8TGttl/SktjFF8+KsXy1Cta0Ly9QrCSuKf83ygm+UZZfCN1o9Vc+9LlWEcQ3YLMipUwfm6bs6IrAUdNveRaHsJzibgFqXROZN9P6XalxLKQhRmjYAxsKZQA/WKj0pm7uiwZT+EkBzM3sjH2Uepm2uNVK1pZ9N2P1bwbdKiQZZDfRHQwfiBH5QWp29dxrO1htDbAATgorun4kH4f6oCdZMrG+JqNcqyjXoIsY4BlME6ay/cGrMbEsCj1oqRWB/GugVDX7Gwfe3O409wlEAZf7xyt+IH1XfMuQTplFxeMRVXf1phoMs2GZoNeJr2bGpsI+1ko6Qb5+bzzlLD4/rdxU2RB9yoVLO2v44OotwlKzCjHas9MHGKtnjAnd8xvn/w9d9CfxN3PYDHxBcvZbUu0HILSmo3SWijBvCpP1Zxw++HwDyrjb+62L5DMGOcatnFxA3vPWdCeE12lsIfK3mBK8vxuESwJF/ILn4KoL+p8OIjEu8IZ10kgUKbXyuucsr63Jn4dduwEE7qnZcQBMNv9LTWzEzXMkeFtsu0as1jrer2xbOR2c82Z9+EyFShZQcB8lSQKUUIsKqMrLEkwoORfXTdndg2hLd2jswIGAir5SQj4DjRB3Bdh7N5TU6uB52UuG5ft60V1BNSr2GGlbaBsgy/mTJqnD9vMGJ9cegdviin1k5qmGdX3vfr7ACPbRJi5zvngB5Ih//TdNBeMxRDtJrc0n35c7JqljaZLCmbr8p06KSkmO9hycRZ98KhZz9acnuYxPqT+UF0JPBUq9o4cqt3qjZcpBWQE9bX7yCQYFU0jl6YaCqS13isoA6hjyRdnbX19aVeSigzVHwCKtQZVwC11/BerA2adOjBhPXE63TgYt7pi/XQvntmNoC+LShhpJPrMb44svyTg9gCcyt8hzTTis8P1/Xx/3gSPppEHOBxlWkt5QwROLhXdCp/yn15BIqlp5fzjIKDMDS18ffcHLP0zbWXvIvRIvmYXaIqQp/LrelJNnaWUYOY30gEtqTN4y+Gbt3UJhEH8Yaw/tVrzDTih3bw6DnZlHHJ9jYkzIW0KeqTHQ9p6sWPCz/517pylCwMlyFNjbHj9OmPYiWnk9Ba24sCgBQGP6Wlelxa3UUwJ2Bf7916AOhRnfNqYdaaqMeXxQj2I1WQ8brOTFGgzEWSsYzkdiswCKdfuxZdLKob+5ZFti9W8fjqh1I2renAt/LR+ExTlRk1+9+mXYrxwk5uS8cxatHFL4LnqTYY1/Rd2e/yffP+CkjkCaN+D56bhk2qOpk9qvE4NzdJp3R4FZ3STTNli9zmJ+Mz88CnIABcR82ovD0d29c1nHw52qoAoMm1wIqAPljUWTgwIn98DGkdjm6T5BW0pKdYQbojVIRadAu25aM90vQoBkWsUW/YalpM3iOich+VCZbuwEVFtKJjghYx/fJ9DqfeKNUp8qXsu4yZOPSmxG8v3KAZmZPZl825kpW0TW+tjSGVrSSRZW0dqtJ2IlsYmnooEL0mfe3ft+JMsWTU+b5dn2Ugy7DJQodVW9qRHGmhSCqyPGdcR1VozeHalWXhLx57wjpg6WtAr4TqLt6Ffdb8+6VIcKhEkkzczDOlSD3ZIdT756RMhOn/OFg1GoC4c/YgG1Wos2SjjI19eoxuD5a0X2RnRo6jLk2GaMfH1iqfA/gL0Yz459IgzcvpPA3UM45Jh9AEYPzXuqsHYXk/xxFqZswRwOIuxMrTouvsoLvYw6Yfy6WDbMZr10/nHq6dw5NSZim0DLfvVo/obCCkMtU3kLTfjkHXrQKuLKwRs3u3CRFEa1MV6oULsORElhjgLjiOiXHfrm2uzpR2L9zuYIQ7x0+wER7tq6rCAO/bL9oGtiOVIhijUPEtVA5nlS9ZHWGG+Shc0JWdu3zwPYfNOK8XypLPTycyXhLy/NqClu/cafkuplus4ta1HNjy57LFdUYqFF2uYoqwacVNCwwf18CuQ1jZqaf3xjsRLklsZkwogDXkGztm+WN+3b0VyqEZjq7bR1mgKJlXXjXfx4ncYmA2PChfRghtPuCuScLEqqTpBaCwTq+szVCfV2RWtZW/iM7rvXHHcyUiW+UYxM91dV6w9LN4Nj0luo9ILY4d3NBWZQAQzKm/Agcsrd/PCZt7HAPo/rSljrOW9UwTmwsVq9T5zX/SRYFpMwc8BEj1vQxmyEbbatDxdPLE30WFJ5zQIYcHCr7N0BuqlGmLOcDCUkZiNaf1rFCvDvg4vSfpG4OxTEREXSX4BaV16uaxX40c4YAQKt6KnxUZ4ha1FbsdWcqBfZ9aQL37EvjvZBUWMa21FMblIz+EXXNnVwHwR/RRpbKUgXpAfI3RQkhpZMZTN7Jo8PjToAvcIDCaK7g8IPxcEf53fvygZLSG5LYiqhFNHqxsDSf5Lu3kynUcitrRydZ0cozwdog8LJD33fKmeOIvK7P7CZbCeheZd5JOtcQBtIIWzpG3M9MQh6yXCGmOwwRQ6JRPT6dTWNov5PEz/lbslsd2Fi6hGp0OFVR6kUjY5353jcgsN4GftPrrZQ9NZ5JGPwblRS+ORZ4i4dE4EUU7cJfuSfPcqqzOApLGAHL8/8EiWQlErFEvLywKx/TwsxVn5r0w28J/Y01Ab68txYJu1ZRn/tAGzGxw0lo31ldTjTqlYc9+SJX9Z0oGx0e1OtwlKGs4RM28eDTVNUDAfDPa2Sfm7gTzs4YOjfzHePOXpIh2openV2975Kk+cCuiBcBNGCRxW6cOebQfxYhSTfMgKGWaMyIDF9NfR9SzmydKtGf2Vw4AvkdDUwrOx0h1m7TtomKlLXzS6bTeqeHOXUwvEkNvLym2fXX+yD/lgY6BBDKO/guMyM9SofvzrUBRA/7QtQdhJCFCRfP4/E50G+G+KgZf9OWRE36Y8pQZ5+aWPNkZkyi+etQOSfi+j9eREkIAqeLarPWPqnsQKydS9Wdlba7vVMMtikZsiTbVIM6nOoV/23tizH704fFgissXndxpMfBUYbJGzuoQ6wqXrA1sJWJujj9ixqwtzjsjU+Coq4ieFBTS5NQUPMTvOJpT4ylMup826L4klod/rXOfrsMkOUj5+fNaqgdtwHB7NZOtR/d0FDubf9V0oYKAp/qRG8Tq9mcJv9Xed6hgQFzUTEaEj/aEHBzYeeUeKXH5j7MmS9BAFUk2B54EfIwmJQk3buaTEfJe1Zi1qhcnvSZiHg/KlB/Xa+NcxBFvLYPt2CDQ4/V3LWG70HHS6raZV/ebj/DymH+HjExZbyVcbODUxrSmWdJdujYIgAr0YiEluWuzbAukVBWkQ5f55UPItdfPZM7UmQ4/qIgv/JceQO0vNx1/pyXJZE0vsBGZsC6kDXOCRW1guK8zi8H6PMv6xLOAyZWQrQlCxW1AoVqKcs6PoJfvr1nUlpGPUJrn3rp74b0ZDQvxs76M7c2x6HADfusrPdOP3oglFn2it0rAoOZ760iKzF/ki7jrjr+nRoFxJGALR/RWtICmUB/EzZvEKpoYbrdw3kvRHNgtOBOPe/zuTEEkAWTtO9HE1+P+TMcFbqJdbzNQgmul/0/Mo13x9EtK+FygY50hD2UbAIBqafy/xiv0HKDigYWQt4OpG2+OYtSGODccaDe+fVtV/17eS/NtM8RsC/WXmBm35SDrpy01YAuZEaE23jHa3W7edvGAGhnM4WZbVNfcyI3z7PEN5gsAa8qc5Z64G1c9dFfXoH1J4Mi5k1f4u+6ZfXejQbkAe6feSZqwxpZ65uEAfuzw5BYQ4TRPEp9dytZFNZGgsTD9FAwmTgdeXirheAY6ZAZWo62DaBuc6Q2cEXCLPd95qehHfILcpVHM1NpbKjkoDZK8TarfaR0DdSOvRbqakGOHmTYCcoFvH4FzsKVx0BGOWLIMAL0TSgJIRhx3J2ljOyLGQQWB2ce1TrWB7NDj6ujtGjTDl9815W0adUavfx7niLOJovgs37mLlAn5SZyWraFKI74MLkVVVOPp22Cs95pBQHAFNszuFdTn7AQQy1mLFaK17C4lrpsrn16GSmLqOXo225aoo9H1OPKpYfDJmW5ZQX6v/c31jN4rgSAlSZ/fZ1YY5vRlWDyfRQp5gcpGb4SWF/7IviICW4IoUGcFSKg4ta1VRZX6P+s6b9i0XNc+4xtwXnuVNronmFWUk2D8VsclTRsK6qWbZMwmun4IYvSd3F+qPxqbiTo5HyltvmjcSkPmTxXyJymqZp43BF6ZaljkOuEPaTX1astGniB1SHt5MnauN/6akC3IRmM02LrObn29nTF7WiszZVBRsaI79Kc7pCe2VZ8+OAxkS/zI3B2eLYUtaD11Ju3L+2/yexVMnEqpgBXWIV633SrEsEUJ4xqxfT98+fVuyuR36KFYCEaZOr7Sik6p1/9l8potFRJIYyBkcV+besLb9MBrITMcGdDCJqDmD/ZkqYlx6lk2G0LK7FlyG7dgekUJY3hVXbYQno6f7Hnc4OSR8pRSphZI27nXoRZjz5BtUfoALrlov78swnGCjdw243WQza9pgNA9DxhqZX9Mb9fC4HqdaRfziZypcbZQurfvzERpC4I+hXLPMO9Q7M/UET6bdT5ENo9VfgDhuh8hGTV2eBDy1PxgDHlyPm+57Z5uGzH83as+kP0v5GfNugE/L3sNX177fKOAnvv1fjwKD9YBAjsTBQ4KOiPexf1UACWfCkaSuBUuFxuPe0soPmjHdaR6yENJBJy3aN3BM3OHwJ9HWg9ItWTZp4BirwwbtnMTqFjBpwnWiCoVFBaZImL0U4W42ORBokSTFWQehjY7z5DiTpwZ5hLhm0CcPXR3qMIqmxaIL1t+Mb3GpVzvnUZsTdrlGRPJWa7Aqzkpp9o83UGCVwRRQX8908MeYd8pa6xwP5+7hBrDHjHojuZmOgWiygEU+Md2kTB4YR/hAijYuaRd4pISUWGbUIwLhIN2091YELmXAHrhHVsw6s6AC+xwLxukXTUw82HZ7muHn7v3mWHa9qwZODGqYC4XePpbZY1tii1FZ4DFzQt77s6+oqvwODOdI1BfBQqPnblp/6wzAb9Tv10kmxcMz06ChDK3qaEky0Ir6Zo+TqkWZjwh/q/pIAQBGcH5hpgt73Wcm4K1LSkOWelmEpTnnmDHYi8mRUurVz9/oJvaOtyXRWDgbitykOprehnkxsqmLiQlfx5+7hMloYk3w8m25YatvqWGJpEm8pbgsshRNiUOOSoxOXpom0qr4fZwUYFKPgYE6kAJLO2BEhMg0+hXk3tvcucjwso7bGMIiFCunuPCidfIx9OssMBj2DkTiZNTOijvzKbvOZBXtaj7/4So/FnK8nCkOalw59h/6ycJ6Ghgp/lzp5AwkzExGqMLZRurwYVQeCbaa1EE9RscaF/lQ/ij6YNftoZiSkuIQBbaO5TPR7t3UMosOpc/TFwFxjdgkI9eOfAAhQ0miIVSxwZzX/FBCrwovP8Q3ohHvHmPBcjVDf8V/ED53HOFjXj67G1k9ricwtJJyEvaBHHjNyVuGW2yq+L1q5oxDJIs8oHLDkG4Lz9bg+nv5lCGolbLEFU5dZLDOEK6S5qpLCZkaW10+RjluyMNcQnMXRwMbWAZ6I6ycS7U6H5pOVMPXl0vshiXWTnLESFnyY10oAJAPEsTdkaXTJYvxV2lA9LTc/KOCOwGWoZglEDK2MG6lh3EdxS54s5YlDKljUSRZNrBaCTLhSvgAZZEcbS9BzO96SW1/DG0AONZuzAMDEoxJp2uccG0l4/tDB2ndLs9OJ+w4F62bZWJFeZV2J0e5Aiv34C+2BR2zoPNEfljWYifvMz7udKn6M3i+SIkDTOzhVZJwpU8edWd4lDcx9pwEQDWABqYMBqS/fCCuBVZFMsn2rI7aLp0qXgNPd+zkVapeEvN8r6DDonEotQJjuUgFK3tL3Aujx6n5oRE6DQNNXcjbU8/qj/6WI2hbJdUHNHQtNid19Ex1LFcn7qLGmgxXh7WtXeurqBQq+PlczO0JGOIaM/gXy2edzpX8NhRHHyX+Xgi3Z9zsZ4evLvcOQlCiTvlgDp6wITMJzsYoxzqlqxxWeCuXY2CfQC8gaKyfo76XcFSdQ2QeJNdo3KGWOdlszXgKS5JULg5snQ9GK/2tX8Ig5NJQECv/uA3Gv886KQu7agtY8UebhLfShl1e33dPxh7UeztAlHSOR/iJ1Ji5gcz+mV5OIJLYIh8zePvatktmO5xFF33LwQVlZZkmO6VqC5X5yXiQUDlDDAUqDftEINXON7VODDMh1nBj6/kat4Nw2Ey4w/oo+5hv8rCxtuUkJSiwc0pC7xPnulsSfvgDdgDEdXZAqhzukf2sm1tMrROs9jaTbByXgFRmQKlNG+8TKh1lWRB/gQ5hl9aw9uHJqt4VvoqV/9I1njmtbNuBm/MJzonKhBbrRka8bf1BOYpMQyGWhnabAC5gZVFo/L0wo0rzE8SYVybD46mi57E0YXCqjRhLyKmmwrqFtAaNSGAzzVvJT9XMkYyOyz6aYL21ntvs1JKR+izPQ0nmRPS+XXr1SgsQbqPb81gT/M5LU+NVhtUYi54Y1UAHe79BLS8GbYluH/KSfY6OKwLaa8aT4ncOaKv4/z4cVU11gZ8aZnZu7tteZMMwCS1Vr4xQdMt4uUickzHAbPwtLaGIZSX6w2bmN1nZnWIxf6ngmrphTnyEtd2rMLX5N0gSsRw3m/Vsg2t1pjXD0rYiz++eoIvlC/2LGUGYwaeh53PEG6b1tB2A8yCzpt+MGP1/h13bv7azdoOczemjBc3NNtkVeaBqoUG9jI5YT4ppi73dpRsipGP++W/uuQ4kQAfbn7+hWLbBTuVZ08aMji7rIdRALjgY1IU6wwb5eyCRs9lWLWxYHGqlO6tMRVzj6yAJ3EOu7wf7I/pvZ/xFdWjYZWIkCBNUIL+H0p1IF/fPanHH+WtM+fPFCCMrvOKuAm/PwyfgTeu7xjNr1kf7V2DvYkzKyq7HvAzgNKNt50LSAmRPhu0QX7dE7jFIId4muos4B4RoGBL56tSP/tVyj4QDRXXW0AuAM7PQDHmu65sp09dCvyRQbOpGmxtTBnTeWpgaxAzEQNXylIKN/HmuGUH/m6PGeacDw5Dn6KvjXvilQJtnCnPH/79ha2ul2e4eRcFilpCW7CecWU8umoTZiVAhSJijKujohOvNMyUjiaJYO/w/KcWXguf8bQUIbcqxOi+p/wmBIBGJ7Jzd8Kzn7CNif5Jp5OAxbwrHqdSw3ecKpjBgYCh46fwnUHdw20w8slceEZRbQIXYI8qXCYYV/jvlNhL5pISuiAw9U6/g8Vs8W/VAXf0b4MY0R7cqIt3oB0m4flN6oGB9nkHKYD2Xyd5dPdExFZahS+M4EIVitfuDBAbNjHFSp1y2SiNje2NHN5qcKRVrzLI/y3hrP2rsDTGKL8nRzV33mdw+BGuGf66bBCW2ldwSDeLcxU9GLcSbcYZEJBFHjY9NPabBxZddOM+bjTbInOA43aXmuOEKNsrLdLZ8Y7QfbpgP4uuo3WNWvtANEqypSzhwZBNLgv7DL5leQz+kMzC8t0JYL6pC9DfNPF9rhHD6+pahekDc8Ef63lwbXbys+wYkwRAn/N++wuivvaL+6fau36ObQ/R94l7b8N8kHEcZGWBWEwr3AOW0dXTRipbbAHSZx27iQe4DWrmLJoMorDbvMyMDlcQCG727msOeKPPadhqLu9kPulAK+FZQjm4EZihxFmClxE9zs/oiHmfXO64spA7wPK+EuGixzNRfarkfNmynMSMVTbnHBdprwD5p5duNDOYeZNzPlb4DTi58bktuy5GcrFIXoS/MIElSgM6byhlBqNIqJgRYTK+ukkBzyx2Uj4YiZsOhUSmFaWI0PZ7e0JE6cMBNxIgRV+OodyIw/zRibEgjO8f1ao8Eff5CM/h4Ych4gch8Hl1LPiXXCuKdaOQIfaatq1febHA7zs6ry3H8gGesoAoHQLepDWxxjIBO0BXxtSBtszzt9uICP0cB4DXpczd0ZNlfxnSnSAOb2xICuntJhp77oLoh9YigQIxUPikYK4UUP/GuK8APKp8B5iEUZbK8ifCbDt+aoC63loda7947yjQqMwRRlWEvgA6bR9dpea64jpf0I55Wj/tDnLtko/4yEGmNMS/v1gplXfUN8bMTTiLS7ITMmCRF0Zmdrp34Mh02sZ3AXTWF/OGkcOTeyRVHZ5+jIxRPG2WP1Dz+kze8jtmHAhSsrHvz4QacGt6iO6yczZud5vfrHt6SQ5a4Lpo64R56EJ2Xv3Mqv8L6ha1ESsKTSboVNWyd3KCPPZSMJkbyUtqcEQL5ThSlGixm+TR9N+mYAgq91DeUZ52iGv6q9NAEBXX13Z+eAvmNeN/eJr1T9ILmaIOcpe4Bg3SplPgfPRGKixq5Qu2M9LBJ6RdEAjp5KqGtnhh5CuD+0kUlBdpeBKgJwBhwcZWMMj2TrXaBH3frQhSnJE9N0pyMxeYJHUrSOEjce3ZInIbtZ69iJBAf9kh4GB+1GUOexcRuEo2ssvAx6g2wibSYObVeuKgWKpW2176OkgIspKc1gwc7+z3iCu+hMdScqBz/wsFDmKlGxNQTwBvtuEoRaZJ+t46ZtTcmmKWxtq44EAHLS2ryconytZiW7MSxxw1BiRN/h71jrcOWSnZDLInRCJx9IvtV4ckbqUj2HC/aJ7ER1r8v7elRAJBs9mM383BcPvGEYw1z8g6Bc6Mc4Vs/AvK8awII445rNc/iSHro/vhO9ikcWTbW9BphpzLRCHjjcC0SpZa0mNp4t+bLFTUuEZNMgIWAPXE6xdL8K/Zn6ixykV5BmN5gXvYazcgvLNvU5RhBhNDv+2sl+OhC7mJlpqg03RK1u7AxkXyQE4s575mCUBY4B06brfg0XE6ouj7kp6E2fBWw1tp5jj8VIhlFfmTsUuG2KAb4OCSNi+kDyKQ1gN7TA/WDoz66KiKUXFUQ3RuJMnre0I+zYEcMY8FEAKAdpktqRcXaVr7iba/PsCL4Y8Dxq7xvITojRfYWjTPjycBTDveyfLgQHEni4d8AdiKFgFREbBFfToMgumH1lAl/D9OafNZ+nOxJ8Ji9T4Qa349oyjoYUwZMy4i2wbheNsbWC3qCePRywTWE4u0Re1t19yUJuXuLxdozcBKmd5bFIgIrAW/Upp89APIwU9UiOfqtrKBeStL90+h8L5D/RybTyPdjE+Rz4ym+8k1/1E8QyrEzMfatiD/3r2KXNWFAtwRS7nnzRhtW2u7uDhwoR+NMYQXWnnzLM8wjOnRMDQYFo5vMdqR+g1g9dqpEiiZ4/Zxpgvtq5kJO4h/jAs0Gv9rOHFK6aak8TV5sIdLI0/tVP3yhIG8NVJBzBh6K1Vmu3oJdj4CMxYlLiR2Dn5Ick+cC/s6/198KhtKd+m2/QiJuvwIinjHh/tfaKOn8YwogxoSpZJTU0qQ8YjdMt4jsoTkosfB/oEbBPOfv2pzoT4tLY2VvlLBaGSueoyuexN7V7nkmXzR1MgFpsFO3xIFJiTZAbJDIo2/Yl0oXQearxzpKxZIRER9JwcyfkRlPWqKOA8dSlgpC5XGHeqKxnAm/BpVcz09cnEYYomyqajHtOf9hX+fXxpicvKC1tvKUYUaTvAnQVPO/yHG3IrrfRRFfdbQKJ/2ue3MQQPqOLgRONSzJ+ryy29zj9u71dATKqI2CYpZJBJTuoe2MhXRWei0XUqLx9E9g2LrfB4p2GBpvGbwk2ZleogzUMvaUMV3w1/YMya0+KHqXojqjvCQoJBdI2q9wS5lm3ybc+Cd2qILDJ39HGhSzunBVmD58ZKY7UaixOjOWdPvPOFSX1AU4r3trb9tr7qJlazdWjotVj8PA+4cUfStYIfSvc/iiF0V7yhUg92r6zkxyGDen8Lsj8Cul4l9JIrSE22WPqM8il1R0UV7HaRLTG/DtS6zsPlGH9vna+j89ZeXCAuLj+ZleXoZrhbCD8JufqEZaNAg/lv5oA/YLkVjJE37dRPWv2LppKSjP9gYqmVEJ7il+OwCahqoEs8urJ1N2vN3HorpC0vTnHPIMEYGvkeTf39q+8ub2f2+mBiP6/2HcT7z6QYKCsHLUfKE9yluVghVea3VspLZUAftIlFFdnfS2jNl3dFBBxw/nKNvnEDf/I8hzlpyVJcyU+JzPO8lLv9JKW5thEZF3Mj88M4XYlNkLATrTJVDmFN+hjqYiQq1PyhJNUlp2hg8Rcpy6sudnvf03kBXlhQRi6qP72SEQbcXx85LsKwzIhVztAKOIiGxV69TpTy8ba4HZQWfWwMijMDR6gDv91deIHAHgYLGWfON3CN3CTALZpWDy+Vfa4+546cbq1J6IO8cMUiogmUQx69MS+RJAUaX8AfiOAaFahuG64X6WJDSK1zg8oRPtl8RO1HIhSdf1Au2whOFS1x+Q6qUHlr1EIjxDb0GiX2B6+AMI5J4lv2ySXbHYJtZMOL02HYOxvbNaTuvrx3Ptl901DHN2N1GxQiG6Zepgy6qcW2iZ8SNk3D2D1ZnbgiAtCbPaFjISZUnWcYkvoC0eivpJKOnR/HoQG7fMIWRoHjq947XpwPhRySCYZEX4gBqt1GCyZtc4pzV0NWAQ0mDNeDqB+LNfNkbrcBIky3zKONArqnpk7XE7g/41DF0go/ftobALrN9N3S0zZi6KS/T3HNscmQIpGN60k7+DHcg8jT2pSdHd+xCP3h36c6WsXp0BVt6KNlKiNg1AqKDyllIHa0M8ItyvvqnOqX3H3Hh7W75+n4bO35rZm3a+kK7sN1PfTFpzHEhVPWGV9R25ZF08pxHUjp7ozk+LvQTjdeseED+Vt2MOeZOfORMNt+Byz+kJk2rjQeCKZUavsTW+lqrTy6gjyaaA/+ZbFW0fuoOzxNw1Zw3Wig3tDwbM4pLm0ah7zY8sEVFcTBjnfVNaGiN2rWPbctddLvxtQrVD9dIDVqrocgOCPKTSzid7uvaexQD4prpk3KUUWtN+EVYyZ21CUIWczE7Ra2VmV2RWjydr1wxhN7PlBomh0hQRDpYUrAGLX/NiSfBbwJcE44RA5J5SUbFg7Tm0F0sIQ2kRy/W/WASOsCNR3crK+m4L+KVhWOZfXSx4hB6xqbe+RIxJNQrrLvHkIoS2Dcs02sjQLPJ9fKSf/ykvxSTOnhhRHiioFPrsDFvhN5EooSUtolrTk2pz7jpFv9jCednCSq7yjMkSC7jUZ3omdy8w8Eyy1Z22U1obE1AlUUcP1s5DHiJjPzdIWTsH894qe2y0zmtDRO1g2o4KQMX8+sz27D6mvseUl3WYx48qQl47CibNdRtPCE2wVN16OibbzKMnuOieZzK9Krv+rABNNaVM4VH0sXozasSr3Axn6afhCwhAX2Sm/sWLqArB+9UcRHFISvlFJ0+OP0e6p4sCpnUYKcpVzcqhq/d4NjDHFBaKYfXtCAWT6SRSaLdBynAt4IuhCVCNpRFIZqaOunXWUtl2T83+cHdBp8b8o40AixiN8r8P1TmoY66aZZ6nmammRCxL3Dnlx22cpdgvxg5tDTZww2fVIRvwID3J4MAgsR8Ew1LP4dlpk5sZkMelyQtDrTENz914/azZByVxNQmrMcvTiXhbpx/ddRclM8iI3w4y44WH7Tz1L2SyWNvITe3HBxZQNKMjJuTzZVmAZ7bxYl/wVnq+9sDe4opo5FNwlZP/u/AjzEwpgmrT4/hZf3Lx1TOy1d8B3RbjAoSaitObK1WKkBy53geub++Qyswj0oNVA9kePHE3SovncSAyrhAcCME3oshelTUs9XK/wI1Zt5TCD+JGbgufuXab+GyuXjPy8NbKoHBj7o0CFR+U1VH/n7omaFL3gG0Ur8Gd+xUREnkmOpotAvHVUcpJiBHScHuIxeVi/jyPZUwMN5A2Pt4jIUvJNQwzRbfLaeWE6ChfKfe5PswODWg67emtF20RUMCbKrfJGlS9exjCgVzcYYabA4dlr/OaTU/YKajLvAI3Lhy42SAvo5Xn3RvadE5P9HvyYPTE/C32NO2ZKgeVaNyl0olcACTY20fKgbZYii5g0uaaeb4eTY4IhpxL+Lw2Uh0A761yPVC7AjZRmoguXgw4yihsZ5ZeNFyZu9BN6chQBETf4SIoMCMZaNHaVHH9V97GlUp0KN9xptRr0DaL1IQJtrZZyJJ9oJTNp+jKR9qanodE8oiwHl5A5ajV4A5eupMsFSBQkqxvnJc1jqaNxgaqiTj3DDBGuY3zufBluu1VZ4sxsfXqeL7ZNrevEytCwaE5hnws4mlz07vq/Wy+OC2DHnJvj4EHfhFRdz5HTNl4FfjY5DQr/jas472U7m9AtNJixL7UVoP1Krv/vL1h4Gpn5bqwkEJdsyL4z7xnw/tZtPoBe8N3m8yvu/n1jbNrxnNagk+6B5vjAW/dQJxVDYaFof4HMbeFNJ/EgvAhFVb/0IkUkEC4GXgZ4+NevDC7+h5ijAH/+X+m1/IgttA8nne1hR5dv77LIKGFLamLM8Q8SRBEF5IEqM2zMmLi3g/CI67nOoJ925+nPKfLDxR4ZpzbdsnnvDuqPJ2El41lCAKXXv+yE91MVqkOkuJ2o/hoGVqtq94sbgB4Cv7RAcPoP8ZXX3/fnkvf0bQYOww9bmcv0Bgn+vbN1V++6/QvHE+QYo1GuKhUhbXFd/UThHvV8l9E5BRnrpWQ8pa8f1fu6HuBmGQuFt8EZ4jNg0dEparxLJfcgNlQk649zGg7GPQWK24KPpS98aQrCkmpvb3MDUmQ+a0l/lu2mRdOkk3UZ1COxCsJL9FEMkVDJAj4jgWlMSFYW3DVh9qzfngLLyJS4l817LujCJovZDjM9kbe7NbORgNqWYQ+/CwTuqm5foN/bssrwIgUF1PUdYthsGn/ZXtYCk+/s2YLuLjFqboKwI8Pwg9nye9TddzwLmG9obT8076/V03ggkoW+EUA2fU0YqadQofWLLcI5E+QuTCyg0bHUHuwoEI3S8Y9/ET+ktmLLhCie2eCSkO9mF9cClIhkbnu6I4HSmXyHi0SXJasa2z/8ZOuclQoiZrSWigoo23cJuZSeRO2wmWUkg9cVit73EHb41i6oo6rJGooswPHKJVls/viJswKQYmqHqK7dP7gmpIGQJ71JzTOXNB9hVHhHu3vPdsrGLGIkpqDmMLoIW41PgHt9J7QAT9FdKsvh/ZBbRsjAR3EY1+SK7PN1qQm66sc4JOpcCx3f+3Wr6K1WfD9FafCMx7pTqpZWFhyGNemAx+OFaW7wERmEKPC9T4OC0a0GlWQctZTqPQNxDNZZGufzdTsKKoz29KKhpkUI0F63ByTfdI73s2c7TdoaO1KpK74niPahZ8Ti7njLG6q/ZoxzDWUSGOUV8+9BR+6y1K6Q9Saet344yvrYG6cR9qDacj26JEzBwcU7qfEbMWtxcywwevmtrwtcbvNBZhOo7PY4tuc6rb2MhXtjk3MPO4NRc+EJOPkUvNTdXurLRnYjGUAnNNQ9O+Kg0+WHWcK1GycO+Xa/Uv3awof6jpeq4YjHR3QJwQBLMIB7tzaQP0DUoieGKQ7PGOnTFOPZh0KIr/ATxQGZYIpM3aGoOLDUEKEjKOVBjy6c2JV/vDxHOHcDkqxXKvJ7+Ok5swN3pFJO4F43h+UUiK0HJH1ylrAJEQDtrdwvNbnPc9cgkkBhBiUYLqaEiznahg+wCjHJUb7wkC+qNjtR4qBFXrkFVnhMpaqo4h2Oof2LhKBJ0jQu4nV9Ln8dSceD6OmkHQ6zP5Ttah4OwyD/gm0ZFac5Fu0mFEvPKC3MxSCq8j+0huK9Xep1iXoeTK/gn/yrTHnG/ckqxediMh6i0+Nwd/lwh/xoGiKIozbXmr2yksohBFl960hjzvOjIKYvJ1S+GFjFZfFuXPxssK0ax9KlHzxn2e8KV9o9zM5ox6f5zPP+gQKREf</x:t>
  </x:si>
  <x:si>
    <x:t>Ageq/w4E6Adp1Lc6WRKOdw6XUQ0HxvQKNqVvsKDLV95IVOt145z5hUpvZJ24AS+p8JNVhli6zXtgYjL7oUlVKjhM+gG9n5Hxi0AvEzW12oTLXaW+lXTsUiACZcElt4901k6A6KsBuPDlkQHY2JTEJ8BdkBfggqkStfbHIm8RVtf68FTniIgyVykLOxz36s4d+cp0nmLH5aRPtbl35RAt4BhYYokVyBUZUxbcYPuhg2b/rqtfmNqlX9ccOB3y++/gEeYCzYqUYnVVSQBHkXgaKJorZGQKWB4AMm7k23bYkChLRxQ/9ujkuNzzsNiuHsML/lgRIcJD7gCFsXopZI7l1OxWUKuvCa5KXM4fQ853K5w7BMOmq0Lak1QueeWHf4Q+YIaz6IX5G7HzWO8IaXejDspN9DKzjpH8agdlHOGGbsgr5KfOqXq+yh/M9UaHbiwIZCbUGK7YvsJxhRxuMWWdT4pKjWWV0IrrzaHf46kYUs+N9AP2w0RF0u8BiI6jVNK1VIUuIbDTud+Bz41Rd9mwQpzfnnCJsuhYo5Ypc16DACsU1Cymd9cP3wajzDHI9XrkZyBCdJKWsyKjlfxpisw9zPICFp+ldL56Zn+4xRLNvUtKYUNUh70T8zIob7K8t4GwiHhLbtWMSqeDQKi5pbSGHIB21/9MsSd2Y81h2E1tFKdXObjGsUzOCcFHYxLXkUxaBM/ElwA8eouAdqD5keQfm+dVvp3MtRagtIlMnWHFsZZDGC5cN7TOmo+57qVGX7WV4MReX33la4KXpoorkdxXTmCbEEE06X8+5/c2tgjSGw24VySnmQ9gRBCTkVk59yz+Co2nDBcO6OS6R7nsRoWdIFP9Wm+8FNeVvULQQCZV4CXbajmeu+sWXEFdG4FAAXZd8jpmOjWqOY3hT18/DolupOiHw6OwCOxoFUBNtFGykI602AHQSi5KIYlRMuSjL9Dg5GgptdgJIhWv20fvQGQh7y9TXh55jIOC8fiT+8U8NrnXGVdskysLrViZHHyTbHksRWwvIFFI3THY596lQPEjqnveLiWSDj8YnKg4wi2lmmpeNq92t2CgpRukEr50x4LFGzGdPzTyI6bdExEnGJavf1Chj6P8+e4LW+AD4a7Qawur0hR1e2y6a+zc9v6hXkPLU0L/qIXgfskub7Oe5iLwHnLTMq75xVAf9toqEYrQTRgLyKDqNKRoGpAuvCtRAVjPVkxl2No4BI3LKECnPI74u8vtX9Pev0mSaUc1OGLqbPsLcoGzpjjmZmixOitRilIeVyIaBiLIjKJuly7wmvcx5q+EklDgEkNF8REBqygnJxyQsr25KsGaaB4Ry8S3CO2xgxls8wBOB2L4ryVXEPEsnB3P3ZeQ77kE0UCHjgFZy/JZ22s7cTVrptyWYVFsi+Y2gnpF+X0sd/oIjgFpCeELGN4eDodWxM4arLD5wioFQHGWVX9qqi3kDS8kgzX/HhAs/UYW7jM+mXsGAYjtbOFK+5BomFvQyYkyn8QfCXJlNFdOQFic3jFXweJqZA7Jn64CFF5J0gQEUkRCBCTq/liQqDjtjqem/pAoxfV70kH4z0QSV2LkGzc1H1OspcgPBh3JrjJFKBtU3cql3r5Zr5qDLdBKQ/F8qBfbxtKWRXYLZ82wXybEyNhJxCJHU+Xs0l+SFoTjcaRc3NF68Y2d+9UtWHSQR3xEdN7KrmHrwFfZb6Bc8j7TBJDkIGtj+Wnp3RKyFN9QN5uj0hAsyMNGMP3mxLCkox01yZXmmw54EsaaCk9jxsM9Za/n1QUMzd4jX4nxuNILse1Z86s631sKPFA5+iHSIzCpvpL5RXDVfsfRO0MyWHltzbtTseQf7mV00p5TXTAVRjdi/pLiVchdcKKmfGFq0L9vE9ePJ34F2rj8ABO/nFnUv+2R8nRVvCSll4onTh5ronUq719rsaBj56f9htcgAAmUjjOqk8W7NMRoMGFWzQRReNFj2wmoLkvQB0wXQN3mGmNkAfsFtyX2xppTFNCKf+gL/6IeS26YxfMgCrcMgy6/Gf5H0kNszW4vwAtTzcHqfbxJnECBowZQTiya1blZGCHMcEuNUTxDQG3pNw8vOEQKX9qSdOPLfb7kqLNKJYODWyj2xVIMNHreK681nxBq1IZYRK/ChfXtYNYPt6kB0E35IvA/x//YdI1fawPMdC4l7ci7RzgK5YG1SCgDtkt3k133hF7xuWCE+yx4ueykfAWSBwwiVkAfr+rwDVf5MZBpNqVqkKTONvMWyAZ5A270M1WcyZF+/p/QUwIP9xADjVQhn3T/a4Fxq2FdNWmQAPM78bFCD0WtHJNEk7BwHQsD7BbaPFbLtSQZIaWpXhu0cMyvrYHXo48WsnzDx3qo1i6vXMVL5yRmlVj1IseCwDzuZVRaJuHoA5W16dVpb+NB8LTpm9k4+H3EPHOef7rjVIKNNosMFbp5Anxgu7FxgypxqIHTru6lzkKHq2FiQo/QJqeVBZpuIn4wfj6wT6/8OjHFNwksyp20OB5j9HRBaKFH9ue2S34FRzUdptl3kOBrqCpYL0frT6wjkJ5oF5JKyh4CRNM1pQz/f6m1J6ScKi+ZLSMCBvPMBbHm7dW+9PbzSmVNv5xEWstNvnRGPCbs7gMzhO49PhOJnnALy3+hKkf7Mn365cTJTu4FOufsEfXsvi0hig0nP4K0UxWlpXHyzuz3AHVkb0GVdE52nhGuDmCJ7aDlVgJYT5uc0hyth6K869KyN0mGYuEZPseh+F6EN9TOJVpy1xaiiFLKrYyC1k+Vc6Huzu67+r7WckqXmRT4zWiujfPD8xj86ws+4AHyZXhoLzazKqzbywLu8xq24g5e8o1CCZHQIe3bXrOj2rccARcAs+4+lhVp9SfL0+vBlrCSgLNOlKtHXcfzGoZqSCxoUi7WteHEFVDXtpndOLMcUPyZTbzB0YTAgv0tH0ztte9fz+rrj+vB1QFh9b2BEUQpxNgqHEZBRxi2EZiSXZGXmPJwRvQdhxRJ2Y9VV+kIKEyoXOQYY1CaRuBrFaXbDWDGaK2WI/etJyUQ4ePHF9DchVoy/7fL+WNkGDeo23G8QeN/XnIl5kor7lkffraeAlKEsWxIGmMffQf4xgvurpeB9ZJxuatZ5ZLpAi533tH+NWrXvpyHBkjcd1q3Cy8Qob+x7pPC30aVZsi7ml4Bo2EC97k1ozrEE5u5pNhk+RXa01uLew018DvQq2bljvO01ezvufluP8kXy1PjnYpi8hGVxCcmEfP2w2TzX7c5+LPzmsWUOhDXPyd7yo7vyDTDOXuKsHw0GPMZkbEuaBV6oAI7upSXFUd4QH0lbFGMMHT/PFkJf064pWftWzZh/Us0RYLQtfrucGiLyP3nl9xR5ztKxSZcv0ws3zS9e5QT+1HLI66+a5za1v4p+mD4M2fAcjvNNQIcihRh7Zw/RT+HXd600GvUzcFTUzHbqttsOftPUjFrz06GIvXRMdB5DcjdVcXOR+5BVBSK1AQnBUII2d86BEQyuRwi8s6JN1bVrbCV2qugUp5Vi+J7o4ZwWiSoQSonwSfH4At9unI38J1wCwfJmYgYMfqAwRShiMk8p/HykQ+cVm+ZudJRZC42JQpnsyBrFKm9Ow5LyMPHKdRdFmmA4yZcvxNgYWZibkdzTTpGoSkHpvoCq8x5XK07ej7N4ehwwHSwRCXFbOrp7aCdBVrKErxEIyrMCRb0Jowc0GPkhpiab2W3HEsV9RlZYP222ZVUXcO273afX75cLWSkxHOW0x71miK6/k14H8Irau5O1gxxwOBhSyyVdouT7xvCUQmMt9P86SHrcmalIcXR7LDLr27f7vCl8M0PslADyMElncfnoLbDAXlijibPxwptY7yQeBk4f9KLnegGLM7VfpPTnvHsDiq8lOp1h544XwwnGe9ov1eflrLq/cYDhHXCv+3vcgymiSqkL8mS5cUKzzhhBZ97WTsDZM4gvl9cIHt9WS9hGFmgbj+OTHhFKdDXPxA0C3mt0HWHI5w6om91aBbCDmhki5/6jQFpxdfGqaSLuhbHJcN1EfD21IjQdwU1uunLonRNa1bPDkHW5YkZAlESdhkwBbpIHYWnzSndMGaivsEid4rKRC/aTVFwE9Q4btkOyu74FgLIQaT8Xyi9TO6G4qR6xANfXgkKrN5NpOFTQLIzJ8cRr5XGuX/Vdrr4EmTJoiUxmtN+R/1cLmN+PQd46i0x6Qz61CQirOjFdIp1ofWrEoJgth/uzs69oMLZ3ESX1eC/9G62mLzROFbQ+rGxpLo5jzZ+cxMB+2Kb6MED+tS+pKNd6ddjyLBCbUBeOz0W0VKX4YllMYu2w+jBce/TU6W0wy5fMGGGBCqvinGsDZUFcYfS7sYaCvqAR1cgzuag9zS7KkX9p+PqobuCO1iuddxIPKtr9d2a+N3gbQ9MsCR9uuqIP7KS5vDJT6Lbuw458FwfQneTaV0Qv6xwzNrxIFWQDmmIiB08lhk9XmnsPO62QKqvGRpnZZKD5FBdcEBAvn8kBQ6Rf32xgbJCFDCCehJVFqJwh6003uY7mIVldt39b7nXkQGtiEMrve5bKky90II2ta+Ep+jYVnIkYkq7OKm0vdgnccZQllf5f5RXNIkSPLpc5PuEH6dSRIMha9MiNNDlVhfyo+v2qfFgFa27uM/kAK7EFFBipl1p8y28a9ni5wsfrUE4bp6xeX9eEKcqgrOJv1BDO7T7T5Odr+Bz9OroJlV1TA2xcVVhdeGMdgOP6jzIHLBgS0S/Xbrkq1znjDt1DHJMAuuWl1f0gxZWTg9EU87i0YcY/p9ISWBP2X/JC3FClPjia2y24em9rsdhdqcBzOJ0783Rfa0NiDkPo/O2DqAhLe+m8ql8POoDA9ego+UnBEiUmfOi7bfma7Jv80ypzuRjZsLX4YEHKq5x0f2VmfHjZgxKgK98Vl4SNdeKYDyuMdJK6fWPu2hxiqv20ql1sTrZUUWwMoTV+FJ9fKeDYoQV1ejhNTpdywg7I/GjHgrHqlHhaEMQ3g0jdfIAvN+Ogbg9M540aoXI0GXZkz+TxZDBKJ7U4MxFzscEgHiqQZBwwYZPD+oj5Z4LzrWAT8i5BNyz2TayHH5fQqmb6ZzePz89VBSOLt+f/T2YsGE5k386NTNCsu3IDRYQzxofI/m5RolPfB8eRjaGLHFHeGg8QkMRMgv1U0S1WxHj568ja2bZ9OkdLkOJU2xDONpEnprbOVNd17S2QehDVUY7MLHXvTlCA19JcPrGCUmNsA/93H6G6nSRG3GHBbP5e/QkFXPHf3EFrJYQ2vMhoQ20rPVdrNfx9/hyu9KWZJr2s+HQRBOsPcs9vl1u4ZY2cxutNd4cZu+YXaVNOMsEH2fRxidN9UJHjdx/lu4BlyhY8cqL0Zha+RDHKSsNaP+iQa2d50QF31WjXE2k51PHRe+3E0DjYQ/nEs5VHQl88K5ZCOB8Q7bjB327Da/VR/L4ihPIOXmmSPQyypGRClJwaeeAoqgfSiRguZE/ztpCK2MPZcESgPw8APhqHsbNv2AXSfMFjPmADWcPDPmsGwyNqB2s0hQ8zGpCfn7GJUKYNC76bJ3IPahY+1WZyXMmFKfVtPjLQNsx2uAHTTkxaFyeAlFFHuDenHs+FY/2TABVJt4MD8II3G0RAXjrx0/lDQMF0q4NrwZMYWaatyZQ1RscVsm4kNmLzNJsyVBZz9SnLM8hMSWNNOB2klsW2DaTGRT68+gn9lxfW+Zg1sZdq1is/BGmXri8hEG3TFVGeuIS0XEY8zygc9QMEOcoNm+P33eV3BfL1jKlh3mVmF3frPvHyGxZVgzzTaakIlk3zRZzC3VjLCoKQeaU5HqzbiWaKSkCAY2wg6tqQk+idpjReYiFYDLYo8H8LgWLOaF4jdiCYlUW1wl3o1pmMGgMhCTW7mhy5xYOlnSt+AuvAqNJaJYep35ssimJmUM40ZPp0wCOpYnjneudspkmLOyG5sDF10/Nhr9WGOwal6wB+E8pzcF+FlLRiAeS1SIh8OaVlIcqgMHP07jWZTvaLJ3WRfh34XG3W28tJ/E/SUoPThcFm9c9WyfQUNN/YIJhOAu7wSl6aHpqA00O/5iISOx4GSaBpw7QJ4Mk80joPgkLL/EfoScU4n3GQOKE54cM0SPaFyjS2hN0VTI27XpbSw8duscpZ5jI5fHC0Lhfcz6CLXZuJYzmwvSK5Y5zuzVplamtYQjYXM7uOwX5k2pMtr/1Tq6/aFBYA7NfaeDu16ycerQ8yLATDuH8Uvh3Yju3kbjUHRLzP6AF7Hr0JnmNOCHq56P+3i+JzNBZzRye0Kp12edeKLKxHupzKiBzOJoF07luh6FPQcQMLkFIro7tBZXcV95vIhW1IL2znzbv/PKRwhwxrmzysZbPs3eYCOoG75H2S6+DQZPiqshPniIJynzOAhhrR3d4p6rqJstPPnyoMmVRPbx6Eoo/pP7ic4QQVNZRFhRK5Iwf6T+4wAkWK47QyauRevINra/wucMacDBbUoOp9fPttxuVqJkk+u8WZj033A8G1Hh7tUJ3R03Hzil2dwy91r1vejpZl/PLvgXTRSNQ5yGzf84YzU1ltcMLqJ7UhRYO0Bq2y3jyljS1DpHc6MYwGIH85EQ61LXefSqC6fEXkMnUMrpFwTweHVAXaW2PunuOA0PnNuSNBSgc6fcj5cb07wKQZSDMsQF1AwX+km+l/KNhiFlNcqyDz0Uk3UJzfjmCI12YoKLxRjqiE5Z2L3RufFC56iFCVUe/BU0mZIbqtIN6CSxvETQD0xUqSWXXT9Gvzx6seOagIIQ62NPjFP2ZgBzcZljCidE89T6TztbxVGCE4PyUN9MxP7+Jrq9BkTqbHkF0G0vmlK4QdtFv7FslrkQFi8zk1M6m6kBypBvRVpG4tLpCZX59/ORfHh9jSUpK14X94B8DvLWatirlghxcibZkn0ae3ZaDWILYaf9FDu2O3bvj6WLcJW9+kr5i8NWj8uAOP2OkDu+eQ7X9M13EwfZkvS98NyxC1WagG97mTqg04OI1YO9s1tH5bzFkK0hTZ12VtDLUQwb5/gGzrW0ogSYCRx3kiZ2JWo7glMDo0R36GLhskM3Bal/aynZCL3nHmwOq3yOxkiWU0A+LqF1dDFYqfwa6lJt79i0eoW2YRr66aTPhb/Ipc72bRFP/u71q67uJCMaV3Uj37NvOMiyMAIq4D9117J2oYdYbv5Ng2C0KJZcCN5ZFpd9VgItmAkGDukMkpG74cFdKH7z1aN12uMbWya8lzDnKj0/V21whdPnLGs5hDMWYT8Tx4brqaHIyCRF4VjP5zhKkJiJBiDA/7iezvbw1HhhAgRJvuH3qFtwgFiN7J6HHm/uADzijjbsIN1y5zrD+1ovVDiRducflHliW69tq+3zklOyDMbRsW9hcWHapSaF42sOhWBebC0KpPirg6ZXTscJjlE+euOgCQVVfHdJ93BfhdY2W7ZZH21OkVVcZxyN0ahJLI1PdV2xW0aaZvNRt5Mwow04vmYAZU0FO3qsXrrqOR8rLNKH+Q6wnb50gBNn3nf4mJhZj0FrqeutwW/Z5+W4A1RsLw9cHzjTdNN2OiUX23JgXu3VZI3KPyqDdQXPknpxL9EKn5x1c/Dv2/czFakYE0kMb7W37LB7R1CtDI0hl/ICJ9+kjJKHZz4xokWQt3gsVQViFkvGn7hGawmwfKRPyH0Oe+5c6++Gvq+y+MWn4+jti2Shre9KRaLb2dKfiV3tRIdJq9akZguj42qnmLObJi0lLXS5mlCr2KgP15dYg1j6MoAfqHrZi7Kk5Slpr2jTdWWD0wyq9VmBWPNEaVuGgv/D7Lay21Wx0r1p1LJpzsO+dNuhz4E8Cfhyz4C0s8hDa07O9xjtxJwsf3pM7MixHvnm9TAbEEhxMdmijGhEnnmFnW2d7YCrMQ4BfKJ2GJW/VnAP2bDzbrITSjXTwP/pdY6N82WZANNJvG3aexksyHqZD2CNr/VegQgKuxQcAZnd8IW13PJv1iIv83w8NHFOERVQZc6AsgZjAZW83LkNdiRcJC+G8OlASvYm/TnwfgJmRe9LtjgOXQrCMD/rNIzMNwrOgOMSE3umQmiE9G+oeg5xksBqYtgc2pR6d4BaRY2S1FET0el9pmF/P7qS80s8dbk/Wm5HKtJnVYzXtNLA4QwcKdI8Cs9dXRWl4SrbUxaIRNXZi4TyS+1ITpHGufSEgrzbTCKEROhQaln12gCp3YH5ZdmJ34SJZskNsaMy3yH7ZQ3ZC0xqreG0WlxMEn8ZlVHHnxdLbwFPgU4SAKS6dPtDWb6DQtsoqH3wPNriO1g+/vZb9AhFEl5UBv195Dc8ZrgMKDjja+9j91+ZsuS6aoM1MbxspVALVTmpoxlgOjf9jEzzo8NvA/PlM0IrVzD/1P7vp2fsdSTKiY8zRzqFFmehc0GcsuZ2oGHIK8UE9tcka67tErrfnl7PtJmvg4jx4LOtIDpYsHeGiVUOyOtV08aCgoSTgPA2wEoX316CmTqGRVBLjDnTv3eS89ZWFYD8bLjOeK/C0SzAbrMb2idogqCK9gihgT96rjTYP/Z63uWY8tXeHqt2aN9kH3XFl7lZnCsD3HeCZYZ8KuN69picJQuJFyJtO2u691wEIeChiAgdaeuLdy6Q8Q4Lxkdoy5P6wpSP6C3YK3MMqaTnbGIFk/Qor8aLqP/zMPx2bY3tiB8sqauXzWbzQXiSSL/BuU+82lDM8UiX12UXhLU1klrZiIAJkaNSUBG6l3VyWw7iwfPar0oJZw/BiHLfz6E9n/8WSV9OdqIdg3YdorX/yN4216MToxJeUutpVzFw9SNykDyZT5U1zWrObFmkxAw9KkUSAfTE2e5qMf+1oWTaxRrrf/Qze/LA7KXkKUhPSeVo9auOJUhYomHktc7vrpEi0FbfKE7x6q046OcRMBOmvvqh6utvtwdHvnJWrXybitwutAsV93CBRcaFPPeQHvrapMT1cXz65TeFpKkNll+XDfW73c4wnT8oic6lI3QZvf8KwS54Khze3kiWsJ10t4lG5SUkrnYYPX432FEbiTmYM7KTVt5L6aBWYIy+dNrCtpjdKsRA89Sfi2LFw+/EX9eiyA4+m7/qUO/iGS2ny5PJg6Wgj7ewTJEfHeIFfda/PAtrFGN9u5Is4UzSF7pvNLZb45SQK+pj887e+2+aYWpazrHgfBFf/X3fzBHMM0yPxVxiXvoigW4RuDepwbqQGywhIVWggrajxtN7htWIUAiK0sm1XIhJKuviEa/1vnYy8FvMzSL3XQn5hRsi7pjCjClTjLm89Y4nxs1yCxN1sN5+UMqu4NurVuQoPicI2BmvULHFsm5kj4L+VvkmsGtSipbDyGQ2Pub2mrsj76cq2DHJSX9O4bi0nrh/cAdZ64WaRX1m2LmWzwCrIJaSSSaJH4p6eHfPKgfM0gVG6iHLVfq+tbE6uGJZne3xrA/dFo3eRjVaZp4KONd9PFFg/WBJByUkvltPDrgYVtQbBSeumINKwzata8XH/o1KXbZ3HAhOx1IWfMqrEQUYk9HGYpg8IY90rwiMbGtiYiOj56XP/ndfgan6Jb2OAuJCxVYTkeHgP3aDOHtorAeAwJEJGhAvqdm1olP2z1WKEdhfvslM2AHns2SSaryQ+ZnOwwqgvcX1R3QAWX5apjF3QSN0+KJ7dT+O8Jm9Jno6TC8GMscq4Rms/c2FyhJFy7WsCbHlqWY3zLP01Batx5Gz5vX2jjYBtISsa7wO6UBITl53ph+myaOZXA93SHkl1OS4MscpWFdNHMYq208dESaLRT3iecEVBCdvIax/5lZNmczVqPYhLMD1b372bm3RbCUKK0Kx6jhXfhAsEeK2omJUROpwBq4kZUvrS1PjKcBs9dj/whREfGOAjC9Kjjuk6kHfdgWLNMt3m66iLN8eq14X9FdQqq6x6di+8+b51cOPTtSi4wqaRZnTBw7P+/Fydb3FLHLfO0IKsuqb+jAkQ3Oln0yE1Q+U4WBNNSGxq3iX+aasqp0lA/VKumpZ83ix107b8y3M6DEAx7BPT+ExIUkpk215lypWHKejxxOWeY3mNihq8VG8YTV42q37JmniFpFgvQkhnzXUSy+1Qx9VMYD198B/pT27Ol5wMYYZ9/XcQeRZF2Z1y97zaWjqhGgFLRAQkOe4bPwsDJ1Mi1wJZmFfjiO1VQNxxq3dfQCwDbitOjxA0JqjyFuNxpM+5jTw4xpxPvFrHU1H0NaHsQFbWi/B+RIJiUg7mcei74HFRvDwWSyFgeNaHp0TJ62UGvT0LKxEwtcB8VvbDeZUWKN39wVHWd1u9GxUEzK/BcMUWMnGJFEQdbjXsoi3oYcxHP1DK+a6S0oBi6oQ9xX6QGhTFy2X93goDWd+5RjznNoctaHSVHzYkYPZuQBjJFVgIiUoQboxrUtlHLEN3xIQq5QOmEc25bx/vF1npnr1shgWksQkT06cgtz/gnG+OgQqK1fnmH4WiHPPR7ZzA0vmD6CDBRUrOy45qVlhyrlPy6mK6b8RN5pm0I8kGJfAogvBJQSkdV8+MR4qdpTgyYCE+pE4knALAX51dJfATCMun2OwuSpVe2rOU++k4qXURD1JgZhBkDS/2YEFJ0wDFRPhLp5iVG5oXJGM1vd2SS7RZ9fayYlDF45bDk/jAzqPLjL8oPmxEp0tjfNzt8VvzlmfDf9+4dJK85QbjhfwocEbK4TCndu3mcnEaHDIwLUb+MhLjBsgZeYqFdYjic9W4ZgY5HWzStNSeimo8hoe5NfWugVndl23L+2rrhLn5I4udzqPFxRX4S2lawZvBkZ4ln1nv9SgVAgx1d/6flNRfLj0mYU9MaJdlw8Ot9t7/1gEjBgJRpqdIPzk/NJzyb1eg+ppTyL9RAjqIDdcbQ4l7qy5wfw/f+XUhTJ4iedqvZjZZwt8D/2pbAbSZQxKCC/bcSJ8miv6Xns0Vppo04mAm1RYPRaY4LRG4hqacMkbeZCW+e7kmLBWlLyOo85JCJWV53gQ6Tk6ifMae6LFc8CfD3FzeV9enxLKXNfIs0w9z8rXCAtnJ7wPqUe0rvCPE8f0MGOay4T5+5eRC6uFYRLITCdFdkffTt0qUs5xI5ccwa1qzS1CC6B85DkWqGK+GpHAMFQfndS1/P03cG9P3QopYUucGCdeDnlHIqewk+C/pH3guqDyvkqGSYwiMfc3+XIQxrhMdR7Pysv1/tv8Vsm0704wL1YgAA2cT0hlquT9T8SQFJMBIhjlF9dUfi+yBDs+RDv4d9hf0eoA3wOvUjn6jyYvbg3cMZWPOfJH7DI7xVsNUfzlFnzO8NpbQX30mQBczQgQ0Jxv5Ry3bd/8i+efsFST+gqbY3rnG0vy7E2jpoGxpd92OBlhIPLo/iFm+Wx24Q3wLmFJ/AW856o177tIXXQDYnsFtew8WzHqvHXLaUK0tdi0swtxs5p9NfdTPmCbrskSuWfRnqcPpoZKhNfX9K7flLYfJrcG7qDO/tLaeYq2uw2RGCYdn77nGFifEX9bKgKF7grTp5+0ioIGjcrHfK0VXH3TzT7Bp+oj8ZobkW6VX/q6kglwdRfvg1nb86d4i9WUexLKJSAWxK9+YWJC71m3ElfPHITfgQ21bYDeDTNrqqJzknQ8cW7w5zoEIgYKM0XpQc3FAk6iw7NbflKAj4MbNstWxCYf/BvHF6gUh6oap6Y16KITroxRBJJBG0FRTUwSifPYcgXlzdnP9hRyp6GUSBt56JqVY0qpkf94bixNh3gj4e40bjdwnnZ40Ah4rzdwngGB84Fr2PVnk2gBfXYz4hHM13oVSburE7f+8aflETBrOmesinMwnwmGQCWlekJMP9R+86UzNhzeuF6KAagDqE2Ck3mIZT8JOl/vPq9VF6Eyv/ocmNl+My3EQR0PnQMyxS7IoKOXo62M4QNprWpRQq+npVSej97QQtbnqKX+uG5HP4w6XxymXe5rnt9bghfQAvMgoOZEVV3LJjQnoaxtkqlmxdNClYUfJWNWgYeeZT0R7guHa/Sh6vratwuUW3P+2FzcVLgkm2sS5lBdA/jqEaM0wwh8VKlnoW/Evlnhb+YCeC8EqFb0ffaNrTZ/xYkaa272kxwtWctDNQ33bXLzDbLxhuzAfIT+uQbeEE0HYqqPtpW0qXkZOw74nbRBTLtW6IpTOIwxig+K5eZ8Ml2vCs7SKx8o1eBJkdDeWSuQXNCXqO9hV/PB/4LS4yvlh6qGEskmwZI/mkkb4d3HPn4OjxJvqLrBI52rljYJh3u9vYJIEeho3aKyPAnQyygS8/R4newmS00DdU4bKtw+JN/X9+M+BgqNHInNAp5jsmuLz5vt+e9KwWt8qR4whVidg5DiYslzAX0pPJpDAHgvrthlNp18ViSydI2U0GQMyoVaxOsZAx/wnAPzhZPQ1JoI2Q2r1FJ+wjjt+s/zzD4X5yJsHDopo99IxXofYuBdA30VctaDAePGeG4PzsL5QJDIn5TSF0XcFB78gAqriokFCl5fZBclCS7JuL5G41Nq3D3YlNUbfvfwPHs0AcBrERNz6egd7zi468ohSjPtdbA/0Yo7nKVN5RcEugKJLh6gTs6g/kt0GqIWujSC1Qu2QuvtWrfl8ZmVW6k1fs1o+dMj3pyKA22VSm6J+L0AIiul1D0z10ipf3ZHmT/dwP2nU6eJHKNz7oGhpz50vbCg4I3vYarneMrcF569F2+lmclbXgJKxCBLjLzN9bz38NBDfFQv0ODrbzmg74bqUcx8uBMOvrr+RhvKKkYEePIxEhIXf2+QUnY3wiNQTw/j+9gl3pF6n0zzmODvQZVMQQsA69pu33AK6HJ9IeRYV7a6gPAPsWeuKrsLZGfWfVGTgGPM1+dkcbCm1YYdyuNBlzGpk0ncMZvhlDcFvE55oc3wITUc0GPhSYLyAQ6LBo/u1Vd0kTzqB21HpL2IZqF4iChRgK9+YW8FZIwggx9n5zzGolbEDV2h55GdYVY6aAnhDQurybe2nYFVUpBphPF+sbD5zK8YWwk1Yt4D7CcCXtXPrDwI/rh3xqYowHrAZfP2sliqklruPgI3qVRR6qLWJw/aBfTgvZ7rA8zb61qtFLsWV+c+DJSwEeB2VMRmW3y2GkVaF281LTsxO3t0ZRZkuJSV5QQ5zU6YmfCrimEFlqGnAfQTEd8aQevncLx0Pi8KIlgoSLluPbBFMx3bnI4f4gzFDGM21kV03nolAShfZH5ef2eWssyuM9nrMhut3TagxZyLHLaUA22UKuVhtGLmyDoKE1CRasse2AWjSMy7JdzQYaHPMOr+RjRKOSG/P7QsPU5gKDJw1L2ceg57jIlzPEkIefnPs2aeJMva9Hib2ci7iNq5pfzRPRNWKzUkAjxagq+6SC+Ksi9SqMwUbNCntux6gFgT7AqhwGR2od6wK3xzjLGReS3k5zj+aruzDoAmiDOPeb0Cv3mE+2cKSBSUNN/ixjiEbMrby2qLshh5O4TwFV5KOLMLLl0+sP34E59cRsGz1F1Sfn+o0gGHZy3KzvYnDviAhm75tSpuKBE1AeYyNBZxdZz8yROMo1G4hy4j5u2QZJFFgTUq5n2KqvQpfZCMl0Z7eWhwNSL3jguXDH0oOWFn5Y0q7A48AzbUAzL2KTcr5ArkZ/Zed2L+qrmci8wXrueOvUdqZpkwoyoPLE5bCufOHcglSEoVm46fdzGElgewyWJ0nTgxuKry097Fldcf8MFfSeKs+ZZr5sVuAJtwvR/ZWEeBoRo3psjNuBsoaGjx76mBoyPRgjkj2JMvI3jjQBgMOvtiq1IAb18ZN4iY1GhgFruFfetVfmXvo+/FQGg45n2B/xAIV+Ht+Ddihk2+rd02D4Nz+gM5PHITVJ3XN3L9qJaRzF59/JyZvvNxAuAwVwacUm+8k82smOQSZQRhFRjaChTuzwOX5rKo7x3SyZdsuKjwoDukPCpgSaf2lS3QQH9lEeZJNaJbD8NE88oTFog0dHuxPeoePDtFjLZCE9R1q0KMrs7WaAFkCsPyS32FP+zZd990YQDrfU+jqn//P3aofouLlI9vKxR6iGBps6feAqOjEBfduFDuVi4CrJGtbPRlSZPypeIOecgftDu97BR1Doi5Crs3XXy8UMSHcpDM9WJEneMoiupu2m5kpgdNp+Au2+/lUQjam5jC1P0/eaZLoZpND9nmiK4u1bhEJ4D22CoXrn7tjBX/uE7LX69oBvvSkHtyBf7geHRN1nNsISzhFlIoNcSo9aUYpShyI4A2AbWbybS8o/Z5Z7PSQ/mnLQ2IenbOTx2DSiMA596W8M1+Q1YHtLKzAMZQvASh+Te1ehh8DEU6AzgmGX95A1IDCvODW188C4I1ICC8cExaWgtBqiCOkYh/NncxnFJHlQHGdm/HAbvXdi7PSunxvhVAJenGhhn5O8boIasaPefdlah2QOE8pLKR72AJY4vsdRvJKxKPLCSIPOf3EU4q3v2qmvhtrh3nS9LpneHT4i4Xx4ob8oBZIC8WSu4b3hBCYw8iI6VEEkikw8v1S9T7dLu6U8bQesaCH0OJQLp0yqAR3UAYgMXGOc7edXiYEYB/wkeSTh5jcVVeY9uhWXfVCrQAwK0Ak0uMnG7SUuYFCI4IBckC8Pa+lrhormpZFO31tPipW8IHOP7HdVmUYrSOZ4TEnBPIPjldGEs1qndwL+SB7+Sm1TXR/qO48sMORvFgPXpSgmTe+B106GsY69CY22V0oqnlavK8GwYGeHtVjhxQJ0fX6+ouMruFOyRCa5CGRX90xoyLtM78l+K7DwCYhacOOl84nnkU0NS+J1eFIwsdC1aCT85rxH6un8kgC8+K7AlnlSx7jm6NXjAguNfeICYIzj47hraptZV4fHrfGXChojogEyHKWNnjK0EUqO3DKOJXC03RvFBADEnemhYE9uYpzvgA6v9ll6tDbvnVvaVDG9amdHPkvyVdkjUShZc+kD59vHnf0ADkrx530Wdp3Od2IQgGplPsG5bDjAgy+DeWZRSX/kzqxfDU7olLlEN3Ui6XgYRG9DojYEqJWoP22vqDKqYuoPI31GWD3jt522rXhpjyRAsGZR1MqMJ3uXCpmu3PxN5f5jVcOVrvLmBeAWPfyfj4I5CQskM3UzfOUCNirv56XfBtqB7FmUaZI4+1XKkFphGX/eqyz3GOTamErsGcoltJs0F+gFVDiTlrP48jkzJo6qV6QDGBNIV8Mc7u72BmtzqGJJ6QZVyH7rZiKuQyc2kIVTCTwrcjf4w5K/lseE5l3qC9Nqw907A3E3UIebQKZPf8pGpXxX4fXUKjyJlGItG1uR4f7sMgiaO6csDLcB73kTEWB2DY4m9OumR+XyceaJ8GYzAKadJGWv23kI65QkH/JfAJcZ7il/n12pTWYAZhfAIb/nyJo+hXA+q0FEfDbSeakmrhl9r3Njtegn6l/UV1gGfR//Y++hBmsLDn8mkOQ6a2aAchJcmFDQMFNOa1wJoZVlmCr1vKqo0eQJhIv9fQtnQrTixzmdZEFr92P3TIHyv0mX3fgOITvM7aGzSmfxPzz4QBMQ0k74px0PViDtoH1Mo97+A4SsVx+64QSuPFHCCv/+jRVuKLD+6WhCXd7hihgZWetvAbR1ppGjHpF7191kBGMmTRV6DGTA507WZI/PiMQ9nmPDwiGfq19AMzYPn6Pw6Nb+pzZpX2Hg4PPH1hiLozQYn0MquDedo9HXWkrRqFAJbrwSbMjZxK4PxfQIxSL5bEw49IM8Fs0E6gYVtTy4XGvjhkDitaJXSEQieh9F1dlDaol4Lzq32rlol7upbC0HMSoEbQxLqWZBYf8gXpQAtEy93iZjaD3ohvGPgD5wSrCcZhA6Z97YOfhnLet9YOjXlEY7+jktwIJ4d3leDVeez3ejGHgB9qNsgSIPVsR0FjHNZ650O9Jl0gpqXuo0zNL5L27DcQmqy5Uwa/jxhHR2e59H/OmTauHKu49Zm4K8tP1KRxnpEmtElia4a/ENTZqVwMiaDItu3iiPsrzbN0sq8l3rSIblID8VpBPpN47VG2H2fKMzMUD28fp69LnRvCXifVZ+xPS9ifYxdRhC+Io8XvPslXlVogzN4ajSIc6cMaOTrDrbAGmImzQpLQ/hGgW1VgI1PyKWp+YOkMUBHsafSwCnsdgna+2hCuKwOnPFSJ0+Bj2dvHa3to5C+4pzjVXNAZOuRU9YSs269k32vvOFSeREIx5cz0pkUV/nbzU+wcDe2hbhCLfALmeJZo0F2RS7RUYR/pKRJZ5U3PnYCxIAOhwG+YN+5kvxCIUio3YMYonD+6+NiZwENoIVmfGxFcANQwBR4dpcd7pVM2gLlV+UK0PA7NoGNcmgvEteGybfqQI7KiBILdr/biIQWi2ireoMWykL083jEIxFrW/84dwuCPcWizCwXW4fA08gMCgFO0JUN3I1OHX72I1nwtcE39fejU/2YsOSQJGMLl8OCDsoHjo5Dum8YcvBMOtddS+0W9UynIdXehQncxuAEbn+GbD/YjeNMa+ZJMYBNONdJUE3xcOGa0r8UePqFql1zYL7vh0S5piEXSKQUN9V/2QeD/A465sB7COl6DaOrBi0lGt2TiE0uCsgT/cCb85IWLzvS+/8eohgCPQo+RazQAuLhxB2sRe0TVQAeIrcApWPIAyocQcPPDLwQt53CoQlZWV85Ax34ds+uM58PsIbPREAdzYilR9MhIT88dgo9fnX2BT6Lur9yy58X39+NXgN5jcR1ipHeW8oCXROG/EXNpKATCN2PH0bau/N4JWz9Pw/zOBqqaYvZXgmrmVxTOKx9AHdCFisgSIvdki4+kiGRZEv4T4Yi/cKXb7dWxU5tbq+EjQqd5KYXr6HuBFzlAjVAT4KL0I5A2P4wIFeT3HR3qQhVRtc8sgb4c5P5Sh9A2axA63ONFFQDdtVLSSY6rlJrKq7XxtfWHZHd3/D6kXZstYg9CxObn8AtwVLsRKpqyxVtdGSbdo23rzyRd4zVgEy0PuQnnSsMCLke+xOh8AcuxwBe9EgPBSGaOISxAN1W4bmYUiWw/c9w4K6HjEjyWq1a+gXDWP83FXA0JhTo5e3kATA2UumR8guKr8NTxWDBZxRu+8bkCXHM3aKYvQTHRdlI4uoh0nMtTNidYglOa83Zu7yjKgfuON3ZTb2Apo4+j4+t0q5Rb62PlRno06xlxuWsNJFyk2MNxYqWnNg0hXjWR+fiGC+49e6bN6f0qhzAFdbA0CTFIhJHKWiQllYBe/4t6vDYTum3F8RNQBz/vg8TnGSB4nZjpSwxsaf7HW7MuqqjZ4Y/3MXM4l5ojYdO4lV+neJraU3L6KOTUeRfYijqZMfGMAecKU2I/NhIIvieWYfAXg1lSwu5TkadHDZHYZ98//3NbA37f07EB8yVSaJbqmpDMO+USLjThibzxyBSlwKZMGp+2tOB75wvcXXDrkkX11gl59dR1b82LEFdQNCzntPYwYMMuZTliZ7tTljXHeA0p5flbZMDyj8t1dMIvppGNaTDlWEfCBDp99OMYjo+O/oiVF3P0LBTTN+qKSf4vTcWBo9MHIRuWTxX4xaAQy4Ug2YgNbVo8ujPIou/EG11SvHIXK08nM2cipTLr3XriGTufmdWzIEcGqKN1C081yCYblCXqDHGBA5v8/3ivS9wK4k9dtT+KbaMWwiNApnJOtnHiDMnl//PrxLyrH6BEXn1bCjqDPM6nBttMqacfYGr0ZJ0FPQMRKwfS0ZltKT6/J5ba9IIPpM9cnvk3VipQwDGHlsHjSC0w74m0kz4P2HO9QHYC8zQAZ5AzMXMC1KwIF8nB84rwbfVJxLndaljreEObPN0soAE6FV+D2deHGioEHzIVA5JaiWRpNqyDs6rN30wsOE+AegH42V3hcUKYW4D6t/fjRtk2Dfgmy74nx4eEt3RsB2KJA0Kb51AJT9QXbNTXyuY8hpXYIkQ5WCmbqoGw61j4ykf5XYStf5/ePPwniWodyoD+78RF+7BBs69cWvo+wdMkq+TnEZNf2m0R6PIOhyhZFYiYBdav/iqNa1ayjrQsGptAb5q0q2562k6nOFPTVguX67YN2BB3uxEFCe8rBriqRF0s1XauOgU/5NU6O2DVCIDdzrGY/h0dp/DbgqnXcEpYNxzlMbkKScQNUufjCzHaTxtw4K6Tmz+EkdzldVwEaGdendfRp0AduQ6Gcv6yp7AbFtGtY2r6395H46xVKuzqzuuqe29WYZGLdAGvtnZIQ7k9xbpmbHkQEGchWkoBrO6NFdAPTncWVcEmgcfb/IzEiUUr6elUpcFz8ipm3Nr7IpMTFyROY/7Qox691mTttd2KkYe8NT/EXorVCqe4YeKoqsaCzmmfsV/PLyUhe/jlX1kt3AoLi9Ec3D7kQCrYiYJI2gTd/FIERpr+C0pw1uIaU9cSGscL6T/3Vt0DXxNw8nQLeeRLo7QkfqQT8m7NtB6qeczqbQRrmrFU/BS/navAWRj7da+dqZKDQEcgiGT4h80wEGdqx/Ss0VTvSLgmWfUQxmQMRAj+wyP+hAeVT/24HWvJm91RR4s87YQWjnjAOrJQeisr1DC0cfymF2CNtgDXQw6xQFwJHVHFkdjIC+GK8sXVsNDC/2TmlHXe8omLSWRUXbzg3NkX6XiZNHuo+vVI/9fpNanq/qLSRw8+310UozLTudSDs5MYmZLX96wtgbaHbj76RxScFl46wROQPHNf3rsM7BMSbPD3tHodA3myP0JGmfM3iOY+pFOmqB7odkddKn6dFSNNF2LP0c1UfPEzIBOYOnS0WFCU5ptBQYVIVZoBqC4AVt5Zqx38kteen5fgIXCBhuxJY1+fSFAeyoBHLc3kZFOBjRGX43sridnoLE9qHg59+8FH3CRZ+0kD+rM/4fmYjU5Nv1exiv00cyoGSX71ntGdPA2dJFTWVYRVfawIH1WsIIbDgX3GuIZQY9qX2k/AvNdkv497zoAIZUDmXl7iL8eEJ7CxqZsSMAQUu3vSRVRWJnqAlrTrk+Ejrly8fHcqXNWK31AJGnB/rHp5xVZU+K7Dpj89P1HdoPOJbiROVX9TJTaKIohXs7/YR8La1Lyef55IUDeolrnZZErUOjxnAohIYPGHsKbKhMEHurtnAOz8kQGXI9MZimK4pI6XC5/010+kp4tyi+a8SBdMpwJjnlqS5qWDlN0dIFnQ0TKRKBS0xu3r2SXO7dBdrHMCYktfRlOmLA00P3vxfNvOCvNNqduPLncRPZguIXQn+KtUOv3PE3fZ7CjI0+Qr3UB7rmNI6heOOj1LGzRitMNvOb4wii0pGfX0EAnYyFyi8pIjC0sQs4Comc+BMaWbK4iSK3iG1fDBgQ/kYJ6EW6JjPjwQvIg8EzP7/cGGsHZ1TyuD6NtJotFR2B93aFmkIIAUzZGgiUeiCn6ZYhqnbeePs+rJ2ChJ12cKzmayB5FKeFddAKxeiYWW6YUsaVhJZJEThCU27Y9pp+U/5t56EmpGUvra8xrjrrY8e/A18FNUTtJmXEXEexkcIvwDOSoXJQOcdvVFiQna89NrQ+buP773s2oMaId+wOm6bs4u88N3YKyyLpCuBJOanv/Pg41uiddT8aC8HOP2eHLa8wXsOiGjL/txOOSuKhXiqiru7JcLQRkbU1CBwPh136bAVso8mlRZixWUabRu+KiPraUlsUbXNpAMAEYyd+bejMKrKrbNMi4WkKfkxv/yMKxInKdJH+NZnGMDMdHnNFUNWMBcxkZmSfYg6oFW6ABCyZCY0Xpt859OSm3zWdWI3ComnMFrupdMlTd0U3G6G6ApF/Zc5biXSeEjirU0+8QZVtmnyrmBt8aDEoYKisQzwyGH/hn/TWzHw3Yk5e0zeGQI32q9mVLy6vHkqzoZp3kf04gtoENszxa1pRik85yH2EL2BEoZYYphPxb5lyTQ/u5ZNcIuey15LYz9VYPS/HQQZMQwvGqKGRI7Rvtvz7uK4iMdvfs8QyFkaTKV9/HQuhsKxP4RjkKJSGHQ14YdRIDXhN5TNgXVPgOM8mWwzeBmL++FyMFgb7oSojEjax6ZdbEYAxMrlZ4W1y5b7s9eDjiYzYgC30FxRLyKqtvjfCOIwO5JAQ5lN4eOVk+B01zvDmZyDWkUXJKmsN8Rs/+MrMZ74STAO2LdsyLtTV+y+VNgcaK2yR+I9qtvyDXoH67xGWnFIfqxKIVOFqdGcpwv2WXfIsRpQ2O/rdPHL+XQNUlTxKqOrDQ6h82szUGbj+AezMoTrkoO7cQusPtkm4D/DFDzG12RgEy27mUtRYv5Q0JYm1tPULte3pYwgy4O/QDUYaBzjTfd0JRTdt1BdTWiFhMqsGL7x8gMc75DThhmZtgiv2+sLiKwhDXPmzxoolfxi43jwazl8pcJk70gPEU2zeVcaRLVXYXbp6blTGdxLPpoeBmHiawmjZmbEWrU29Ei7RVYnXGC/5Po1b4ZW5M7zZ69n9KE1LGs9MpV7chZlK/d2lm1HAItL2/Ky3P9scvwD9wfVIbZltW+yrmBYzZz0b6DtkQ4xbrrTgjhqrEdm40cUDNQiFy4u0LGlToqqI505fyOmQNU+7uZEUF+F1BT3jWtAz7fvyra59Q2eRfgDHNCIQXIRBaHx0XaRMqVuCr1VNYiOdHLZ7jtFWvlBTr7Jz/vmEpQPbUN2B6KlMv/mKADMHYqhleY+0SOjn9xMHzNrjtGpEk9gRe9gmCJfCFpJ1giO/fEN+1F1LgklP+OUQwadBgFMXzjFhmnb5wjcqmefM5Njkc4LzKeouSCWzGjJijdPFcKYFiGlC1MEiAWKCpmU7u70ErKK6nmsoApt3op0S7C2mactSYT19iGtd110NZa3XwNoolynJi8QLCjn5TEdtwoGWwJgGMnHyXO5qoNoz5mjTAqgL4LHua4BoJHFZ4YEtmcBgh+aaciQIAUitnpMhOuM4AF3lnT4VN+r3eOIXEei89hk7nkZ9jIaj2I6mFTH1Gn8PlEJvygQ6IL6H+XD5ZbnsHcEoVh5f8wx9KxtvB6jq+MR78rk5KYJQsGVcshRAbL6038lAvT5k+YUc9Ito4gpIqyeZHgmmjxtgnP6ZV/A8koEVEgAy7n7ZNwzYgIyv4iG9jKLdKN4mmoF3tzyqEnMZ62H+FfwVFPvZulYQapoSRzWWqy6jzkZ9uSP8KZPHDTw6lwVOOhfzYiwAAUmK1eIdFYwZHOeTcHNN5+O7I+HdtLRS50CSOlfv6aaNZsNmGt82zSNvKfPQWlKOrDBwh21MjMFcr8jKtj7CuS+jfEKHIg8++Jd1xw/jCehfS2wv+zsupImz/kkX2ZLbUVH99abIhwLwUxnDSOVts/UV17gRnL5BjUJxReWrorCB/3L6c94qSL4j6SbX+XEsY3l0hLGoWZYGpeMxcW60T/A4lqpEFh9H7tFWYNb62yiJaBc/86hkYzOs/ovrSEeYNdGI90FQnq7xMapihLvQd5/HLxPi4+ZBPikQO2HowW1H/8lC92FdOJe2YAfzfJ3NZfb0hG6+dInjXko/cfxSWJ68dnN1jPXrFSYkNEYuGzzggUVDEy1tIvfu3xHPW6aeYuLfdTJ9psR6Hp+B5TcA9009PHIl0J8Xvjasyi8rVIdRPCC7gNK2rIrW8+TiJ1Nz5xASzLCly6oOqJGxILfdyI5VKXoM+LboCHcMFoCyj7Wd6bq8vTIEYtKHneJRCMruxApevp25+HUTogIfDjfwBzFAzk7piAoJo1ArD3+fZIP0FAE3Uo36Lh4DFxH9fTJ2dsjM8AnXk7rkPbU0qZRw+LtDgt2kx3eRyOVc/b2c/Nb1c4+wVweSlmi0BH120qidOf6yYUbHnCxc9JjVt68bp+d0yl/jXXL7gTmbbnx+NV4sgnnxhmxnljNr57Hwr07odT6Uf8ImNeqzsDYaEciU7s7JUQA0EhMvf7zY+Jkl9OQjn8oAdtafOTVbeRsLQ9+LhlDtP44omOaXDa1oEiaxK3BHB8EaAmA5VgM/W7wFPn8YnoLRfmOIVFYRAwZplODS8sKvql6KCqgJShXdDYEtQCW9BUj/TDjx8JR2lnnytPlOXtj5+6E0y9iQ5cbE1Q6WOFiv4sv4mtdkZirlvVCQ62Bqflp4/JSVqN0BEPTcc0fw2q6KqwFwmPeXVPAZ+htpYEYa0Xk293H0pQFN+TiDOIa+N+3gBfUWPIy7ZRIpy6G1nurpxczz60qKmhl4s0v5Z1nbF5kN3DfOAlKK5QvgpTCJuV8vdfjY7n9KsKUIZC5cHvY8bcIDvfOrr2hCv1NuJNrm0gt761rn79aPm409eRn27VUhujlmmfa8kGznZM5cgnj3OpySAXXzSnBWJq5w5/DdlU1qDeF0TCjoGVsJM60DGJGeN4gIW/ZCBIDuKelgoCvs/3l6EH6w3wMNmp8lfNaDC4TWHximsWF3vTrnuHbwCRKDEsiKxxlY9RTNrLCyQv5twlUVdINqKvKwWOhkSROWK2zv5w66wjFkZ8IGu7W/t+pm4AHEg5T9gxha1rK9vEC8P8LWW6BheMHSswrto8bYfbVu2IuglGzTep1EG+4eq720Ig9GymNAOLH3Yy+JAxPSgg1qkzM7+dvJdYQRajW10DoWRG1aaP8j5GsiYW/jfRRqegQEEjdrEB9JlwPo0Z+IgGUFYapb1o2IaN5fVLX/21AbLB7118xsguawLRu35HNJnllVfo0x0xRQfud9coxCWlFnNlJ5bP6ZjLIYykCMNavHKNi1s7hhfsEe2ieh6svc0c1NtA4/qYeNAeczUa6mNb5uaMnZ3eHL90AHxB59Yzybbpio/eicWYeqPNrd8To/9CztxxfdEYPntk5gyvpV2oRCtCFQsyf4pmvX5i5szcjJItzDEox8968LmaHwsgZnM/CC39IMGnoWtH6Ou85kbSH3cuC+BbEvbXBnM2iyLvipLoW9SYPy0MYEaaqsy6+YgiM3Eq7oOymsK+YsQXF1x7MonZ4jAfmoBEMkoVDZpsTIjn7aav/AuBDn+gLeCgZes50Vg64yKmUdQlfUy+8VKwrYNoHhY30QmH9jaMxxtgnaQBFvVaVzrhGCuz9s5jo5z2HrCSq/rW9UHwTH8uICJNa/YqHXPrdWawMQdOdo1oxbs4CxCAIzRBaG+6bjI489AjC40pq2Rtj/hroAbde55AzgSKV5MM42IRM7TxaaCgvZStTd/DX3Lq1oeXkP/2IcaE3kdjUyZGDnhj+2RgPeYqwqrO8ilLMrS3mghzULvJIt84uA08fbJsxbr2+p6bwV4J1dodBizGQgsaHe2EpmbpSj/YSx8FPm+topiTDtuGriWjb/oLSFlA4Jcm8rS39QY0030mv8NDG3+m9CUzxzrr4clOoG0jQ+6dbyco+2KfnUZSRssYAWDsbqRq1HkMZAOm3fJW5eWP0PYqiYVnnvujBf3q69Tkl3HLDxwaj4R+IGT6JcBaoDmNpBoWPPcKhpQ/Ksf+FpLoFf8Ys/2xWNMwjshLn/KbALP/HDezGyBM1+G3ZEvWvG+UKJilP7M0EwT0awBedLjOE08RHmQqI7FyspQ99s/a0dawEicdiguRz1uGMt/A+ZiAVyCJpVX9rVJ3UpNOU21eoLCl5bwFq4VG+rYQNVchtYBZFFgcp4L+HYzymIVcyh5jyn6Is+PS36JIxldStXfv9ksb5JGgXByee2A/JS8uB2KjNqkzksrGcj+7OZ6DnpMWETdr4S4sPhXPC09MDn8x/4/LAz3O2ymFU0nFACKsHNadg2k9lrj7M7LfMNKevFqWsk2v6QD2FZuH9U7x9NBhzAbnyis5/u1vTe08BBpJAN8HwETGTk+AMvUJqpANXQGig3oS+EEkcQPWyJk1mvuBpBzTdQ2nHHmtol7ZuouS9M/V336diJY+7Xb9CJQdeELxKnbXGlHplROl7A810qkcaCgwY2f61hYutSGuHquktuA7V1Ofjxz14KJtAtUw2FIhse74PYfc3g9kX4GnRby0vMfwu5JzWrSlQUJ9Me4aLvnFtxpfzQZjcJhjDRMrBmXb1upY7A53XyWnTIZgC0wPUT/udLTygdB4CgwUQo5eofXdyorFNAWvsCMfyL80pJK6j68FXkqrPUuwKhHdsUsBEPqer+A/zpWtNjJu2dhgv2Y4NR8VWBEVcJkdJWmKo1pTqn4+6EwnAv4ks9yNgKL6b5rohYeOtwu0+GbG+I//l2pRYufxNUViZkAP8MXaDu8L9rd3dWSPyR/mM9MO42ri/dzVFUg1TYaKOKt495d/95ju/OVT77bMa8oMwFyKql2sH0DvHKSLuojdZKYO3rp9TyH18cZT+NH8T2vXbnLN5sE6Y3ZbluRDdkMdD+lm2Q2/5+bIv8zPB+htwRKj0nQWg9rWHfGA7misWuDjNCNYvPa7453reroj9BcAOcqqDcgN5j4tm2oX9zUW1CdYCRya6/GdUcyVqzNcNETlmdk6QoATtMWRIjOlVHaZ6nzCyRRVi0Md53yCWIgaPl8a/3aFORZ8c8RQ7l7jMG2+7o+6l3j0n9uBCyigd5e0079yJXrV0GG+6Xfor5aoaacjGZFsyKoWTs5ghs+bXUR3lD2VTmjgbrMyVXqF5MUdGxlXvrmTPR2ehmYU2L6wlGevCyyrVDrzOwEW9RaNifdqwMuwBf5lYYc9jGl6F9rlIF6O97Utv8Hdpggi4FISVCTS0e/3H/nlgDhhZYTH8pAnHx4Nq4OkmQK1iqTWQ7fULwkGfRKXCKpQHe7m+6o49D8uXoK9vmdrpIn8tEMMsdcqlN/HQwzUBNeOiB+3rOQki3yrb0Wq5YiAKjjWKkGBkqXdqlYfg7E5DZOY5Wf1V8BdiCXN9nLyLYr8gTB+IOSbOA69uYUJLNxz1NyN6b3iu3pmY56vaBcE6B2EYtSflIhOIi9UL5cKajE58YnY/uXgvCuCpdzoTBvkClUI5tVTheUdtXu1KS20weWp4UCZUnMOPTvg4Tv0mICz5bKtNMexa7NEe70BfLQF0uSJXQV6BV3NnQfZzuD5+3v7Bmf22syTVeTGcWM5vgENXDdeVLfk/BYawY5lsCvTpYQu0eIngKAV9mrihrOR4iAP2lla6U8SMBHgRvsWlcqNFLZd2TeHSebkOQkabfefHv/9EiQSVqZUB4RjquUvlaqpDc4Wd2GD8hr+1MBFYqiZxBnvKOu7VUxJyyOJ6EayBH4S9siEjD0vH39PfigE+f20mWwsC2Ghmz5aBsK4lnJYdvUSa88OW60OcqUk6S/6RL2Lj+GVweBU7GWFKgo0qj1rOJgDD/6fImLg5p0gkSyLeFcbxgJW6bjynk1zs00ZFE0UtuoowbSYlNuxq9FIPRHIUuuzDNMmZpQgJL8se0YMvGM7bkVhCXAThHubwLxAehjEkiOr2D+pSEUJQ5B27s/2rFnQH9daUlP7ttsUq/E+mAYtVAoIsELIc6ymq5Yr8W/MXQ/b//qpIzOU+xfEReW19rT+jb+4MPq3kaq8J6/mDM8KkltaBwHPraA4AjiKiI+R9sQLLBW6S7TvW+KkAN/R73kqTgLrJWX/wj2TtoAJ2QYmjfvwuf0Cyiq7Gu+kaa7OKv8823uglO/idHVlWlgHNJXwiFZUfyolgO+adSSJxPGP9nJz/MIEvuPuTng/pRF4teIPGJuTVpRfH1fcwpysL1weR06M1M5Aaan9zWJxEmdN9D6ievz5NjO8WBDdbxZhwNpjYTBLueJ1y0Jt3kbkzgQRhNRUFJZGYLHIN4iWX82qJTIYgn4sIL4i334MKr0FYGfqf9Z9Z2Yi3M5qpuDdT4Wpy14SUO0jimWjc1rZ5upGRrU8u1tGcNyl22lnoa2aWruKneEJkURE2F7RAzIEkaIHinWyYQhIGTveKB73H6EbRL5q9gbg/Y5mnI+Fwpp+AWAbS/22ePmUIrpRetSl1elbP1TiAVQjzzE0YETWhHigZN99Ebe0g6IId2FmFvSZECXAv2dgcxbQFc7Pl4IHBN28olaSYcJ/nFsHFD30kqePOdf34Z4RoR5xfwDhsWNU/Ghh7yTdOfs7eD+o7u42D6/LkGTg2PQkDGs68wZEXg+nK0u5mOEIg5e1rZ0OszIbgPy4wev8t4kXjwbOmJNIsY7Vgl0BdT8Vs3gejKFbZmt/r0TT4+qIvEoO4YIxejMZTClgALLnNlEWeaITBvG/CDyEJBJEMhJSl0NAwbErbVbbkYXizrTaPoVqaPQ7kTJ6xqTnWy7op2PtOWd4xU8aMda44vmLpYwrphm5ZD4gkATAapWV3dvBDV6/gtrzhQRNUrSUKHo9xtqFWyTnQp7IeH/RANnhQi5l6dJu1xZcBUIt0Fn/cA/FMUutiZrkx1wM7kaQ6J1+VebYriy6xIlo/hTpJutleu6YqLGUAmrsGNWzzojettyqwLuBgk4PKmRnTQvZUJ3OGu2JSJWG9l5AldGlz9dit8fRhlbuv9WUaD9mQG6KDYLMpNczeYyfqQxBI9KFN+D4ZpNrAB8xuCyYv1OZ6C1nk9pgdtrgB7ddzz/Z/rFnqy1Avt8RjRGmkXeKFC6xtz6q+F9xShtZYpJMNdkcB+8uNCmL4EF6QUhL/Vqx3rrkOAAXYRkk51mNVEXw2MyYEq3LoxY7Jr+P0ueGoTFnRWBX+ZEZz3uQgCMDervf2D4q1rjdIKJkINOWI4WUiwMdGAtQeBJ8TWF/oKhXys3UCNb9vizw73GDwFnP9CvddVnp4XmBPU+7KPeoieOf2fypj+KA4hxsL/X/vOvoeocqSvngCwrM7ElF5wgBrirtfH9LIXWO0Ms7VfXFZWAb+ZzJ1edVxZMhNQks3MFr38jY3BBljtes36bPWbGaij1VwCjnDPimU+dcQy+8VSp7uutZA+b+RZLe4LdtXni41TzYbPfJlmi7KQRtne2X6wKmt5dg2QjnCNqfqP8/QGzoYgV49dnJQVwK94tH2Co8e23AIv3dlcPTV8HejZ3rayMC54ySskK9xwrQYt6Fk5CUlEoiWd2yS/x8MUx749IKN0B8fn5HncZ8IaTX8r/hv5xml4/nN1tH3tM9/H930RhadJG1O6RNgBY0Rjk8QKBxvVHqbJdqe8c1GotlhJPMoPkxfXv2RShqGUC6KnP0x//gPRU0Q389SBNPr3nP6liMnu+C5SGWEN0wViW79z+Ed+nRjCDCOubV+Rg6+lwcWI13RoGXPeIfZT+kRtS7huxO72VexUS3QGmAuZ2Hnq+B1O7eT+d1RWLDnDPvzBsXVL1t3gAw0S3+nR3CtQyH2FW94QOBJw4Y/8Y1+LPMXXTJHgWMmQKRYGDQs93UukCdzKiTZgXiTs/zhJaBmhttkHauM+QBzyYgq0+sD1lzjE70NmbxBtIRqB7xePtTi3sJnwmv1HX3tD2z8rO1yBf6V7+Pf1OfABH7IaQwrQ85NJy6KvAWJ/VWElk82AKh/rfNJEiAj03igvcRGgAyC7cG80FCJYuBrFbRXPZNbVbyvROpTSb3o4LInTBjNgaPI18/nhxx6LNoEotp7HgDPwWvnCXSwkk80ihPCvMLvU49p/kpsEdeT1t48VFwyhXVCm4D1q90EUwHwI4AWGhOOvCR6VSi3h/DrY787PQ5zKb8itwRYZrmdoI1DehqQo1I7XSsFJu5Ew4+WIv2m5rb63zchUkZUnzVj2u//oYMydff7Bm1KwgLGcuLwoJ7eaSqDYAYv+Q/40yDYwBuEUPBakf9mEBDG6PWKPugsJ0ad5vf+gYW/GNbTwMguaPtjkCopCdWzIV4KfwE/jYxR2AVVL52RK5d+XnBS89IVMWsDRcqHVWzk6ZPS7qlEiXkuKOrh8y7yHeMhG52nZWjh1JWoJYF04Pa9S28pysVr0HO9tMaeNfTaMllCLLyEW+YSIPMwvPoYeCqJMlH1RCD33tzBK5Up+GXUWKJggCvQTtS6uKT6iRHlf96+CzVMzD0oYPBYVRRZFAMjXESij5dvw2lapkMP+lEAmQpD6PkvFp5MGykndXVHaw7DB+96xAfxgEBrYy0NdgvqPU/V1PpBRwLQCZU/NsaOoC11g4w0ZVa4Z1Ud+8sSrCjsOWO2SrTV5otqLMBcnyXI69XOD554G/c0InRo2XwBhOZ2/xapEbVDABTMtW/ZWEJ04wxFsQO7O9727NzGAKEZ6uZc/fIgcOeCiDclpWGkBpam1xJqmh/klPSaKcj8O2OiaHoYhU+z56fDZoGvg0R76Bqk87PvKpZXGx3b7GkqkiL5xXPEStQyf/7gcJ83W+cFUBsPBFcs6D/EUKTIPwuz2/hcumq/Vnz4VgyMpWRZVR7InxplolkQJi3aphcYsu46b4yyN6+rS78fQTzqs3cYvr67z6GA6crAQvvOQqBw93cUNUJpcceafOOLTmUWJI9SRS28vXQOwH8gPesZUUIpURLP46silJ83sqSzYXn1LeAOF1hUDG1ywhChJyml+FyE8wAgKnkFXL3GQgkif5cQuFAFrfNJLwVz4MmYOpZCvnLwEoEUpz1Cs88jcOt8D3yeHGDZUPw80kPVBWXaDdaShOMPyS+Z88LOUJnOanHqaCjfN96ENe5IrQwdGdQHlfHXGbogsLiFP0cn2nn+hq291nRRI6+LNUE6IIZCgMlf9fz9ZDYug5fpYxMq48JjZKI9X7mO6jipkb3b0n84ivc9fUVRevQDRqjhTgnYx6vbn7oxBA6dxdheirKcjM42OaVkZAtEES96QdjEDLE0S5QVay6oCkOg9rJtwCLyj7ZGtlrdpS/DHWqKGix2ydBcv159WILETG1S2/a7KYqOJMG/K5XC0t2PiDQwaj4avq7AeO0asAkv6HPDBtu/F7s+K/pkYsTvBQBKpsayjHXh/6n1MI7j5DvHlbC1hrsjPGm8JSMyxJ9CrnnbPcG3bOhrcvEgmu1afr16zUulRliic2TwHWYNBWCZYGhx7LY0ZeBpQ+2gcusGP7jBU2GTxVdCHfrk181GR6yX5vWGSbiGZtsoUJxePkacswWdJ7UNhNPZS8ldRdkRxGPVdgBDqrF7bnlgsR7Rvikn7I6D1+2aSKytuvrYvBOz3anVz5jCGAuFWM4oBURsXJH3wU8o7L3y7AAQrNCe3r83a2mn1rWPeeujYx77Ps1GVAfaOxWtwdhCAY138SjcvQeccdAjkvQ3Tkozr9J12LAfBpXvWWGZU0K1tKRZ9NQapZAwaETOqnh3I3FBZA7QomCmOphrtacBkuHfhT8z1POYAFyNgqNvVhT5Py6Ak6XvDLD4vmeKl3fYS0Gw/hISeB17yC7lUbHyn4+qRhD+2jtlklQx9GU8Nx8h2wj1osX8kNvQZv1oTbXvgc3aJILFa6p7u3SGgxaibhC3qhs+eC1+AsLmnY69gAacwxzinAy135NZFTWGFI+75VL0NB9ST1A0B2xaQwnvSXYak6CfhL5g1dcmjv5WNzBdGDSTR3vhQgRYf7LgvO+/vBLuoqYNJUX7bBdjPjd6UQyyxyd9PyvceZN7CDbI/5CcvIYAwm3WRKW6mNK1NZA/w/LzH1bL0vg54nOp1pbzT7hDNydoMm6YXTKxP1aDQv+Q+cWdvDVET+DhsWoZZPXWs3Dig2ftMlnw6U3WafoH0x2Po6NZiPPHDMggw1pFFjv7HfUfgAZTx/v7nLtlPu4mZkbwkmSJ3g56ZK9quCv6mfJbLxOKjiebRrmDUHC2sTvNWNXElQdMufHA9ipx4PDI3CyXDWU4YT1aKCgg7zHcyF0dhFapcnWK4AT+ybUt++cR+0hCY83MArR4jba4pCzIQuy9gTN3krFBAJgTBq4hFP4t//hj2AOYGtl+kgOGoTWFF2cHAsP/xtdSUo1saH44F2R76b7DESwgkJAA9SSWv5In6AEBzYMIrTIkmBOznph1PX0PWxuk90VkVFyXizOAIU3KDFcyER2yoYtT+ARlhLsy/PeFT1d/f9b2S/Vjwhjs4Gwr5jo3PaBc6R+olatli8LzOib5Chg4kzL4F9rllsL5mWvObJKtEwnWqoxDxq/r+m4fJ3EVF3bBTeAhg49HD+J1ebHnCwHe2M1qkl1rQoEBGY72kYTpYhW4a6csglZYjKUYkDYOZ0QdQU3VfS/D+/thMUknCJwpbEn6ESSiNjXKiTDqMIrpAmxmoJfOotvKVGJ7SLUh3GHd5bvjsDVZw9AjqSU9IDouMibvChm+LW1aOlA1jjFRO72FSMwKFrvzzdUtz5RVixevz/9YYGNwh+OZxVFuRdM53cASRTFaQS5uChn5kmclpq+VTbX54+qyLLa2jD5Qf9oeANJFmbRYkBvjXMG9FKlizrsQTxDntvjN22UFk+7lserD0/Gc0QrXWmwdLFyajtEmphN6MOSlMEitJPMxt60Cc1RwQQcehRZ+DXNzAvD+cdpCm4C85HlfcPTdrpOb7AEEy1ie6WfR6WeBH/OtDcNVv2Ye3pQyL5zYPGyA0BRgj9mQTgESfZni6Sirfu7Ccy+rme8e8iAOhFI/4IJj+GnPMDXIoZuWK26BOttAzkLDFg4WTbqIPd1KcK6F5hOkK5egRSynbR+4/nIoOKvJK9832zfoPhyrSFZlfhIoFhRyM4SNDFTak9/ZtushV8u/c7moCJv1tK9YzoLgbIawe/eGACCTICio+PMbYO5fawGDEeEQVPCOd6RqhiATiBalgIrvk2UE30qlWzkT8wo/8KVzCgdnS31ccxopVE7PIibN8lbuQrCLzaxK+OYXU3sRJnxkXf6S9PgX27Plq7myYVpsaZdnPpav9BMSM8iesmt/3BvI+06mEadZ+N3NXjpR5bOy36/rdFp29PtQUGLozarffEKtgbBHKcjst64aH2GY3dUveMDyan1cLGihGJMJ9CtP/uAgfgyfE2lut3kQGYml1izR0oa6oNHzvLKdqx1NYJKSZrLKbTmYAzZy3PlHC9v+OADWneLNC7iLZUbZzyW2+5q15iHBem+r/ML3/X9BlgleAWIM2P+ujIMM/WNfN08JsmlLHWPeI19hn8mKfABHA0IWDrNHejXrOeKF+dnZMyVFYaz5mf7xoaMgdjA4g2hYV9ejEnz7bfbn78R2kQL/7PbBFvPwyEeAy1bw5bvO64KB0a0fClcHuwp8SKbDlK089T9iGBUsf6ivU8DyZUWPq0OKdH83TiNq+MjxX+1KXn/Dsb93ZNzad9nvLIUzLOealO47RZ6YtcP/lmaZ0EQAxc/c4eKOsbtFrdecbgd2T5HTgEC5NQ7mftl7Xa53gegLzlxvWbBO+9ElC5ks9SefctFARCfFDUNOH+uVFSIovRYM+MRvXWi3wdF9gkDVDjbI/nS3v/qlkzyW1/q++HjdAbTqB8PJBw0G+iaQugCPf3MGzL+PJiVlH8NBhyrzhYM7HeHBjxgNsGcfk/lOmJ9IG6gZf/VSAtVeBdBYaxm0pILNUA3PLVjIimZGe/Eq16nhKFHpCur5NkXIv0oi5VnfCF0+UBTrQX9YgMhqYunZuWF68RSAe6YGTvUQY/hQ5Ph/Mapdq5qvMSdpHVNsQBaWLchfQNAeqmGLP3JXBFSeXGlEM+yFdzBTU7yBUnxUCx5RU4QHeTKb3oOCetTzVLOac3DDoNVWXpyiZHoWYPpFMFIV3YExxDXsjTfhppLXP0D1q22Ll8rlmTFDP5CtZzRPZir6cdnooEnoB9aQYFpM3P8NvZTn7AuikD2U9MvXu2Ax6QZcpjeGb18peJ7HB37K1LDcVNNoQulfE0Il0ik4h+AiosNn0YH3XLAw9mMVCiDygMpVpxXqdhXFoxsbpL0XPBZEVfwh7oLfg00J/dF3VWuzUxmnraxK7HM/tMNqN1AGpovl2mBlwTcZ/LA6pUcD/9x5effE0CksdPs6Cf/apk+HBo+J6QQS4dg9CknC4KC9a5uy6AYQ+XXX5UBWsxCusm5mlp26rD2SmuJ7vUYTKhQhvC3sxZ4CtQRMWcFNzFdAggLZywKelqHmWSI4nZM8E0B3QL4nnsgNQ0quWk4orTVHy1jKG6p8FK/P991kyA71TRXVXfWlSD//Jf7YW+isksyMvvxtcccu4T1Z22nPQ8hAt6zg3QLXvOGGTlV2/TSgatoCm0zGzqfk</x:t>
  </x:si>
  <x:si>
    <x:t>TjDoeFu1CxbYg93szpScZuaLeTSuHSM/hBpdykuiBEnksfMzrMfQ1yEx6KJCbOe0e/WlGSEmnlr3zAnMzSpq0dE/u5PyKnF7AFJV3HLTAni65MylExI9bf6hYvzOr84km7sYZlHl6OLhBsj6C/wciUraOABwPffbFMTVxHUvHpU6Da7HJgBzMZ29wZgT8+/Hrkq0AqMGkLun+/USb/jGeWHbEDJffuCxLZA7owePo+GLHpaIKjzZNhVK+Sg8ZgoIOvm0GcOazE2uDOQyvdbpbzGX2zmSV1dLBYl8+fKX5lFEnm+MHmQMksD0co0ZHVdz10AXNzcyrNOnmhipBLBj8z87GrLpewh4M8UuDJZ4pvG4zpKrB1H6Zf2jkcGx1IU5sOe1qsEj76KD4+dymnz/x7cUISV0bNJam1MpIbCtqTvewv7/HQRuMVlt7pv0omZZgrBM1QsTcQlmr+FoMMUk7vKdO5oUfy8KG9+2CXyRkCi807aiVkesSzj3QLjimlAgbDqUDAmmNx+yWbnepqYbdiWJCm9TVIqL306PWk13HGC5eV84gAiNBw/yomKiBkztGaG1rIIH4qi+ToyrHM2PoJhzyK9LIsS2lMbjEpMbdqPKtKr+eGUePkGSsEWi5T9cnI2f75NxBm1Gm3mR6WCF85Xr3isk3qOu/+HxMeGSGJQO07QFI/2lpbExl5O9Ij+TkqFGEBMKjjjVbpCzHe+pEV9FL/LllpiQg97tyeY6SPx9YZ74UEnV3SzKIfzyW4/MEFkHHOxp+tkPWLJ9PDuNis3/rcsR8+IAIMweGGngR7r+OvNq/l8KtNv09H5/Uvnvlv/1ZVWQsxFxyWudmKqJRnG8Ul8j3sH8xv2CJDafSGHzOOGjTym6/SW5g7zzMD5FFWfHFqLe4yY2iMVV9KlOcQCSwdLKTiDfFtfBgGklKWvQPkY4xZb4sgbwgilI+bKDQJMqnMOKSmW+sZI3bbCSi7eqxLcihqGFu058zi6HZyGHwdBwdwwxUB+u26o9BLgXtR2tjw4OOZU6Q2LFbeyuavQEtyDqtAivoqvt+Bo1DC3xQu7nCCRQo7R3KqWCP/IP6PsVRUfwCzMoFlIK+rs7k3+ay0z/udGQYM9q8BWdpgVe1M5dB/yGv9XtCUJYq7Zw7R8uO8qIWHL5hgqYuf8/RbcDgp1A+fJUbszMK8j57/NemnACeAJXswCKccav7nCJrxjnx4/OUrAfazqB7gHme4IQtZwhyf1y8tx6htvsqwLHJKhOVR0ubC8L3+vYWPSQdVjVWu7ZfFJE5IYm+3VRTD13qig7wYlgKPgHwRazuy+h23IgqOCWTcUrcvjHt2+tC8wKiJDeSEviFq5nVJEhDjGcvJIx4utuDC1xe+3LKlmxm4SpR4XhSgDX1CneMoshkn2XwSqoFgSs1AxEBSYHR89i2HXbR3xQQ+ZTlhlWxSRI3/IV0I2bh7+abRidMs9gBsgowC3BenDGH4npSdjrdFxBeoUUJG0yI+t3eKrz0WLMjaGfqVU3eGItHKs6NET8adhW77D0RFbBV/2U4dzZyzJpUM7Nre+wkawsizi7/8I3RtaQzOWHAsu3v1j9/1E4ZJAcdAijkIy8ibEzFNOFIDC9Qu4GGprwxlSlnseVyxXArumOP37FXNQeF2N+BqLV/N+3/mun3RyAI1BEfqzn89yrtzj6Ap+L3Yxla4TVen4A0Fp7RhcLlvVAnDyA9JvPA5QwuG9+WHjxhvdYUs07vzlyuwKxkkwNwMs05eC/nq2j8KloyVdnZDHXqfL4UQok9HSsjNgj+vI6FDs+fXwdtwCjaIkGP7K2izMtiDocAsd17IgkRN+RrRSNxxcPn2qLEXJ5QjSjQL9gpLIrWjJra+XQgJx8kBVV+qelJzab3UjdLrbmUCJBnhWD1jYHZTtTyPUQ3Vp5oL4dezcX+eJshi3faZX8CHW/Y5kQc3jrUxrqJMTnMgKyryikll3fjORZiJRfe6wRQ1Poc85u/iuu01ttxcFF+YAAoq1jLirkvLbVSVcsZ2gyeZDkaQVIKe4Sga9RmrFeEJQZLdTxZPfryOHoYPPbJ5J4onUIoQcLbd2h0qnPWi/p580dEP4wflgnQba4EPqSyPZuQghrhSfmWy7RMwviPUWlhwtS1DgT/7GjeCRY5h4UXAApcGG1ostuafFt8HQqJrV2dAOnH+ZrurzeP6tM4Rw4rYus8faAMRDAhkjLyZLb1TF97ma26toyhxZrfz0x3IqsK9mScHErCdOSgTRGV0p8Pe5hM1a0tTq7SBzPjctwD/wj4CSc5ghDM6Cm0o55Ud4LGUdyNQwJZprRcJV07HkBjHr3+aecFsoVVACdPdyktdQUifU6BrmcS37/ILIrG4yUZeCB1i57Orz/XYQ0/QynAR6UC1p+y6/Yrt/fFYaZDILV26YKb3d1Osw3k3oXirZ7EPjEO914MEvRy5GjMyJ05Z3DkHiv5lnhQfGWr1CiVdJMEXZZTvul1qCbamoCamAIhpUN1SSTgRC9vouRAVo/RsI0so0OxWpFQ3XyepptUAyUVPawdG0obUAvxMQaXvz2qx7Sa3nzGqpsmawX1brpEJV1JuPhF93rTDgmn0+3EwZoqHnf26csjmIddKaYrtL1f3CxOIdImPDlJWApRrbE9DWG6Jpk0R6oVGva2Hz1qCHm2u9NdfzEMazCa9pFYC7mVyc20Whiqy4AwWtLg8kIcbwhotr6zqy7hCm49TXu99wepEixJUea/TF2vDB/ATvswRxUZR1Uvw7tFiZ6K47dRTlaBX2k7Sot4WJi6VcomLw/FCBcXtj4g35Oylg4XjxPMIaetYPr1fpKgoqOUVhrpfEXH2gPS8Y9ecg6GWSJS+4snZuX7eXC4bZuc99DieM20vsuMsqJc99YS1k3kO7Y7WivgLq1nmcrATMhiswoFM+PDI3Br9pNO/6Lk5zzFeHGIvqEkB4Uy9u+oJP/XpOyYcptO6MtmyAGboyKAL5abq9XX9fb4+2d9gA1v3cUh0aYOgPtenPm1i4W/geIhpOXZ3I9Qt5yNCm8IvXE2zqpCKzJN9drpD+jfPFs7HFnWj0wYnXqby6xhXDLkjoTkI9aYBbw6wku/NJB5qGzA3eUJgnAOb+cCh1rMBoM05OEz/TGMh1ViY7qcSwVPKF79YhXD0gNKSKVKy/9Ht+zAyt5mxlqSXWiKapEE8CxWvjcJ5F7qPmXeU0PX0lq2zkwyeWj47v32b89c+qMCR1ZOsJGbHZOxueLKjnNNxQJgoGyls3McT1u3ENI81CQgEzCkKZV2GCAoyf3FOgpIcUpieStFxLoQSJHU5mIxHINDgU5pbr0Afd7QrdOAPRjt58EokmOGKi8NClAwpLH+bMdx4+rTjqEEgl/D3FnC4OQz3BSOGPn6KVK62p5LLQNHaArvB0ePPEnenA4oLM99h0ux812nMWzZKX2n3Md9CaygqV8et4wuWoJ13V6Ggpp28haA9aUhD1zL0ycqFXayvsHmzQ4w/F4XIpiKTIjAPA+8FFG4s0LoWWR2lNnraKYwBX6q0DXvVVoKCTIHisU9WmWmROeausHOqXdshZxFYuoxKwFBPeiqyWfVojas2LNspI4P+ptdFVDNVaSm/I5AkjTiFUr1Avafk+EaYdJp7MHP456yyBTK03Q8V16FT7kyGY0z/OJCRPOKQqs38YGs9D/TL2Nrp0ElmkLcrkQwoAh40+FWD0f6SEVf10iEWEKYqJ7B/BR7FyTxpHyT22LZhxz+qfeSWhpa5aYmlEpRkrxNlbfp8Rw6UYyGJjrr9X/bf+0gkQO946ehmFz12w280rgBmxxO0G6hgIE2Tq2CFWU6rrzqEx+tWO2fS1o5qVjGxEqgjrq5y0XIRR/ZmEmB5NU7d4CE0fLiEz4jgTPZKKiR52Pad22ImY9pIKIMzm6psmOaVkMlSGiDWNYyzXk+Gl3m4/k03ZJ4rEemIyj1iMgsCL+GRcpKUfRsXyVyoNpaYq2vYhWIgKw7/04vqMBS3dXAFsH8im76nJ24rmMKPakNZEi2LgWoZxAx2GO04wlV+LJ0lP0aC06Q7jlU4Zycklkl5vcw/Vob55BHF9eu+Novs0k4iNhXwUPhMbL6gw7i3+hLBmWcp5+ztui/jgbZJbVe6Dngjr0agwkcyiz/6dv9bfOB/sjF+Mmw6EOxw4/K6ZckX1EUHpeM0WLR2W0n5xqCdIMpeg5Kg4RphEYDzMavKjBUiv0dE9wVyq8WKVbpYWjMaSrkiNjOC6xglcIz4tdyhTVRvWVo1tkwjuW4Q+j59sudXAWIrrIyejuVUsWrn9ZZMjfAn/t9kLJJ/qiwx3oGYdJh9Cbzjmq3TznwHYxybqKC3VLp+EmcwHrjB0dK3Vje27DezAFmF10J5bikGeiq9LjcaymtjRlUKIeDM0aGmOj0J95GtXmJ51kP3/4QQS2LtW5ZZ8kg5bFtbuALcGNSUZ+NBGK2iYEN/a0fV2QGzobKad3DDRX/5kTDn5r6vSAn/Lq7lt2EC81FwcxIeO6zt2Dm6/2mm+xrZuv/q82OkKVOckIT1Uqj+6bRmRqEfLBF+GQdWZkMf6iC6QlsKICL7iC3Xmll7+YCf+JStsvfmY8wxZdH90w/Jozy14WDh1r1G02F5MibYI5tZiBRqY+LJ5iSucX+x9BboPurAGbpTOVQoT1rouE/SZbU8pAf0ePxlM6eswtCFomW0zmmQ9v8j5zb5zAzWreF+aBIWWhKw/cgT//hJkdzVSAGmzQF+DQ5LwZPweASOJz7roOI9T7e/0xzHBM7EeaZO0mdVBola6KnmXvEUT08I+6Fddg0QkAsoojkyRP/Fvc3M+3W/9h6V2ewko71owVjU3m7L/PtXlBmPsBlTuEmM+3I65xxlREX4HQxsu4h2TsSsoR4Nx2IPPG5ttDIVhkUVcQJIp0Orj005cI0Gi36hK8q4U1zqOmjrzqcPzTFqKZE8Yau091YkZvBg92/4iP8ODCnhBaKf27G0sbmnsfKEljxwSS1xT2xV4zvnFjiLHQd6VF1ZZREZtC/+CS0N+QIqLMk5GPjnRjtO0V34yD0d7c9bCiBefHxJCFWIXdct7vPXepBATve4XJBj1btnxv8GnxyT8EibWePezFV+W5YtXHMoyTAj3X2S/UoVIZkloGq3bx4HXFPvOrhXr+VNn65EfgIH4n18MynNkKE4H7zTbWU+DN71+Y3E0Bx81E6MwkUQo/3u1NUctx+o6r9cRxiE7azN/LgYC5Z2mHCn+53A2sCAI3pwoAekMtQuCMgAlAJpWJJt5rZPQeEG/+SuN1ki7ffhp3k1UieU5PfYj+tYA5csAzHojG6Yxdcn9mqpYxTROar9bUoVg4VjRIxyTBd99yZcotLw/hSKxKi2IzVQI6QJWagUjIJEAVmOoeCB9gcN5peZBl3g90NrFbrZ0Y0pB5YTUe2BELjtN7IG//KdRVejC9XNFwBlDP0Hstxm8yf8PuRVBAfM0iHhjLR2A+AJwDK8cRDIK6+E9i/Njixk/6Wn5P3JtXaBVlXULDqvHW+89eU6cLEc6iofMgh3q3mApSDxwp9Jo8QLjHC9iMp7D5g9hpzGWarXRzt1ZWNRlxOKVR2T1pksg+zzs+Vct3DCHLn9tKMaCzqvWpNd5K60VL9U18C5dfpQnt9zhHRWES3njTXBuT0SEDspjJI9S/CQVc5+SOemB5Io2tNJkdUSTtjcOS3vt8TYxn29T+bbC0a86OlUTre57AWd7bGQ1Z0p9NaWUCX1vM5qxJ94C5iIy2IZUNBB7K8I0LftkQ1Cv/kl9gDI7qrrEWuSXYR2cq2eO0QC6wPIQeYXrdbEMGH86FvZedyZ41NYg9PwwMPsEri3srRiV+rlmMjPMSuMNBAzFqgnGaUq8zOzrm4yONkEPo9wysDpc8g35OWvH7sp551Pmf5skT/krpqW2f0BhUWW8VkDiJoxzoXH37hGxxeo4sN67Y8TGKAXvnnUcdYfmU0uE0a1ZhEnBtlxruHIcbb8HQs8oCvva5QyMaRGwAziZsyR61VS6ESrs0QHojAiWoudIBUhihsAlqfcA6i6xomnjA9luihKcD++mq6MpziIHxhxSH2z5BVAJaO3DyC61vMlYgGIEKy1ASosrsENhvHSRatuJj+DmXw2cen+9rLk/oDuwnCvjIz/GkZ07HGRQKXHQGmhXAz/8CT4kg+YotWCZgrKXkGQC209GpArJlpPQPtl8ADo5VkGyjX7d776BvoZ4xHZ+VR8PFKBE7cCf5LI9K8oFQc6JDqwzc6qCSviQeEdrafFZ3zC8z/JVocitrnKu/UigvqSiTBpAEobi0pyxfqEp5aiJ+eKJMUdV6ddhbZ+vDnZ2XW0UTtgNqDpkt+FHcTpHCDY1WpSAnFubhhHHrud1RFetItAWiZd+tqeJBvWhGMqXwq9A+1P0bqonFtpmnW1a2vfjStc4rgwNFpK5pGNFB9dEB2kf6R1e+3gQk5gaPyraglmCvF82HjENllZjyp7ul0NaGad+RQnUoqtj7ASZ+A/OCZl0BjIEHAjN+mX+w5b+b/tBkg2nZ1Wk/1LqiNRCzkm0mYr0ZfYJ5UKA5RPT7P2ijDp3qhS9ay80a+A4Gslh/mqT8MYo9Lrl9n2jVQz5RXzu2QwXKWKEnGkRIEOiubFYKE4sDnMWvPqdo8UcLC99VBhMHLUqYYqSKIF2FJqmLLn+B371l1n+K5cF1wBOL2XbR1Bvmlanu6K9v7jVkwzdWtznjngsU3Kmw4AcqqiQUSnmoUzRdSQuvVXoEjvIeLBrsXrfPF/4I46yerLdcWpSgDZQTSY53nKHG1hPe9f21vInr0wTdaMsHXWm4x7RfdkYR1FxlCCit066GXnzfMpUVKO00ivegjDKrR/LayYtXCWuKHyb0IYBQ3TzVXuHigM6DYTx6H4/NPPPCKZvZ9x5KGeNHN7ybt/dNcX0FmseogG0TnqKnpYCUbqFkIulP6g0p6q3tydFsSIvDoLIVqyFyTxyVor+LftacRJVr85WEbmwv2j1xI89Wr0fAxHhezUXm6Iz4ev1bQ1CL4RfB2jMq7ZNMSkkyzJBrQy+eVwCRpj3+jSQa2wCeGDHp0gRI9CkiR16523tXVm4w+LprQ4f+p3265si4ZQStOp1ItwC62taR3rruV9GT6uPXRQ5dwNKxLbWelKC5MlMUKUJLrETvSj2eLrL6ho+PDYQlfiOq5/LEBJS3bo/0YLv+BhOaPAdkvIkoQbx0wVtJ8eoeYQWoSsnN36g19qmDvuFLxmXsjqZoZ6wG4X9sFkIRUv3o4ch5PKUeJMHEdIHmEY4b7XlvdlKNk1pytwvHlgGQaocKnDP34Fgh6woISS+G1MV48J61gZU2Dllk3QXIvkKhRG6SqMzp/N9TQc3QeZ8TScKl2iZ5uIYs3wwo/s0Nv5V1TuX0+WWAAKcUlN4BiUD0XrmKcK3kS51d5dyj73YFBLLF3mE2w3H8UQnXgfNoz8KBvk52OxMmVCHTYKUOXiCOsIi/6nDc9PLhJGGn3iBJ9KIIs5kunqK3raiqRCxJMG84oxceE1MnZ5IF1jheyDT10z/6fgOfTxth3gSHX/0PxPYXA6LicqX+MlLBXUD9o3+OF99gP0bjmNIO0pw+7MmCuH27rmpTP5FzCpaOeKWessqJG7TzvkGH3J1EHa7rAJCjz+ceHgM/WmUQSWxBi8ZbijDRGaJu8zQtny++8/vV5J61fL1/1bzA5jQBBv7BQf0PeAME95CBWzA4rrraKg+3BsbqjTdDiMmXghKjju/ecVRIi3S/zhzz669d0prEX+v7M5uM21g6wtJ0x7Kjd7CQJ64JWrqbUcQP/jk7HoNCh0qN/eOB0bONDBo+bFszKrVSv36BeKJNN7vBlt+vaOXx9WRwM5hOXnwa/Eg6zd/f65IJglkJNBG+XsGN2TVtEP6+FAyiklNVYNk6NO2jDUNwhIBhwnn13J1IYbBS32t+olHdobuNeqkTwNL59L8bQKjkUeXfxWbYXeqGJM0cuVXb/7XbGCHhtH7xr1wJkvLYobtc0/jwVfJFpfL+ES6hHOddmTmFTzDIU3AMusc0MVBoOIwTq8GTC41QIsDo8fy+Fo07hd+d0xsbmmsCpoeIrcmoGyJWqXm+coDYn5gWsMFA0LAn/8WtEZd2DkqBk0/K6d5su4vYt5A20BBjmD/y130KaFOrfia8Hg50zoEIxUswGJc4XT4ULmaug8bZjzCySXFircViP63UIwpPO9uB3vZOh4iMAWvsGZ4rlP80NfbMtkgl/tUS09KsHQ0MBHESOgJOSRI3Hs0gwF4Ww9SUpunr3BK0LCY50HGDjQJRshbsVzCqDen/re9yoWC/ye/PE50sQnxML6HXzytCkqEfs9EKnhao7uHmkuhQtBy6+X9sWa5SnEwPnr2a1T+3n40ouvjLoUmFW9YNWWZr0b8rUCLp7qNYSabEDsfAdP2tvsGEKhbmt/GtnwkmNKHP/RBrpA+QcxyjSus2uVq9jZ9RrbSHfhiRbskhENZN25l7zfXjVegO/BGR2NC/HPSPPR3LwZNDSMI3UkN3kI7b9E68nrH/NKgDi/0b7NwUkb3JJxrC+5PgLRWUvrVZqiqNQdpaQ0k5XP28JEbCq5sINAiU1S9AP1qtVTVl65/QiJku5cSRGu1QjJifPDcexJSjkMxj52Jv+EGpSEvORYkaj6FNPs30vGDboTGrk+1RkTt+l9jWKvU3ubgoF3qHmh+kiIwzl2nKL1mOckKCP1Hn0ZF2mDzNwk81rSBFSOwlbGlTWhtbD8Ew5vqsnhpjLDbV+9tXHMJGJnB5NHF4Uyk7dBeA54pRpB8zfW05u4qYLvnlKOAdIuLLslzUnO62lC3133eSxo9j3d82jEDNnuF2C5q7gWNsLhbOWBK8BXW2LMA2U9uh2I/SHwia53jQy9iwdFHXI9D/DcYgcbn73Xccsv6FVHTTns/0JTFe+lUFdH0gzHNczULnrn8D5SdZa2puJcJVoftjF5mJKjWCJEjIVsncjfL0riVThUbLJG9C4zccmlkccw+/bfU4ItYQPIpATcx3QCU0kGwfKEH0RHlezrkVc391azQtt2xrknr6QO4D5CFD3dBB0JDQw6sML4JJ9lOOClvXdxRCZHpSKo+xtR84PdJbCoV1oYSiYqGbB5J9KzOtsyKFWlbcyEuekpzpF1Fd0plsOs1eVvXOuSV4mJZgFB2YasCOgE3ZLjq4o0RbrHSHhxRRVdm4ZJc7YJg/Buc1oWEiAW2TdskEIH5PmUUElVnVxL15f+b6/M5yCWQzRjWoE6g5i/CvkqFW+Z8NLw50STGW5lzs2XAx0IkfUwdaFinv5bBPigAbNB5YKiRHy+qStjC60BGj7Ih0zI0ktNROesJnte8tfFs9E5/SFUKDsTxSSUksS4kBjNXq0h6veMpb/rHBRx2jGp+giHsvbcR8lcbHmIxbt8M//hQGh0jZfeO+YtzOTACPBniFdH19vPbFtLumoc8EN4Ef/5jWJoboH72EKLhXfFz1aS361l+MUD6MAs/cn9o3n215P6I2SoxMSxmOYf5J21Sns7YCeJX8uswuKAOf0ObUWYR6XLLe5rKJ/tqIL4/+uNVqYTExXo8+w5h4DVDimTQj+TW4vfBegJuNQHML1a4e2jSw7w0uDyTx5RRLUxiHnpQg/jerlgPsdKDWuLBZ2FWg250pM88CYEx7UzNKd2zjbg5W5gF4L1lepVNNC5dgYfQ0EtG3EZ/CMbarRpDiXhgROWx5qBDtHS0epM29a5q6/6Y3CdcOU2KK4mDRCSXHTlg9nL5f3oT00m7COdBhoq9xvOkrVFNMbkC+JWsIzc8PQKiEfwfFZqdjOT4B2V1jTzUcrQ4DFBTCEDDtMnlG0P0ozqhmr7ldPxj7N6ePkVIaCPLMPAaOAwOkdW/AKicWla0vJMJaDKSW4UkzUhosx2jQT5Ys3MaXuGrXSHqJEJUm7WmTGwF9MDXv+fAoaw3mQKSau6TkwQk7perpfBzUeOpn246Ikc9iZ1f0cc7fgxiJxPIciEYBjup7aq2twgBLyB1JqDcVgAomSRzrOLA/HmW3RCu8SoDjYiHs1A2fZOXcwMuioItj8Ury+DlLlc4ERB+WgHDBejXH0VRDjb29swnHWKQ5Y7kpep79A6ZtazJWQuW6aJK22zX0Fwj/kTOm9HyjZ49P9cnKM0z2moraDFuC7GyETny+VjkAb7GSanYQl+na7Xx/joE2uG0V98Acb44vCnMA+u6ooLpzqw8ZDCS9jp0ZaVwuL9uCFmogsIlXwEkAPC5zSVVylaPx2K26hEpBO1Uw+QaTqtOR/a8ZSp7blcQg1tp18m07hyr2WKSmpzkHbQd4CuX2nlrzggKZO8RixOTttqaHoXmeoUv7V4Qy3CnkUaBOzO3Lg4nPw49ci67ZiZP/0gWKEz+eOqwSZQOJdQ5QFC4SRGorOEaEqXKbU7AbBhPudXF5p39dBZ7DG/a15QXciquV3/in3I/k2QSHgfzShw+KB4I9Jcj7YeiCQxHYSQdQxI2NMGTM5YwYhEuQDSo9BLZCgSv8ENFfO0Pc2Bsw3bsNEF6bxDtX9f3ikgjmrooeeQRUEaZwqqbwV3coUuC0ttN0/RRFQRb+wbNrfmkBpgoMaD4BDx7O7QD8y+NruZFpKhOSG7bAHLJIFCh47tELDu+MecPL7+R1CwKcBG8WuOp772ayMVfv3WIBzeoySB5Vm2kUsLXf15nfyHwYU9yUAfi8FmUvyVZXLCTp26NdexINNPgiWrpzJ9G47DGaewDGl5ysfkufBqI6j4U7ZeLyz29KDb2hWVMg/mphpYV0ss5uh6yROCbcqz5sF9/m25Vv9bUK6rudqsAIBvgDLWal6PTZ9q8g0hFLpfDWK7hKWuWFG0yRLHjqDavQIn1ZDq3QiNgGOaAfm/v7AkAbyyS0ibJtm+5VMlV1e2uNDoOKcLVVPl0CuBGfvR9GJsVIxAPsS+BKxpOAF5VrudVnaqsgmOHPfLZdLf+rUJ2hfQRAYQ0RHLIcdNCrPWeHTDtNOlWW/1zJCgc6wFnVwVcVoxG5ytO+BaLmrDscRcTbPr5+0XXf265Wt7GqTiZbGdo7wrl+nGYeJalzAalvDNNFJQoSPrr6qdXMi8I314UT8GZFyBfk3HTVPnisVX17Y0y0O79b2mZhNun/tg4HEHM6pulohXDC86XZ2KGy4WPV+zDKtDHZ+ssVH3mYfd5WryIdy4+T0xmkG0rMCCeV0UF0j0QOnBS/55zWCBAjCetEXG25TX4kAqqfbWW9CzOK0hBIS38ARK61hsEpbER7Ab3+ltRvJcXKPFLwYEumZe9r82xCX+yV84a7hjYne/DtpAtKz70/ZAY3VdLeWQF7EeesKQ2xclU+Qi3JUW0Uo/YL4oP3/2FOYOW3Q5mJ/2vS8cKAQGv7wqAWmVPZDUoCLIX0rQ+2Twog2jeyRMaOTA/R1XYJ5U0HtuvWdI+TbuAD7SEK+bmHfNgzS13sKUGVGJEZY6oWwST1DAKgo5ng3LdBVfmBLTu50ebj5N/JaHLVK1qK/ppDik5+yascKuDBc0h+fvRcU9sUZiTYL1HdnjiycTak8A1eIHldefb2j1VYYULW/YoDEX5NBkL0quEl7p7x2NNdKYULppsdL8deAehk8aQ0D0ZvZ/i+L89IGTvKvN9K6EgFEHSfzLmWO/t3B2JRycWVY+WgGWlOlOQxVcFpTEijjJ1YF7RibnYw9HoQfA1jJ9ym4kD1ss/4NM2x3ZogBHT6tqYObjxuFIZ9otj9MmWWiWnSKGj4ebY7l51U6Dk/FC9C1/199zdPRwLftiCtjZd3FLG65P+aCoLf37reAca+sRkvJFziuIBl63QHBg+3pB5Hbyd5sCFFAAQPktxIVKNLjm2TBqw4SwYYiatJM2XU8wBCaCv/d3fMccmf3y1MAS6lTxwua4G6hUArnfVfhpHFxtbNmojuuKKlOUScoFgXFq419P0OvSIMzldagnlBncjXNFRfCaL0acQ3c2Z7rHjbYmLBuPebj5HWYDEhU98TX2fvzxLZlACrRUfWl2bCHd/5ILM6qUZW2z0V8KVAFi9J88Zo27Rxdel91evz7Vk2Q8Rg8hq75DnQfMF6Ein3c+PnonkG5kVR0dL2eLVQb2XzZw/CkZNpSUHCFovaBNApW9OBeqGP38qWZJnjNJKaZ6i2KWes2iT66wWZGjxXRxm3WWb/DF03rqC+nl4H5yXzsBXamkZdtrwcb9rsvTZiccSBIHVaWF8bfL3dtyp1uez1XleMZR3rZ5sy1+axj0C2T+T6fdq9aXy5c/apHpPxVQDnJ4dZPhS4Gzp9ihyrfVf9ScVsSQ6ianAkx4kP3Xoc5QrdEyVm7wTe9DkLLsS0C3Pxv6zjqGf5UJTnTTdfVp4BcUG3dpJT5rN4A4GmufdBQdSa1JyY1lNO4q+r+dsCnHWCdf8su5nyea4+n4oJCnGhDpiUCln3krfdvheFKcVcqaMcEpuWX79H/X7rBeTAwKtA0VFG+H5LFT77KkSMo5Qq8fiLWFCRuNAWDvDlUlVlM13CqU5yF9yVJi6KOonr1KJowHtkfcyzXozNR1cQWgQQx869xLk3kCYzFmxhl4fc8VzoCrUS71TUBzCV8Xo2IBBfJUbc3hV4VhFlK0gGOr6IUe/wI9SctMAwrpnbZjUWK1MIeSeccUEv6fPKkci/WRoJCbiV2Qh8VxOjQD9EJNEJ8B1qsXzjpbXnyX/58u7zW4lt/WKNqNtz5jyv9jb3X764obKyAn/gUytNrHSAQ1PB/BT9Tbei7hARhjdJ145D2csOsSCdsq7+3OdeJXVwgPcM89RWaksofIyL6jMaChMeE/oSUFqZcKIm6fHn9XNzOyL5I/njmAk1AOhscn0RvUUM0OIfIGvxfGvzKLH0ug8xVqoTL2T6J/X9K+AmAKAxjEhYBQdgvJJvZga9D1Nktb2hVUkG+V7c8mW36DNOR2XR+EZxOqvVn3w+lMAJSChpLA468xA2JUpjFLghfWIKmy5Xv41x1xOMo5c01FIasZXQS4wkL5TEm5l0D4AEPwTLv2kAjmWNsldLjo0q3c3N1u+hJbULrdsURLxQ+4u2/fXGvcSBj91tg15qWUeW0ptZ2yqpmdACzDudVmFtX5BQbr8fC1eyEwvHkTGNIeyGba85E+LYdKEqkGmTI4u7n4uYcA9FewjlbH9TceZUqm980qplKazi0d1erLsG4FC7Gj0XrbIpFyQBNmVtzD29mdO4R3z8UzcAuAlDlddckdtDCR23IYjadk7iqtk0Tj5oEhY+W7ie7URn8nn0KHAK8TOEgDzaiwa5p/NxcyYc2E4hCyu1XXsLZRx7ZrN+X/thhY833gvFowqoGRNgheRfStjOa55qtwQPmCl7qlBxRYoOcdDBaBbQ1is+lbpuAgDEyFKrDcy34wsdegs137CR0MA3DIgfNx0M/eJ58xXxiIPotmJ4YeHzfP4/iMRemIk3/+UVAGMqBB2+UEGCXwHCaF20Om85fdHjb3XYS+zWUO5UkxAjjFfoRdPg+qN6o8/gflts1nqPUqm8UMPj3R5eyrvk8rrJ535FXH7ae0EVC07VKxNbcWmlO7mJTTc6m2zMl/OU8AHQsh35m8xP26hUWddRPOK9yvYqNmEZZOAHKtZzOi64WSf11tlUZcb5NOAshuecIGSmrsDUy9jh2++V5uA6m6NkG+gb+6HrAI29CXmQCfRwrngl8IABNZYKY/f+/g75tygh32kuSN7S2D38A5OxEKli9MjvmZDw4WUv+/Z4y6twUCRg7ZJxk7MRr0pl5rxJxZ2te532Flsq0EQ9HxElpLTALWDvgG+y1wNPMzHJ63svWWWbw+BxF/EaHtIZMHgdZjqwFSsPhE/MCLW9zeEPhoI1iI9H8sGGaAbQfqCmsDsG6JN229owu7OKnY15IZ0Ob2hQDoUzMGRurIqLHrjCOfdddiEICn88BFLICEZTFKaFcINkgjuu3bvNnwUd7WkyeJ9KHwwUbaCkmxHbeyC9mnU7uRbY1SzqufR4BgJtU4PtTm8em7uMlHoKKqnPg/vUyPHVUfUE7sSDW9iO2MFlEgc7W+dmu1z6sYdNzSbUvB+TjZlr3YLndMTdumfvn5LYnAZUPQnT1rFZqp6HP1j7oDT/xnquHKBtq23bpnxqWt18QZN79XTYAxP6hyzL2MCqfN8r4C3EZNe5JiSfJYH1Y6sD/biBQn1UVPBQCRAs9LQVCXzI0rqN93GUZ4TQFwDpF6NJP5GARgyc6lwKD6lkB2xWreCg0CpYZMaR4jM5U3pgV70wWMMlRAzWGYcqoomPgB9pWODMMZBsy5QExFMa+k0hDEJ8YNrR/ToUsyW2julpcLByoEDRD0OO7b99Yv8V2xsapR0TUKNN/V33HfgfGwG4u/3AWsek9U2xDRWhmh2cgR/mK9WJh0Fs8MY0Pk+3Dc40qJOtZ0rZExidx9uYVKjq8tBDBtn3OK8mZ7CmDWnPxIepTb5/FcUd33Mu583QVX5zM0ClxxL5XWmOuoDA7qIDQfJiZ1J+x5bBGGSDTf1mOXbzD69xTe57jr9wNKH/VltVE7BcSuGPICnbueXtEDiUFiSYGjMXkm7fz4SUtK+Jl0nPlctfUcZyBeGXEmg/bDwXdEtHNb4az4kur21Mp6abnloiY6LPrHmH5MGVtW8jaCUyoT7ysFUjsJ1SdsmfHcmVcBA2hJIVgjBeXpYkCRZnIiUJuFYQ8PaJgYUiyHQJzjw8GXJn5VYYZ9bNvx0Wle9Dt3PbQcf1hm/xd628dZP8TbWEwmsLWno+L435Xi04NfXpqMJAhaoN1aQF+eyl9n6Icoq21PMp1SXmoZh8JInQKt0XvEKEI6tm/CR8gpcE9Sa4Fp1D9pJQNm9uPK+Q6SzM/TKyahLVrEM67JL8tiMcqFKBntObsvrj8b09f97UMMOrh13wYuytYeOGCKvCWpmwVPFdLMh+6XF0A6HrGEGwSdoi/zTsTk2MIGHy4EGRu4zZZodV3YJ/g6EbihaPf5pRT/iJxE52FeHg8YxUIwlue/XRX17shBw7Ft3O6eCi+aM/re9waSM/ZB0RY5kWznNcNk6PbAIo7BiHGurnSMrUl8YjHeeUpYQadwoBka/mVHLTUtqOWtunkMq+avL9iThR1gANRIEQf3cTQa9UYfOkjGd6beK+vXkkUY1jIxTsfS9b6q9IRVnpDJ/AH55GDPSy9oq9PoaC7wVS6J5on0UF6FaKYLV33y+koynQS4jJFGsinK887a7s0+XPLvyvPLO7Y3T+LpPpOUHFFs4Tlhj3dSRH6BnAghYmNqPP4bQWwCaNVqiKeYGxWd7APyCWR5i2tB+g672NTSrVR2AiniSH9y6/g4/CzByvHL337r5vn2Wp1xG8QEGZAR3KTL+S9P/xDwtP3AQShxp3K+o4Rk1pbjq72WlCVQGI2m8/xMih9995AMWTBl785Lm3PjVmoXPGfdAHIitmwb37KB6ydhFybEceQVbhh790/aIeHVVrqsB/W2Y8RordaUXe32eg4XDLSz6p46VwXpRY/1+8cjcehhUuhCkyH4ofLbUINr81NCra350TMd5jPaM+fIPKDJ5iooM6NFL7dcLhaipPJBlAFxL0fmWQhVjLbaHMfNHlU8XXCyFQWJ1IvFk1yZQeU6XHVji09ZsOnoZs95VdCUhhXB8jR6zBzvgbpw4xE1hJH70rRHXeHzQ3PMNAyJufUit7DBDWKBc4ULSAZqHzlPbO1Hu2AziFSMnHM7BpIxCnJk1d8QdjTdP/VRYkBy0igEIB1WUo7KenlBWJpNjTz1uiG+B1dtj6Ee/BDGXsRXMm1qeNdiv6uSUKFrlQwS034AUU8UxH2n6moxg5wNjVqpDlmiSGYNPjQ+I78iQx4QLSDooUtpXuqU3pW6J5qY9ynL2akeCLRaCxrk35ktosNrUqG0z7JW+yizvQxMoTKolEKZnM6sqxOXhrp7JKWPOsQ5PN7dsb3N2h+zF+D5X8JVCyjCHesnt4Sst2CpL3T4/881eYhON919C6u1xPbEnSS3wuvtLLYsaIXWR90zjYn9Rp8hDLTXHQpMFoBSymj9ly5IV2XK9REEpO10mHampHQgCgGCFKKrviKdvs9A0Me95JprUHB1zMzkDyR73sxCu93dY8kghoX+W8tFP+Z6OmxNrxQ8MfrsaAQAkjCHICBSA8nZnK3qVVkLHscwJYW+UnubUixjYuSAufn6hOapi4vlF4fPypYPvl77MGtVPenrKHHZpw2uqwMfwKq+YAAOjr22FN2pcTRYGr51vQrrQXH1F97d7QJa6tAV+atWOpv1KnT6MTgkRBrIVX2/GEqxnEJ1dwUwwN0unXZqQqBiM+AR+02nadLRHkNVCGYWIV+1QJDHUzSauAS0LbUTSlV0YQXWcimiKdSZIodVm5sC2ZFK3myfCH6Cnh2HHCpX/lxc480p8LBXDbTznAY+TD2OJAPBC/ME5zw49xSKmCTyrv5RQlibTH7tM5sS+NV7IrdRxwVmDUF2712F6QxJjPB2dpbRJOopDlKsDAnjm+S1y1DPa3GlTLj6iZWWg91YSzpRhLV6Ryo+8kTvvSbsa9rYnBA5d+SHp3Yev88tjAqJ86FccHOXCg7QujNYrLKXhU8A001o9CGc/4WDaOyaZ8YjNkUM6IJTIrli+EO5RhjJkHvCTiWSWHe7MyI00rEjtxvWuaFtATUScovMnFPi/WCxmkLqYiWRkO6HQQqE1b/OOZzBFugkq8wtNPir8Qzcz1yQIHbVFhe6X2IxGCMZG6v8ng4s1onARWFpnmafA6wF7jQS6UjYZ67odBIq3A6RK8PJU9dTYUyMc2y9YGGUrPEJFSij+cbNLI8iF9guptzVB7kjah/lXLRdiND+jkLPHA/1Rz+N0rUcQB3OaO8AgrvGNwK5Y3QyAkI+sEueWcC7mR/RrEsLjnj49uM4C+DRqFEOglmN6NrdVcs7rvorv02Cr4FvR8q8M1NRM8OF0bOLT3taYPay5vPXg7D49hfllqWg6qLUihE8PC0YdxpHVwcMNzBHlJpf2O+eUAAviWz6fu9AovmVVcYRx+Xz6wOU5HrC5Pg/6k8PHtMk7EWxonQPr8LkCr3+LCxwSO3na0jXDFbguS2V46XbmSmavSUYmMeY0wYWt114LFZcBhh9UIV3Ye7+nxumOUjM6H6LEzaTxNM0QLms1ht3G6cUIInP8S5NS0RqvLBW0EcnxCP9NhZZhaQjh9IF9DhfWN6HLKJbeIcUxefMMpMKWjgkACiTMLLdsjviF4bQ3S9hA12hQKfOJItl1V5wXosWOvWYZQcmYglN1enKLGLGpZDfV97y5YEcHq2h5geT+fER6AaazGPtj3rySPcnTZIorjULw/65NjOYOVeY3u4T3baqIG7CKa6xsq8/wq52RFQXAbOizZIWoxK34OGl5UwggMuDTF9PTntKmifW4susNfXt+iqdUlTX0r8IM7uQYOCY74tOYHmC9VmOA45I0oVgMV+BAxlIMnFY2RTYqHL85lQsdayvAUBWYUDqgCBSRJB5ArsPFrvg1fIlM7Et83UuoMZ69hgFCvRJ7JuwizcJHK41V7hBac8qq+cRVzc0/7qKTDKd4PQjwS+4ANHqA2Tn2bIahWBIZcVdu9NfHkWijFTITYvcXjFKQuzh+6GUz5jLKBeCWvsV8PLbPwh67n4MSSpicB9Sj+857V+BCM2xIBz9vUXuu2d17gvp3epPzlj843uwMe4/tqzAWmrCcvTkZveW4vZoFphhE1pH4c40mtpESZQgQ2lBoeR7+P/e4IKl9PcxmdNK59CxMUWw/Kz9UAaHUN3eQRD1tUykV4HSAN2N3AsHEZdQ7oRhDiyw1SJCqN/2u7oPdjkc5lnTufP3eZH9LmZg6Haj2cAwziFoLboFlOcyPMVwUw88taK//C3zyt3KGaIS62TyVdVAuuxZ6bmPMuUY5A+NhuYfA+lHKO9c3Hd/5gBoyEiVi3sVQFWcsFZY2jcNfuKWNRcDGVNBIfnZSUGElbw9HM6ChBwLrVchHsldCIeQijkmaRDaqHp80TiRyMnUEW8NPeV6d7n6URXbLuk3MXGTfGEICkQ+OHWKJL7JU3KEo4laUU/U6tMqJLgUePRVlRLv6MtPbYYJJbE79HFznI7SZnjCJ6s1XH6lyECMmYOseIXkjPvOvKAXKpMOYoRnt6EShYyPEd9QYtC8sUGb0vfG8aPT9OEhBqSsFN38cue4Kj9iY9I4ri2GMMR9Jz24Z9T3jkSVSpROY5VP9whmsTnQ5zLUcGnPjInlPFq2nuSQFTF2TtSm7dqDwFXjNz8lhMbEVXXwf/AiNHkmiuOKQQwvfoWvv5OdYJSpet4s0ZuT1Q5nHW8m1Ai5GPNK+NroKZUfv66JGBK1Ak++R2ysqkWssQflhMyMUAJj5gnF33YSPDui7OGVZ3j7cp4wd0k3tQizjpGu6UUvsHXlab/F5rj9byJYyONA+i1NW40giF5eJwHazK4MhxtBwN0WpNNirvp2n2J/ea9C02elCvczucDwmdwZYp6mfwmVAB1khsQsNU+OuT3tUKrxur7kkMPu2Al/Dlx541taHMhfXXJFu1PVoM4IFm/bQ7+u/cWnvZFadPg35sMf2zUws/8zbsqCIrJIEZnavgWS6DRYdIfkuo231lOkc21BXlbbqD6mIh1SQ45+ACjmyldpI7t1lHWeW7iv8MBSuabqszVnzxVonJy3Y82FAVOoF+ejTv9afaazv2dr3dNtndznrd+gsho1ugSAshFf2flUl78fMK07n1UjAzdLU/GfWjsgPUHK2pxztOuqnDFWdsS+52IGchcVtNtXP19OqHn0/rn5mG7zwChLBP+btcWorBVWv/gR7DwGlCGwfnB0sHruH9cpbtyDhgW35zk3yB9izhaXiL18v9dY5GWkVtV3z5bFD9OtwEMxiNkojRDGBLyf5hBKuUEuo2K2THkLf7WGf2KU5BlmGH7Gg4ARobUQOfcl3/K6enRVrgPipL4cL8nGBuiXNYH3nxW/nhER3nJJ6Iv6s6OkkGvbpl8T97eEp+rUM3vbJP+bgvS9HgSU2VQ2uL3I5J2TbCgG+sKhtPxXeupOcR5p54DOIvAo+D7brIj7n7OinDCvVtFL57OFtm+Cnws9O/qlwudvoCL0sbEPXKp62OMjhOLy9RSYfgBzl30kbbWvpOHtXpwQy2TplSc8PfIvaRtOONruiVipqvH2UyZrfTegOu7fy0Anm0/LPRvCyeFz8dAhEq6r9cge7avT1RqladsP+An6MN1SgTjm0v+vyLCvVLVxLIp+gPYcOsbHRpgGAwNsrduXvbADYZYuMnCfwmgh8GPxeI4rf+xHkMilWPTbZfD+TPCdrm5HfbF3xwD+kNMQpQT6iqK91pRaLXjgggVkcBh5YABkkyY7Ug7nLkVeKmN8WA1agWYMD4nSKL3DLPezhKisjmAYaQE71i1Cd8mnhkRJt1OU7sV277LWdxs/EpPVZwEMhhtr8BIBt0piPTGqlBoDYua2yj+89u8RjDL/mhVt+k8w6nFKA0wE3A3rU1pxkjwBR00Ksd7NvWLE6FlwG33NnK/PbSmZGBVtTst3gZILtA3hvU2iK2Od7VaOnxo8s1c4G6xP6dR6gRfWaI/xVMkdJQay8zkZP0yzCky4Y9vyrmAzgegDCU0lmA48UqiGwnoHfQYaubJAV4w9midRV2nTx2XB/K+1s1YreG7USpjBM/kW4fo5fSTI9QH7iBoo0rM1CHWg1Dg1l2Bm4SJVsI0oD+ftdclCZDEJpRPtZJJbeIkljHyJJ/CxlxSZCi3aZFDcFQ3d1+Tzq/AJsWSmStCZT0BYwVaniFjNIVxd7MaUuL/12Du4768MIqVGW4HiDLuX7UGs5hQ1l64vzlkMJu8CXy+6fOn4mfGy/2C1pcX047Eu3H+lEGtg+CW2ax4mkrpyQZhqg3MqO/c++/inRr8jgEXLlQm5K2n0HwzGzCGBtzQl0XrTA1N144GMJpR6iA3aCvcnfM9lOfXh2Cm0FWyk/k5jzzTF5N5SpmPaHORXnrulMp1pVlC5yL0aIQvP8xP7jfNpJw8QM/CIW6Jt4tb8P+87v9YWCAHc94SxGFgUfzNCfsSOuvnwQtj4YVt9whZ3RD5URWRYd3zo/EywYvkZNBJpazi2YkGv0KmrcZO+zhIilwiFX6xzpUcYGO57oQ+/rt7SRfxLjOz9iITXzAUWA2cV118zF9xss9z888b+cV4sjz2RPnQhCZki2BHdqlH0/tlrPu1M6teFeAanIInJ0pE0J6cRDVphXgVU8kyxOSu0KJl7L7fRdmdpS1u6/+q0VC6cscMp+TukWemU5I/HuaNvTHNIP63IGG42zYPcFodtCr8wy1tQIHenbkyQIKwe7X362sKmxXhjdODAMM/q98yndB2ZSyFcK0vRlgFmrwRQf9NpIqFHqA2ZyzxIwC1/hn4KrHmTGh251/UHl+CSNsJfSS2hcJMqLN44JLfE13D/LGCohTyTGTey9/WHRR/l5fOHwWP8PVmClSSVPoL9FGdlkLLhdyeUFcS+2KJImDNL/jYor0RPi/WC49gEOz2MG0XyuYD2A/SMHa2c5rPE0DXzaSW8qUDX8GU20aVmI2Aw+Cwzniy6hEzJoVerukdDKyVJsbXXUvPSge6C1RzepoDah/g/PsaTzC39wkPcVe0BriI5GehkU+BnwoLtnqiSOcjWR4a+m8hhPKEEMboVzq2N1uLwumB6vE86osn+kTjD9VCHvgUJ4NyovOSkfph6Qv7FGmRjw0bALoY+T1Z9H+F7K1D4gmeos2siFVAgr4k4AYUpZXN/zP1SzU1nTF0nJp10lGJMCFjnacbShDrI/PoY3DZ/3M8LfYy1sVuj6ncNEorKoknDoAEh4Ky8G4rb1rKUh1TqmHMxL9njRQxM4QgbZs9UYbhqNyy/67hWXJLH2q/m4rGr6b+YHhFzurAAmOecPSw93PY8wOxtqlHxfF/UDTX7GfdMiYrn+DnciA5RPtf/6/X02FSUnlpuI+1lGW7Z92ZKV38Ao0VVIpofJfxJvz8A5Nrv/ovx4kflBs0Grg4EulcbjTZZQj1pSyGcvCobMo5eNlyBYdjpXlRG/UndsYH/oNx/uR51T5jpPZPVc3WGDPQY0Bt743+M+1UzkyjDktQAe99v+AbM35ABCLCIr0Ub0qPV9k3Yxi+UbBO5+gX3pGiF5XfFRIAp1wH3b0Nt7fopCGn7pB8PbjldO0ahb2TDPm2Flp/hoq384K1aFiDJtDItMXELZvsG3a3HQoyGPcIYwFMQglU1OrOax6Olh3193fcvmUseWwCBN5EZEuIgARmt8l5Pk0DihSP151WdxtQ5u75URSWCe0PMF/Y1fuSXjg0tTOHOjELJr7lyufyxGeSFWu8FKjoLKCI1lGOU4MFMH7xH9IIqVpcEhyFFd9xfSfuMG5Zv08XBpKQZSPZBbSoltEcAmyOcno+SSlZG4AqR9LZmL3XGidI47dweUDQNr/GAgNNJ+Wsxf8erMODzNhoLU4oE1X7F0wBO2SMNr4deI6pAbqnQOTovNBqQwK6dVADsdjrKlOBtq7MTfRfuR8CSXlrkXiA8e6kKDhegU2a5LscdxYeZcfe09ibEKO5EebJgYMJYFpuEp94p0mmWLr80YVRhRn8dA9sPVQvRJ6yzDiyrLDTOCn2QfzbQ/gmAbp7nTnE3DfpZ5ox8dfzYhmOOrTFCu6wKZqh8PrOXYJE0gosq5wrLHjhhr8m/h7RY41Bh/AL32u6uAug8HqoAYuBu3aYtTfMFSmMZBqx+lDRTBzEz4N9kbHRbgi2v75n2Bnq5Nidlgao34azgo2PWqkTnhgqbLHJvoQSi65ib/SmBMDUUTJ48nKDseHjS0jNIYp1EPt8weeFcaABBROi5SiPr+TrLuw0o49kKwcQFEO0/a/3nN/X2aoIZzIbuiXqj3IPeRp0T3SuWRgih2iVlnmFFK43+BnZoqBGxDR59pFSk0ltC8+f0q7RlZlFFP2hpjwpZbtbUhsgsHIjO68JKO4VXZp5Gsf0Zu63wqtgtAuuHkVddk3z8N+w08QWO4xAM5nRf3xifHiMm1WgNS0ChLpGQMV2UJyeFjQ7Ce0E1UW67a8jeeOnrXdOzKM+8tPYUGFlbY9HE6EyAtreBWRxiyac1s+/4nnQsCQx9EU13oQlRZfndmb4erEvl5nsJHEfqwx14LAwCZWO484wNs50CEqhBqNYmBjrctQsYMSEhv9nYDTlwgfcFsIKaxWbc1P+NnzRTFp/3X5b5GoHp7+fJTnoEkao8tmoaDgnzzvqstAI1u5Q4eeTyu11rdfcVyR4vEJP0rNMJOcrVHcdUBTrzkOPfQLMt+8UaP+7eBKe+ZwpEQs0s/qElsjvC9J6mCqiH1C5qiXplTMZ3gLao0GzhnLDtY93rHoMVpyDkS8c5090MTm3NuVTrfHw+TSwNEI0+MeZ4XCp6qr+4harVEUYDUY3TyKOZqVxFeRtMqcKt/suvgZwZu5vADXv483MNSKjL4HTZ1bGseUvFF9EswSpX1GcTqVHH3ihWCwhfnRKF4gjhcEQ7KNVaH7QTjxNLK9jBi41558O8fQE5oRvxKx4eOA7NYsa48WLTXhijYzDWY+LvvtVZIJBV3qwEfZ86pbIVCwO+6fA1DTRUeI2JZcbHPjETFK6EHXjWHtjkQNMD+ywpgCqYqNCDg50uX35nfRbsPrReIoHsWHtfrjr4H6WHkGq5yd7JG3aRvgBdoSfZ/YTJVu60X7BPbPpcehO5cx1TSjqlb/LebLkaQHaSRS446gMVJPocjirWjFQ9Pm/+650n8k4Cqsx5W4FOcQ2tJCXm41VngOHcL2cpyEbmh0VTd+yx94TwzBJsNq/6Uslgjlgl0i4pC8XLU03Pl67wOUZQCOa5F+UtGA3oFqfdTn62DRXzWaW/LIWSPzeV/BZYsW3joOoTIoMBnHHBhOdf6oPgUuvwsaeVWzaDJfeXK7m8LslmlsyQtekvHpJfqzSfM7CqkNL7YPkjIT900AqW4qNwBdSrrz34lSqrV02N4vbiBkKW+YQYlw7x57t0fVvQ0zBAD1JALza/h5rp3nb5YZdBzd+zd33Bz8pkrzzv+TlezrCb30iSxFh95Z1jNVzkW7TP18hxiugaggTmRmD2HCDn5b0i6IKkl0y/ogmDQcpxUHODrFDW57koUVm37zyTT0a6vOHgw8+cn+4HB/4na6PMm5mqQIHPrb6lr5tuaGln3Rp2R+6crdwQBU4I1TCnFZRdvmAWxTJoxx8lNHKeJh7sWG9Jyv8s18Pr0jINpUViLGtafJ+O3S2A0RODtXQeYvZSZ7he01wjeWQfJmT8IacPyrsC658AJN5JXIcIww9B9BlhdjK4U4gjj10DjZG77IYsiJ++yZKvgZlLy5lTq6eTxJ1Cu7VhjQ3USaQpO8jmG5NZzcCLsiBo/Yet2g3KqcQqqRRqD7bpnjw+HHf1t38s0ol/sL0STYwS9brCkQuuShxSZre4+SBsKl9PRV7i6PWMXL2xAkGFPneHbmdo4NgcBxb8mc3v4VwVg/8ECGbKMmgEGDDLa2xAg953hLiZWudXkjB00+Xx5PSbI+yrEn7lmNIHWL4ZS16c1PiKT7UMMx9k/0eD9J/OR3omyrtEXOW9uuTJNYhAcQ0gqqlQ61UcLp+S9Mz4Xf+cgiuLBkwbFCEBcqWneVIbFaIHtUwjpukqhOy91OFF834ki49LMVBnqZuQre/qTTr0nOTDjE/a50VJ/fOBxWyAVLWaU/j7INEQ577jrLKfq6Q1RBLcNZrp5cQvUHJyju3AWPMomDfgepsv6IdkON0T2EpA03znS8C/IGdyjd6Q56wbKwLsiJjj4AC4vGL2JTflW30vXiLKgvBYX6/hhFxFnJCHQxvX8gFafXy45bkGTEW6+GdcX8PCYtEn1xqeyYWvVjyCaNb+slnhQk9I/i0Av4P1UXgMTzXX2N4Gxfv8fnpvv4yI8WASP+1m0u2RP/b9PX2uYd9dvKF71nw/fnByW8L95kTT1E0bcqXdpCLhXVzQz6gumQ5SHG33QMjOT/1C6RXzVW3NzhQUk34HP1ZrX3HOVT6EIzH4CvUVcyZG4kHMD3h2aarGGTqz4llsIKFC1cmymwSFawgBVuBjp2xaarU4H5rOU3nbdKMz/9Oab+AqEYYeeWaCQhj9Zfz4693sdMYLCXwWTiK887AD6MZZLSmiZeozwT0zYa6SzIFuFjbUoY+GyboDoyH3kMGb/EUE20c7I8H+toFDbZcUc52swW/y4RdcGpFP1LwQotg/8DPzjHFuY9BuuL5NXaCDPWbRH0xAsRUPtyg+kG1JRftSIGoeLaYJSKvXcdLtsh5gBonu0H89ysF6Cm3rdRR4PP51HKZpmNOx6UpUkiJAVmobYPDKtYcvXiuciGNmLJRehJA9UOheWxoudthHXh7sfzZ/4Cd4VBR7cudbrvbL2lHv8ZEm7Y86ZSEHh5SkZovciS5L3SgPceOJiqexaL01hnW55ypg1+NMd3dPViaCqCX+35p/IHaTbR7VUA7zSCtfsGcfgwDXBZrxOZHXgB73Fat65lczMxdDkw7lNxx8PD3IUqACW3mSUZVt8NlJHvqxZ63pnXVWtamGz7qgYt1SaImE8ZzjRM9xr/M2DQeBJlGrHQkd7szlEMaIUNHyS/kFgG+MtXZqfhIRQTfx3mfiOCVxOTyr6963H2lhuSjy688X0ESk7/SbfV0NokSbt1mN/skSABHLn3jpoT3rXUFOMiw0nVkZDo89LwwLAO4rvKluGiyUozff/Z4UaKim9Pg5l0E0pAlkgOLxz8s4+RtYfIQwamRHb5My/6nbENewTP7tmXaLQ93cW5TMWAEELO230Pwd/7yZfpt5oDb/MSuPpfWSviWrHSQLwx3bEVAmJjLCEq8t396dVlqJi2DLkO9fBSJx1QPhUciM9dJUGXDZM2skB6avbIXkKftR8EcgaHn2cBhvebSk75CuG+RGu5ag8CWIO4Nvy9QRyadn3STaV7OhxcGKKJM5F/ApSrqQX3knf9ZRyBjne5WlVBwv3ntQRLOhNhdz8npCbg4sOcSk3bJHDvLtVfr7lLq8gTBT+s3/il7TcCz8y3XM43HiLPSLpHq4ifd5hx78i7o2xV7Wdrhncgh1PqItOmRm+HjxkLtX2eYcyT2HHiU8LeF+kKlBUisdi2pRNTp+Y5/iLExawZoA5rHv+sRIPnWQZcYiVOe9Ul2VO3dtPxK4BGBNAEQSStECXLhVqvuqYczmJknCbcCKfzdTu/SgKT1g+gU6yNBg1uE9QK48RtoeNsHGVZvk3fxFPPLsV1OucWTf3voOeuxqUJEoeiXxoLPFb1dwDtoi3bSUq/X71mzZeqDWKBW0N/VW+bwRYcAsU2m4rbX9AgCAcQU0vooP2NCLKk4XTt/suIFiBksBn0lRfKAEefEtYQEWTqsrZT9hg82z8u37F8FvDm720ww184wb+kGgNJL7UHNjDEyTXatZpVG3JfpPcjLNfCsRCgJpt4tCitM+Nl33gm+jgUB1ZmIT5GW/avKTFDJqu8WSbc0yAKTGP5qr3ilibgUn12Cb5MZU30GJhEjwKlJkANg3irjmbj9i68A6yY2uYoWZb1HdRiQ3MV8lNAFlgeNxVRhplabzmnHDVewI8zYXew5AUunA/xtS0UCktWxXSJ80KtdhCCAQjwCDCzorUE06T77m+HMj5Ufh8dAtZGcKNmD2ijl2cP4+XWu0PwcXbT9lGloYh60NRNReDy4sxK4yurEZhbMonoI0bKHyN7d3pAwA9HQyawkXYKknSJeJFPwhA6wVh1M0FLF7qfXZjkFZlXf4bJKizoPPacl5a8V2x6fzWX+8P6iMhovf7lGI5/IjhJfHXBN4aRS3E3S6RTsCDipxtQmHiAOpmNU6HfQ0MhIalvTaA19LmLRs8thTkJ8DLLE9YL6ocfVdmrYFc3yCzTe0QQiGnrh3QnDpip6NlIIva8hyv3UxN/cHXogZ76zbJTUHl0UQ6YgxhKCB7mxOmybKE/A65vwGpkmkoqz38oJLkvI/w8KmV6jIL3ybYx9xd0nptwzUUi33RNA+dPInk9xF8yeNZRyHqLdo3grnus1wWLj9oDH43nEOPS13NJ+l9qNHuvu0cLURlNdY/o0e7QzBVoolBIpMYTGMijjY6rYKVfD9kjibptPsJAs1Xpx7Adwl1X97B9jZSfUHQfHTwtoixYwJqo5YLDnDqT3TZknC84obRjwNE8eCRNj2tQapA8WUx6wYg3YJpxGK0p/CKHbL+gyEmtZXrkzESL7S4ngTTOhgBbjr3GxKYJcmdHzCRddzkuwo5QDyD96AZ8SKe8S2bmSgAeA99Q52TDoNTu91XdELYTOry6q8AB5zjpfnp8zdzezVYgMrmAvXD/GGV3NMDXezFIlcfN5YZerBZpw+67lXZUpfyAkyU5ZoDXGyWTrbN5tGV8yb9nv1H4KCGq/tEdf9RutQDiihvGuNnxVL6x2E4y94fADJ4O2XKk0UduCKUdKslgQITG23L2EoKEMw8/gyuzqfzng9PQxi0xbLdQm/HJEJvG5UVY5PufsnyK4k7hJBYkiAgcfFyuIlgm4JE7zdKcEWh9fpSgIt6o3cc0r+rXWKPN1mpJ7PMa+lZDYVmZxlcnlCtQs/8AEB6N+1cZutcscJ6maxaDV47OdYr3rdzA/pwreCVWW/B40egp9o2pi6yFH4TvzFuw1p2qLSojj6xpl0Mwn19NaYrYii1gL2oF5OLde1QjCjp3DvVyD4FWT7CYRFBAGy9CRDrATnopZlAzf8X28DwICRjU6Io2K90RaQqgGLAXochsdg7z/zQuQdbusqQcK8AO9CFKUCxExm6ZWlHu+uq1wmPoAhRw/Vbo2HLAIyzsfx/YkvwLPf8hz4hiZ9LxaMRS5Li/AXjsNZ4FhYo8KEYsZsnnE+A49TXk9q2JY4ziDRUw7d4F+NnZWl1+BXqBpBPNVaJZVRnL+FL1oeU+pK9WatU8Y2H4dIF+DRh+Ief/ikNRuOLH0PJ53WP0684dakzW1rrMiqJo+gsQETiSD4FXGUoXRFBdnCmSsLBtwEv6liXcd3E2vqICm/w3tNQQLJfwn5KU0MWzqYtycdje3X6Xi/RJZxQy4M9NKPzJMYCs7McrIw3iZnpQhQc39mZLUVeWNuJ6gzvkMuXVxDgkp07weP4N1kSNjNEw1tPkabr0hifuORprVagBXvZCIxTrTrW5kUaNq0BbkNICR2llUlcrX32sePWEbGIecLHnlfeAry5mS+1vX25mm007d1yK/CQiUMyb2YiBr8YJv/J3IH0Z0CGBji1euK2KIAimi1SUgUdz7RFp3ghlsJdEvsdZtoTyeNZAvluKg1td6BqhOuwSfVChblXYBx0Qick6EIBvm1qGcG4RASTfEIlFuzvXilb8LPURaEaMTCj9NavbZhlm1HuWWGf2KWnWN198Wwe0nIPGcG4UwnrwNV3MetHAdUZXtMK+iDiAZGDK2UZ5WQgrpyHgu+7abHDJIa+dTpDhOjp4sp8zN7H7G5BulSncY17jikPpm7w2mijeEfgwLB1lHHi41vhAEbLz6m+6mUQnXg94T5W8XxlgHMwQRz0qJo7WUyQfDihB9QfwSBnBCkyW8y3i/zW5E8iYGY+LSVg4aNQbFluu4vZGK89AfnnX4lXV8E0olYOG/X0wqipb17kjVze9uT57qAAXaibMokd8iPMMhxZc3WfqKzGZ/+PpK/7KtrOMPFMjU3s2BZGnC+uIM5KMF0p2f31b+pPctnp69BBMSqLvM3NtZTPT/ISSRAwkcWE9jikRN93tDjl/a4KY4KvNu8lyrgKNpbnkhzO1JXpfKKcrNphWl6Lb3VcYt5NodmUI+rJdZor6z1E6n3wi3qSID6sE+a0zSgvWZT5E5VwIoGVjdzpfKNBK8bKKR+OMz/lUorjFDtJzyqGvIeHBfJclqHkngvUys3TtIK8/gznLRsMjfnr6eYv0aw7/qKeXr9LQ1awUe2r8xwsfWsAi7ymrnvSfibzWlzx3obFAijsN45cm+krmEZr4vB5RNqvenOZD3zuWXAR4Hu/hLPk/oTCNc/MtRz2w77LBjDfeWWp4PoIKg1A5Wq6NW7q8Bbp4Z3JZoYT74FoQ9ZUzsLNbQkkMGljPbGfqcNek7mmM556aTU5xygBJCOmHt6NRw/6Ruq4sF+TSfTrfmWr+SaPP7r+UsoeENCL/e+g94WnZILjeBk0XfwFG82fBIgpWAtWvTk7HntY/F8IodF16/4DytXj9yOBKQy4OSFTj7A0XbUxCoD3TyYgQsEfcMsluKPOwneSyyi1q7/8K56IMHZDYfNUvdJnRwzYrC/3fSmd9bMGLyFIpNaqoG/iwQnlOTrnQ4IQtgjXEH/yW8OxWnbJkma99Gi3XD3R02jbemrTYJBFSQeyj2wOGnyEmGL29X9ooOOQHN289CL9++4Q7Ro33OUunyqLv6j/VcZU7qsjsHL1hGO6U7gya4ZoIrS8YSvFR0eDuRILuXtvOfIw+B1WHpMnu3a4zqH+6y6Z83Wj9EwmtrZG4KcWraH0CZ9SWPGHTONjUZlj+ODfHCmOmcfnDk6I/nU6iUK7AMpXhZ0w+PLtrbMefU+WpcPlTZ7qUc0gOSFV6ebsZhyXITuSXocMczV2fTxdD75tZAY28edS4Pv6GPOtjpR/bf9eOXMqouFiDUnPH/g4v4QESmSdeHeh+1PQUNfYqj/ZJdDXIqz7tmrdPwFiD0S3pwdHFG/w+rbUaa/58LO5h8qbvGsE2v04qEBQPlXth9eqsFTTEOg2ZjkiS28lsolI0K478YG5rxQykEepDMyr6JIgoyviVTvfgpj/5MOTZiLfrwqm9nK89qi83hOn1m1r/SE52Z9diCGwWmQz5RFe+qA/u67Y69RPqdCeD3ejFqOoDBYNMAFOr5ZM6/jDdxcOLhttvxmwiTN1T0TCM7P6a0Xcv5BFaT9gGsxepVAyAGymSp8ng2wEuEqZlY3tSerh0/UKReL7mbRc2JF4aVC2IStSV38xtnGPPNFCa4g2LDRX3LpGJPTH2LVgQiviRLupFSE4flgd9P+5xwlEssajAB7lKIeLvXMXl57JcTKOMuDZe1moiCd4kVDF8TaWuJrPtRTh0D8LdNAVK5NzBaNh6+7106mlq0SEXV70tsAdSgDaQ+pkbXs+y2bHMdu1XnpmWUSBVRyW7LwsAkcfXoQUj35193EVxS9N+7EgQNv2/3QNBDR+m8RYSexDNs0AYkEoDO60C+RWgw0j/+RNKEMrKXw70dqfCH3DnwxDknJmPGA+Ymxo8gejiQrEbRCMyh4tmjRi1VIz8eaEFZA7WIBZDc9s2XUCs6sYcZuN4hkQC8ZUO144vOAjWKQy2kjiCY3HfPJhlRCUfBhlG+EGpzQMw3PC6wZU+rqarYNWZWR4Evh57VT/0Kw/TPwBwd6brI5UZkpN+i8WOHC6sEFn2R3QTptGm7s8QELOxDHMBjy68Z5LAIMtdJygEcuYHHy2C8cjuU72qIkFwwtES/esgZOUCUvNjtC2+yggRYgNtm7TE++fmG9rO7JqJzUx9zSBFi8oe+4C1BEHgD6ElZxIC/9XczzDYZ3qRhIgrgXwMW+jxjVYtb8QQGnwmL10l0jz5VZj92ec/e0uU6XL6Ss4pdgMy/V168ngzbBIhIRRWxXgBQwAMPHUwrstPR9CX2S2bWdeXrYjJGdO3jViNFveyM/hORzbpWHi35vUp5EDG5BniiOl49AnT7ogA5QjoPcXRE85TvoGTi5gyvLoN3/972zYDfcnZQWgcPqde7orpCITP9jnrqt0Izq0nqlfhZaK2Ui+ysf49jo+Asww33Zfls0o3qo8ec0Ogo8411K4ysSb6u6rOAtuVui7enfeILqm7dBh+ns8MwXXiez8GW3npEg/zpzj1am9VW7FvF2wix8vbCfgBpL8svVbI/+4xn5QA6W3NJoDJhGdP6xzWffEgjDfXbCJYympdLbTuAPmR0Qb1ZtZ4d/om2qV5/QbBObrg090f8iLyKI562eqvMG0nMpTdtnrKD1VxrkizJ9SMEKDs3lL2ftcvKjP7/Qz39o7oZUK2H4btQFZWw3KLebcBLbCvPovMMQ7xHHU0I6ejG3ljd+EfUAc34+joz79vYdBhyYid/Wfpe+mctv3/JQgCNV8qMLm03F54KFUo3IdlcO7eLJpQ9s1Dvlpjxgf+85muggHobuoKB5Tgj6sRc2+gtGTV3iDFrlgLa4WnYvKlq9+3u325ATRuwTs01Yq3H6bkehjwjZhmY1kGWrI4lbTT71hRS8MzpVGYwS6lamgYmLMwo/RsgM1st/2iPl3ufjeKQC++r5hv/Xq3n8/2vbhV1IQV7Q/Z0YeMbMmaSyy9zr4szILfTnS5F8VACv5PJeQ4P/xCo1Jzt/NYMupZY7IPjWY1/f1eMXHKI2zNYmLtejXz+Qe8telZ1x75m3KnC9MOWqy8/phSFZfJQj1gKORXrZ8iPl9y+9xMzRSwXl4qwC1fVI7P1sVz17G4Biap6TuKFuVxiM4Lby2yC+cQiQUrQZ4IeDTDZr7xU0RB85Za0wIzDViq/5ICUmgAso6IC3HS703Uh61cecriId6q8lpMSq9sidSze4j+o921zPtMec1isNcTJzXaqM8Hq5n937PXP/LiMU+Anbv/kLetW0BcuIrUC0pqs64jZSlH7OHXXpw+eFFJ30U011XRDji9rQSpkFoBbIBXPpzyBdXM5lgZVc7aWis7RLb+/Y9dUWFIiLTrlvq7mhGlJVipgRrzCe0EpTk+zEDJT8xSY28PW9cqF71Kou7iG4WViOhpfSUXX8ntAztHV1uhhE/meGMwN3z9eZew/DxSlw7cCJY42LBlZOx6BLANbm8a96bguFhBq5Q9kRq2xJICwOZGnFN0aDzoYVLF/2ug3OaKAtbhbIvDUHRGeMuJ5tTITbTTAfOkKqwOT6zd/YhcrzKNBiUX0hHHBXIxn3Pq1P+mh4rcicrZa/AfIewM5pFDE+3JAhAlusibRHWLaneZnwK/PDaUm4gcLUOe2jjRjiybiSdwwsixS85kL7UYTwbAr33FMybHpFMaoIFeBYewsA4SQKHchvqyIVFEIjt3rBm5mbcBFHzA59LRV2JBMFqZ9PQaj4PkP04pGB0XWSxv6tRGvVAi/jTSv9C8fFFvqOOig6GdR87BUfjxzK6U7F5Q/k+WT790655m9eNQiRZqKR3mowL+hG1TMq3eefbRbMTDyaiCsWfREldq7vxposIdDsTcuJLzYQnNkwUTn+uEItsAXpNYwNCTJ4xx2kyPqXjPZ5V1p2j9yD6++HxWAl5teVbszzfQd9HZhFA6k8EAZRXYFmywnvsQJIhaZnPtit64z5OD4b0wbzr4lt1RNYUHLzj3SUmdoUlgQ1/IRtFmS/HG2wLxxIJksoMGisLqV+le3bGtWrQD0VA1OUAAIDR7zSokVSVrnMQUh0kzjErzOFO1I6URkEjET1h4d7zpi6ujZr7xfXUoupZxBnlUk1pTtF4DTj8YFnzZw02pfFGfdvsL3b6MPWUawVsPCXS+YgvzxCAW0A+9BEimaMivnaUe4uhhcdFkSOeII4zjPL5A6aVlfeU6bYFDf4D6H2kk1o7a1zB6GliF5rt2REqRDvC/C6CQIe7U318Gz8Lzm/4OdfJ5qB0osQrk8BoMvcCf9bU7xLTfR/qSC7r5RnThWddaXI2+p8X1uNlRIoLf5jF8W3ObHTsNmSYK+7/hrsZ4ghf+xj24bDZ4ecAiSURxmgQweoDT2j6525vu0LtoN2CiCE+6gTheajMxapvseXkoGYTi1MuL9uoUqq7Bh6EDEgOVg6Ahj/B9N+xJaNfzyRnoavc44kp1/uMNa1FTHhm1CJAPFXdYg1hT8PRqtZH7RSYrxuiGV16PHrBIeWho919N</x:t>
  </x:si>
  <x:si>
    <x:t>yfWq0ELzcow9gEb1hY47D/UiwGaEyX2EXZgMbK9aW+UQIDkdBlIGyDkUPBepbzOOw06yrl7XrA7v1b7cQyGcYeiGe0wgR8dUuIEOCnVjS1Usy8eeer5fHyo9tIwhhmEUjDfYiKj7KomvFtXvcrPyhOa5i7UX6dqyEMKrY8d4o4Thco9EbQsWNemH2CdhHkoBqdYLksYMkjRUbJuFVzbvP4OYP8hWCw7vj/ZpGvJVqnqw/BvqGdTF3Jt5CAERcGN9xV3TZ7soJ16YKhEpjHY+RK/1pP6e+L34o0+8rIOn5bhFfQvWE9PBma/m8a91Nxwhyj97dbEav0nJ6KGBa98kDnulr5CGrUWpjzHR9pWnXIbPk6M6nP99U1fjIG41SEPfH28aQEJckp7G3yNhA6hE6hEJqNkS6/JX3Q+IcRBdssejqaTGIGS3sU73c9V5ompJJPZu6Zk4qE0HDUzMC3Cxt5faSho+Q5/SmWt+v1b9tFNGHlygiQ/eT6I5Zg5CPvoD2WnsKlQAjsuCUe+ZnT68dnMDnoIwOCoJRw/Qf3O8REeBMJGvDK/V1iYVJhJmVsITd8T7qiMuNGWwTJjqB3wOOlM+x8AZcny1yI6eXH5rxQyksNEc/RUKvfOCmGCc1/Zer8DhxLXaV42QR0nt7l80OGJdIEusDWr4RvsloKCj8TwAm/SIHZMYNDn5Cj52S43HcxOGvvkaO2U1qChtpHr3bMuqvlc3N9HpebsKZmJTcTDec+TIS7a/KmXw1b9QxkRsWMBSWJWf/9AwQgww8/N7Aj7zIYigjGTFHtbyubTKMbDBxtk5LLAUMGAWQV5/s8zYlFgKpqWTf8JpfgBT6ArBWEhNLklrthPQLXphjrmApy/9I+mlH9fsRD15JWK6Cj5NsL2+9dsfE3voC+VsvIBtt73/5oDAsrkJ7ufOQdfPZ9lfzCQe4lk0Jpa9zThpI1/XyGN1kUtmrTciovmceWQeyPRlbR9nZutdvwuBMTyli6563d0Tj60/tgeQjGPAVF4Ny/RR+tbkAthoYFSPCPUZ/UBNipMBaJSV2f2ELtp0gtl4QI340KGcckOh9VxIvRJ/9YYHYJzRoNQl4GjlWtm+CggiGbfrn0zZDq8TynijKlfosmDOrRJvu7JBf98yCjB3e7A/6cUMnECSjs+keXt+7arKWBZfZfvFz8hr20EZHNzwJciU7qKuo9SMEgQYOXkYUKZH8cjm6qwDzztqtRAyeb45XPy4rCtXxdSTzoST/TR8vdiT7yRIlnl2AIJLhkkEytpA/2Vz6tDBw2+bEL1bpOUrvyaTF8rD8ZxHj7sCaneApOBd3jb6O7JovBUnaYOroiywdvne8lns0LGg1ENE0+4LmVgG2cEGgiizLjlU803i4K+0ArgCvyWBNc39rfqO2pEole6yQvGeROjPMVYcTCfF50v0qA20pK+xUwn4zNk5mxuZrdc6i/zmEChkR3eHX3SX786mkGXeur/Ni6pb6JOEHdv1PiXW+t/RDBGmlhxhaA8PFc1W/MhAGk2W6tJYBxavIRqNmF225/u6eM0aJ8pHrs7Ie1ShGbo136S4ZAbI2J/SXZ8+o4O2LQvXD0ev5vvwP/W5Y/3k1p1/jWCB68hlyifwP/23/3vfFI/5JMeZH+PfC8UBHReoalgMRHcx/1xGCeA212doevY5VqppszxLkrbVAH3smdExAmdGbqgY+h96izornKnmwLlBvPXcBm0IEXGp9whU1v8tY7171VLfjZ6wzUkRbTTuR8YYpjCGqLG3nrEFEKK8veX6Mxj22n4O5J1m20ZlaIzveBCpofoHqaKZCWLNj8UxgLt9aP9+WPtYCmyLSZLKNoW7yqERSPM7zgwXU3qI1IYdqz1Bkj3AQwuCa5P78Ap9AJ6UZpccoWaiREZ6Fkn5MMxhQ5ydv9lnna/Fnna3cmFxiNEvTVYVFRWduJVgQz2t3rScrjF0O68F0XGPvTDvFdxBb2AuiDJf0Jc5w+j0DoODjU6M6A9nNYbNOmynB4/UV6KWj9pJ8iD9fRqVITWyMZ/OmfdHvvYld4Ic/qXUuV7VoYyPogYnyaz5m5J5jQFIphFl5UJV7PanlXAb5TDEHgc+HXKdtpB8PPFiu6mBwyKCmQtehgwwlqhbtLDQDGTb+jXpvbRb35oIhdLOEWvcd6jOoW/kVKDw3ZX2IRZZdK1Bvcr/OUgZnqtR8B3Y7mtAf6jdqLi6/9n0KAz1+S8Pw49FesaeswtLU0/VNzKK30xU0ik8WPbI12EJOAk3cCIGOCAweqifEe8/FoS2XKdMyoSj9rVbmcQkVOUg2peD9IjgQc5QzhcS4ymSFcLLOy+YjrfjOPvYF6yfVracVhRtIo7tgDVkEP4shO0tqHZJilD13+0Ne5o31ANFPRDORY7lMW4PFjnx0RgSb2lVjPXstq2tZlvteG9VUIhH40vLfWVzL2UiIQFEH3e5Rv/RaKnNgtcVigYwkESSMOLCM1LCMRZaALbC50bid/ouyQzEVEDOvfuq4nftlr++vN6voXLcn4tJ68KfSiWbn1AbnvcUvSa7z69dkgI3XeOr1BQqUYTUGXgkUDd8+CYo2Vb1OTjbSJk7xt4anw1yx0TEg+9OL/fbLRoTQXcgncI2Mw3fzExCUcIGIUsPF4Gj202huEoLU62lbQzp/jwtL9VFIsr5X9768OlCEcgVvWXth2xdBZ5dveCbVrMpSc2EvcTUyr5kA+pRBYsA4ucReF5SalkZAWABBkxKiHWBGrOVIL9iDkceQppR5Yd1d1/nUf/tde0Xzqx2OiPfJAxcmz6U/2iAPgRCRg4I/FEEMfPqNyNyfOTO1XLw7F5vlMSVb7MAxP5chb8Hlueyvi8vvCQepBJqbJYGVKvEFpPnpje540P1eH31oUbGzL8DF7F5YZMnsMoSMGzK7xz5KzGTKR0coEtVtSR+dLqNkkyWTpgsrZCuiYgW8hDd5E07Cvosks/+elwp5d8VfByj9U54rycaVXLvFLvYwb7rz1C0j9aNM3C+Ip924m1pALY6GO8rnPj1atmxFCYRYp/svqo8Lfe6Sdm5KaQfMP3vY0wIAM80/akGYZUHQ6/kJulRcAytmQEi0uS6e4vo4qnJKa+HlijJtE5T2dFiqAZWSvf1oTqPMt/aeoZbv+hAkoAkMM6z/+jnl3b+sIzKRon0J30sERoMlBFg+BczklNxHsbRaY3gXpG2iP9d0jkJo+XuP/MAfrwnwEhlgM0mupPHv997OzdCiSQmfprgBcZ3uRRDVmKv4zUp8tv+DyHnU5stBqc2AD/gBc1cvmndoJMGIURTm+J5JvDCksebt1ZzTDrSIgRO6YZYnKhKD4ZSg62tDsFWBnwCK6B+Kkk3HOwRKJ563V+FTamJjmdt8bp3RKW2fKCT3wsMa8FKDtoHigWcVAhqtkMSdAC3jabFcc1cIZgNdU/J/LLQnjp1uo5JIsowy7Ul7uNvoyMQCovzgF50OT2OMDYdhheLnY/aNWlkqxlywQ2i1ws8X0+TtfxDgNKtnaRi1W0nT8k5k5FObUeLX0EFVXD4Vo1V3Xzy/oFPSM7D+LFrL2zhCUlAS9jGgmeeY8B0yZqzo0B6IXsivJMEtBnC5AbYvGQPjYTAyCNmt1I1ipZP0gWwGjRO46K7Kvq5h+z48PUy1KfO6uabX/jmjGd9pz16XLof5plpx9N0WHEiXXcebUtunmgee6gxPHlQfvpCOL3Wo9su5fW9/BB84AcboePsylvYllpMA13sfMDAtlw9XOuk/6XNWlgsffP8zlSEYtUGh6iOIvDJr8ktwraC/6Ddu37AZWT2/57KRSfRbZ3i1cdR3m7S9TaCJGiaA1e2IXIfuyzaKldPj+v2OvLl3b6QxHnqGaP75DPTlJCfaj1/5IoeLbsfStXeRDS0cmnBX3e6mD4K3CMYHXUKNCDBilAxN11CwUDn+EWyEPbNvIpkzsibLlYOgD2HKGf9qzXHpfWFAqA7cHA+5YGHdpJcFAbqF7Qyr1GL8JQWuiLq2tk1tyiMjDDHD4xip9fx5e8gHHKvqbne2CfJUfeb8NIMCc6aGsSjKGG7zi1HzwXKqIpAN6NgM0qF8TrnG/CiijE2AAu6Fo7/Fz7GMIuUarw6R90X70ODU5OQvq+1fI8oFD6gaMg8ICBpUpaY+AmYf/6gEKfEoql7xtiu5aSrOl3pnUzWapJuCMifdJm3EpCCq+y9MwTrJw7qvB3v0zRDUOb25IvCZEOk1WbMVV047oVsYVbMQMYM4c0RJ+9eOqWPJpLhIUP6TEkvLFqZy4VMEpksFCigFATDUa6eT02TTaCNljWckMqYX+ZieltMji3UtQ55XGOIjYDKQQlsHoDrIayXUUJUJUv0Th7DkIsLr3zXe9wGDRlU/U5XALo6ujuz6HkenDlR6P5efbhcHYFKKyBlzpcpOJ0Xvmvz+Itz76uLN5LC2dw4LxCtnrWMHkLY/xxTm5HbCv0x7gzkd8wRqu+8pKxq8agVgax6SPpzaRW/RMiKKb4DsGoVNvfg2Wm1oeUGgW0dmUqiiProLnjZCnxgyMIH5aFXO/y0FZ57Gbm7fQxQDSKcTjSSAap4IyRgJEjwVWH4F02CTU5nA0wDz9xEufna0u1GEiopADZAG01ApqnFe8JHpROLhZ1Qz/uwGmfMQ/QF8DLmB3x813ngtJauHXzUhJ6CMS2gqLlQkmA7dIASz/do8bxEz+7JHyoJCFxV89ED8MPisbZU0fD/zvYaiXu0oJFNdJKP0LEx/avluBJ83y97qyOl2vKimrebTnKQ+xu72UoiRD7GkfUuxirABnSJPunx6IIgBTwAxk+nVIz7piHkk88gncBs82Ru02CG1AC6K/uJgv80Rws14JfD2z1YDuD4QbWrVuVuUTMmmn0oc4b8Fy70NGz7JpPLrXnWs8cZBtuSZcOJ4wnAxGyh9m4Ff90bdHkHyWCeOAh5Gsx+JsoBF5j6HJEhaHTUQsOBoBazho9naGz7Ps4KNxdtsRosO3FJh5lSVxvQtnRhaARsB8dQ0KuPskU8quGCtiTPenNaTMVzFj7mQpwXYY/JKJ2rMhkcAprFAVLd+lebG3rSVFJZdM7HgG/dyyRk80BnqhhF9kl4n3MPn30r//RQwCjtgA4v+B1trSdoI0JQN2KwZqye/QGwFG8iMXIDVyvgDAIwZXuUCRcFZ5PyG1aAhhMD/3rPy212xf2a+ROXPz2yPhX0GefNfSLGtsW8brNh7cHyhZFeTw8hCW9UXOaIsuibEjFKblev3JeU1P/6hN6YZvC+diniMUxdpWWYtcChJlFm24osyUWeUCOLut/yD7fLOiwMHFrA3wLK+c8I8nlnSb7KSjwaDjB8sBtP7zZQ9xJtOCg0KJQ22KyCaTfd9dZxMFDT3ZIjsNftHbJO0Sc1Qhylr8YAL8H6ybFAm+KQl6rTXLESigc4JAwGFL7s3N2Vwcra73/t0i2DcXQAGE3dH0K1rua/D+6YsreUKxUK1Gt8iPnWeuIvRo0DgttznR56fh9X1kDjVTBLrNZHOuGGvIeQDZuvM1MxIzcLbOfWVsWvf4jAqCD3aLnvu7AwxQQvf8dkX1EcU1RttSQpYtZjqNtzdJTpd1uI4BIO7kRN75jEl+ZQWwZpdu8TMfhV9OnUcJPwhAtiJSPmgWejU34igG8f8vBDpGMyfoaFwiBNqzvqF+14FAJEtB5EYoqD8Hu+NqlambdfprxvFyXX4qrHEzx+reezJkQ322PrmoXZu4UqGCV0ycvoz9kgixuGNrbPpEMOm9s9IwcbLwGDE/CYdj9TQHksVBwssIamMzF0doQx6t+GmNQ19gUlFZeaeLqcmx6Oq6iFb1LbFmioUtcII1xeOg6hRbJLhRrBIZeTuYxYVWXvtHEgXijy07Cd44KHUmp/nMQuNOTrEMMtFKvEACmT4Hqb3YEEgb3QvVqLtkWZB7a12QginfyUHE5Q+dDW57cgKyD2WCjtbKgkM3bvC/dMf/R1lXp/bJVOSL3kvXVXaNcwj2eMoxWkLtsDp+NeeGqmBmagms6/W0HISLtTFUQ+7kFe++l/NkSWZ9k705izMMbUe3jsUr92T+EqD7EEACKeVSfdqdjPjpFyV+QfJ0p2Mec2A/tLBJn2yabtWrHS59YnfwVSRbi2Taeu5qr+t8dqPGXm2PcTURyGOw7TOpNJ39/fKKojfxwXxyBh6iJEVlBiuWGx/JBRIeR39fYVvlJKjEmZlqrh701f1+lD+mgrPJSG7KWTHQ82TeorclD64HyoDzKyzxf6+XKDrON2OubikZ1x6aMigK/Zue92J7dHkywxl5QwP8BHYkeGLU8yCLtKyOZ38+wrkTM8MZoitPN6ieU+j9kadJRLUU+strO62cI6Ff4aH7m9UFvyrlDuSaVGTzFt2EgJUbXMzdlCOz1J6ELgWGKiH29vgoO4FSxT15dtyxHMejKAsRMwlxS7aKKi+/82c6GUx/VJCckxIKlSF94Z9rcGt9TJJVJUh0omXBrL++m8ni2y+qHYArD76DumkIWkIIGGa3ySINC04u63ER6lU9/2QAHMUOxYmoD2sCOvA66b8tsRLlq44a77yhUUu04ZWcMBGk9RFUYR+Klpg9y7icRGTwviuK3rJgB2P2BhK5d86yJKdyBhbXx11QqIIirotfGPWG/Mofd2uW0v40JKeSFS4d5t+tstQXqxHniGZnVntUZ+50cpXDz/2bcJi9PRIZlee/q8ATvGVOEi9NUstlPMn+fHePhho7wL2pNF4bVDEcTxgmvjcdkQhe8Hze7p6BXF7CSY3WRg26ECyEqT81lhJRfeLZU6CSlRLi3a8r8kXVYtgVlHHgHwhvoZQ0ZRs8mrn0o5BjVulh9E3Necs+BrHNQG6wZLMfdtVTfQfO6fF1O5WJyv9S37RadAiYyTb+ii+dT3nsONoMNXULBaWeVQaGVilioHC6m7ki7mprIli+uWRCGuk6+Usn6NjfafoliJ91SqcRI+q0EJTAQAGaWHbT0Czq3cHAWApLnIRVBDLodkJWSX7ginr+m7oJS2IiWTIqm/ts49zYxBEgYXOFws8gFI6Jqi17RXHoisXvfXbe/gdRFg2LIgK7lGULYV5r8XD7JFrivZGC4I5vTgho4uZJ/pbr/8+rkllWRg35aYVQw6QNaUAXSGSf/SBWsDPrA5g1SDWaCwBPNIDFr8FM/H21Bn8DofICWR8EB4fZI/VbKR3ivIskPiZM7MbHtKULv2TlnEjeU2pNEsc4knMm3ANF+ho48pZeq00DSMZiMUfgAQ60ZmqkjBueLJ09AIRDRopt89JyQQQKZlVysTc8y3X1tSlWyl2RFpD3B/1HUtMAx6WZTDV6Lm/ojBlAH67fdb3njeLws2NXTXsJcIcd8Yn4g3Z7WLEReSQdlwhcKP4xkFzrWpW2tw8YtlH2awfk/1nqSxLf4F+Xu4Y+/X7f6zabuR2Whudrkizriojd5LdqNxyepxcUvT0rVQdzRYFSYO40iDzoHPqH2HQlkWSC8qfm+dTBWm+XzsOqrSo7WW+gVbrda9m1pVl8VaAO3cdpLnLSqiW9qZkcsk3q5WC1GgCFbLuSGvmoiBCvIsiLjsc1s5HuRedlxqOq0rnW6pa/gL5puy+m2FlRJ23ZaZBw61giZ8JRS3Q8vWsJn+QNyiaz69q7AQO1Lth76Kyh2HGECFPBUctx5q+NYKgzuio0LkWN/S14eZS9n8S1tNTPf/VqQk+GphdE7z1stXMH9euysZx1XL/lzQyUdbu0+8LtBkqiJEy7Qlhd+ciIHsabE6g2r4CWgU+HUfaf5cJUHDKemfGV63JYJM1LrBKotNVVZVqLlR6q1a5noRugMFlTBYmGkW9f+mR7x+9DjYO/NrOTfTaOVNDyIBMsvvUUZ10q7NO3jqnw05CQ32U/PmFYZVEqdmSs2perSjOfIUKpQ34IuUWBkJlI3NqBx4r3LqDQnqALCEqvhGoX/nQutirP4L34b+9ppU9uPttUSB2fT1Ngi8/7JhYRWURyQui4/Fg/DUqgVEc9BrA/jtyQmerT24GShB1pkM/CpI0L9kr3M6r04G2jHtJ7jXfJY5Lj5Z9Vz3zSEnUlwwLZj0CYwb2m1WUB/8D2P45YlRH8g6AxCkjGmQuB2BSRHaxov9AK9T8liPR7f93fZG6LU4B4Ic6XgBZyxW8eqpnRwcEUwJWTfP65XE2IYJaAwyx/tmDV7WX8lxAe1yiIdaqUyKaVGIYKexaqkRyCWft3HW7BrnBvloeq9DX5R2hJnbMDmFkzW35cl24gYzQfpobuMb9AnHH9hbZB8NwFPY30O7t1jnSTMB/py2hhpYN2n9Ic7KVBYBZa3ITpsYpg4DvCiVRNk4ebLENmAzJ3afn90SGkd6MhXxxPSAHV9k4rweeFzkg6Z7+0eZ2pkDWyhzAa6fUbWwitCwXA7syOpfuWHIcVki3HvdCOtl/W97/Dp+d4xoccYzJfTePs892u38U3XcRA87szBNyr36XvbCxIs9CaTFL85RivveCzuIsFS+nEhGT5MWS6MZ6rQLDcaDtcBKAq7HjtuhqKKNDmNDw/B1J/rk49lrzlX8df/xbkZw3uPRyOsCvt069vXgUBKtSOK20FUdc/003w1FSn/NtmeRBi22BWnY/IMPvjboUHiyHxZq6PntC1RCmKPlkR2HmKTUGJsa2CI5+lh5xffWgWrxYGHDxUGFG3tDfMJ5wJJ9v0K/zzrXGb8gjQz1DAXMFKs++3h+VNkLrmb6k5wWz2X5UPLQJbbhP1pK3H5ehxRCoMURwCms0cVLV97UWjZef4GucCLODuNjhIw4NMMFK57kkYzAptrMW3pcVKwXQLv14vtRPSviRUIPzoWAgswNuvpNqC1o6Ax1hSX8KAaa1VeMtH7pMdNA8EczUqKNXBPa5AJKK8P9vidy9sulJwrkt12JlYbGxRoXSdTfb6ahtAAQnx8zyHXaYsGc3+72PykbsxzWPA5Wrv5z6nNMFkAKVDO6Hv0wHTXhnnqkf49r/V01NnwrXbJZNwx0uMhMtVxtfgoSI5a4p5jxQ9ZRrrUMToGW1xHb0NoRxk6DLPBtlqx70mgI3yH5yJ0VRbkAcchShD9R+bFjs0stzZv1Eit7SgXjdcIDbAhC1KVRp1yHGi8Y+ksYIckFh5dtMaXW7t4qaXgPsrXk2PESUD+3OYTvJOuvICco3G6/Pj7zczr5WeylpB5P1/QM07LhkuWQj/kMQ/5E9eRKV0Wza0lUY1LbAZkgQQlI8k5X0Wo+55WU6S4l22nwWhyxL8dr5AaWrBgxjIA4btghrlzldkPj2LyO5kq0MWMifVwUq2oc6cyUEq4/8vwbji2k/YaTw95S6hMj3VMr/rjbxuMdnyuQstsgV2fRDbiKzXRExMowvr6fvMNBSl+dG/MqLibpnLpq9pvOBYftvRRdVuFdkLUlEys/jgumARINl240h86PpzBuXwCgEnKu+zg+C+ws72otcrHb8Ck6yNC3eYqLtRDExR8eJnIAxukuD+aGxUkB6nyzU2i/AbNRv0cTIWRcKJ0nK8xKQnKR0if6QZuHuoZJH4hBRlhNQYMVBHsYN0YaVp8dsVCqIIOq09bL9hE4U0sH2GkRGwqd4/BCKc73yALgQDqq0x5UtonoO3zN5cgyB9dLClhBMg6QtIHF6o29Xsi8mPm33g+7NdSFFDTkQYRHXqqbyrEUBu3q6GKvZFtKAw+VaUYOFXUF7Roh/NHvUFw5cljNunkGu0jszZucO81m88KvjTJRhevAQbBecwgZSiIctYD4BDdoQHHyK3GhGY0Avh62EzO0CRs4+07f9h8tdA5DaKYIK7IUvpxFl+dcCIXrpRe0Xn2Ez7/sWwz7mCEAJwsjI0d+7QsgHJ27e6ljCBVpNid8n5S1yswBmZN65Bg53XZdppPXhBHvHRh0HJh790MjFjHYmCO/+KdBa8kZ8/R0nBvEJf2y+kCtJvYJ2IRdRGkHKF6VLTmFTSV64onlJVVZDyqtiZjkro9HqVIutou4t3EQsQsm9urlRIlet8Y4QKeAKusN2lWLxMFPRNb55vf2ieK/vyzd4FbrrJTrcpeIEB5nBBPtvLD6W+BdEiTqT1pHnkhXPJuFjmTXGfqT3miN91imIuYVd5q/ttKL5wy0nGA1/YT0aKjqtpl3ejkI1PQWZIYrJa/5tuvmnPFP8/Nxjym+JLTQ77iv6Ncru3gJsJNfzUAR+iWByBlzfyRAqkvTcLMcD36Wc60YEVJjdi90ggEwXWxqT/yvzPbhx1UGFVJg7Gv7W5Le5Y3M2A649DjS/Jvvquuv+xEcd/HKTTAyQ8EyJniI4jMCnhH4cpwukM7KofKmrOM+yp7N9GyVsQPzI3lig1e7Wek4SBTLpxIUwjo4DI/n1BhSJWKlpniWpXcD0i+PSW1WBBG0QwvVe+9Pn7bicYlrO/pL31bt/VEeqhPudnqOdYp2iPD8DXOClWsemk0F/q+kwF15IyBK37O4wmb6YQGySy2d4tpb3OoE6hbjgyCsk/SJK5/ANYNZCbLxiylVpDcpcHCayPNhDYpU6wI+cvEdOPoXrFN14NXl0ppZVQ0Oq9pU0LybNhkcSskO/HfByqO3dTN1WMOt5IrRycdDwUW9SRFaTbOF7cRQc5vZcBFUhOzynKXGUwmbQG4FGQWVcKDyivd9FUErd3vg/OrxArMTDIDuwSbCpoxR9tr7GGEBV9I6wwt/bSLX+/cMHQL/aKmZpmnFBh9hwxLEy/rX0E2YvIT3jjFbfUcKhPLUlEDYqfviU1Xz3Iupy0p2KPTF4EcgveRrE9Enh+w/u4O3sTHvQVpqVqeK7elVec26oj+rN1N24Dip00QuGjGGSswscOTDqQ9saIpza1yDDmtw/cC1MqFMTzzqI6eSxT4hAL7c5MCTW0mDCAOR9rqdsf6N+6+4d2Zv8n9l+eAO/ILHSx8QtvG8QGiIzkUVOvPDxW/FKuyIgKQ7FbWCsAmQ9T4/2WpsyR4hY0ghOVYJaReOKENoMfHCNUpMY6s1qbHiJCqYHhXTClQsqMDDxTIns8Rc3ys7kemhqMgF8OfoAj/ZEphR1cZo9ha2qhKnZWSJuititJj4yDejzMEHpJ+EfZKSxKYlbxXhvcwXfR5Zp85ImLOed/JKjTlyepsCkErdZOXqvFLDoomwP57K6ITYMZvYZ7TFoOW2aWcVP6xDI9k+Re5VX+X3veinm+9+fZQjIxmBa/FyXTEjWeB2TfjgzXNe9zelkep48gLoc10VHIwBcK+h9Q0QNfIoPigO/wnLbPuW2yXUdL0L9pTKg8K9lHK/P5/REMUbjj0zH8gR0etThmn8/QbnFK8LbnmStr2eUUuWxhEXFYXpbFqkLDt69eyw8QMTy7R74jq6o9mUp6wqKbhDm7dc7T28yxWibtllsrMryzUItKh1Van/M2ZYYCO4RyjYsFV1iWk6eOORFJpmcxvz7up5/kN2zXiKSzVmQf4S5BTDfHV2Tnzn9Z34uX3eAwpu1Te7vnvQ2fGFApZjXm57zIt47YZYzvak/JG1I6IhDFUIa/1p5/mqQce2sbmL1Z/dN8Oq3LDhcbqPAGAtO/6HRfB19UIGOG8gitkuw6jNOIwo1K08Svz7JEqPPRFwxXH5RVN/7hDczgDiOD2YabA8DblprswVxOobQk/1AAUE8iqUCMyQKjy1h8LMwy91j5CoGGtW6L6WgLyfoRwyY12g0giZdR0BmwrhGTlsQau3Z/1y9KDmFr2sBqJ6zMmSkDNWS7zHNACq7ZERHouD/We+u6fyZOWNvkK8HzzIBqP/hf34g7QkH6mQ4p8dlpv10pJjD+CdzBJ26xgPRgySuQa/Ij06eIUd9KkWxK7FPLtCrjPH3sPJ4GEAM65uAS7ww2w+U6D09lUx64oLSad11MIlXWqdkk8BkMrVpsT/+O6Ocgw/xE8U5c3itCNlL5QkTgL1EgBhWCd3pFfpK94fSueOhnErUMInRk+NOhdlYCmImUvahu9P662ijvlfuYjUrmvpX6WNSCQ3sV1dPLKWJO/89GBxN19nXYr7VR+PwtpYeTzhhpwHOujW8P8zOw5F3UpGE7V0k/ET5XUhxolpk5FxwogBSA+9va2cqhK/VqBcSktrbjJKcj+2fsDucKC5Iq9YF7Ocx2vud2YQE9AIYU2f/sc5gvOjOxu8wX+JI/J+pATWjbPnMaoET6LuZac4QPUrzHjVC8uy+u/S8KdCS7zBp2sNvBl1Fan+6rFiPnIYM7ulOysTnZsTkdSWZhw1Z5VVCbfSQoNne+VqIOjwTbfDT+54bFl34fKO/VWdzN4mKsLhIC0qTsHG+6/WNobln6gjmS6gUXvL1/xXch+ZXDqZK4qiN0Y2YMJtsC8D3JY6H5NB7Wk8NjtAyLhieOPefu0GY7hzg/OOgJHT//6N3sY3eljKc2U2nAYCY3Iq+kyB0xCwWvcwediNqg9v7+zLP/fWAb+HGMYHrqjg8d/X4/eOEGMCwHE+lelOKiyWhuHwdq3aHdUpNgmTfRvw2NUn8GpW9QbBJQ6y2Vpq6u8nyLGObpg7EfabtY4OqbvEcRvd0SJeoNF8bADeCffjyQgjYZfcp5HpVJrCCRQWxeiIa6mJcQSqTlgdVUvntlzQeB4FxikwA8k3nqOeIjBd9Cwu43LP2298WhofpNujDwxKjIc3BihYgs2cd45f+IrQssqu3FGXRbbmbLQH6lHh7y3VgkadTx2QdOvXMrQ5+0t0NJgZB9mST7OBP1jVfR0zrg0UkhWfC8qbj3E6RHA82+ySb0co93j+a8DpMxqWjV/gor8heuhxMfmRSOPJZV5fdUoeVJxNQiISWIz4/vIgyiO7tmJLsr4RhsONmbTo6iuYxpZnAIBP6IoQ+2Dd1XXShIeStKtRSyawz5JGP5agaAE190p/f09wOLDHppfJF9ufS7c0wk97L3b5MbFuOJAVf17H3/fB4xcsk5U7bmngmJrHFcEyatJL1YMMn/Drdej9NjRw60FYH8MANYNMPviYdrBlVTrh6WW+nJWHi8hgCBwSb4kMs2BHoxtgjVEeV8yz8g1fq0XPeCBOHUwclLi6yezXv24XICY1tPgYhQvG2KidXxJ06/OYWnDs7SCgMvSDNA5nUIw5d32n6HlZAvie53OJCy3lw40gAeFTu7k5YKxKXfpAzMRat3y/R+UOi2oJ+SiC1HYrjPvHU8hsoeeOccK0ixk7RGuVoPp1XzD3n8XeIvBCyS1GCSiUUoK44C1RPer8PIcXq0RceptleyOQIvkscEsHyCzxzMbjHqaJFQ37Fq0P/qGSBAKQNMF3EpL0oWV0ZwWRw+0XFHXNzAsOgblIHQkikMHgWGGG64ZdvbDjegSFWBHSKs7a4lMMM+7slcNEpuYPD5ekBZmN5KFibwTh65vb0wPRnBYiWn/MxhdRPhvlmarx6zs1wGEeO7ZlqkANwYX/sV/a4d03IkaSvvAbiBn/7d40jGn8oYEcwyoUr/ZjJmKFiP2LPhailyAbSQWg8KubulzYSLHfT0Qizm9kUxtOcYOdddrIArjpc9dkpeNKBrXh4LG7nm7BHg8f+TwY8pdWW6nP61Kpyky9Dprr3YbOh1Yf/4YZ53KI6gNxaa6nxwHYu9SaaENxwJ5R2MATMpr01mS/Ypmw2RpL7rwMbSrkLIb0IEF76wNY6pjETWVj89Qs6QseAb4zh7Ihg5PYFfUdrT767o0a5AZbsNY9ms7jDwK3nV6bliH0u0JTmykjbNq38pdWRB0pMAZLolSOH0ihSC/CUzs/2BVLC0tfYT02RNKi+mMMywf43s8uw17g12w4vC0CJiF+60rphT2BCig1K+4IPBxLLujG8UEtFP9kun718w5XJmM8omnJg6c9XpxAKPEBKINzK/pYMU3NASVpVO5thGc6c16t1GxbG8jxumJr58AAh4kQYPLab9xviRboxSJY4SOy/w9xFgpktG01g0TfYpWjCjTHwdMrsbOdNF18fEAmq/KK36w3RlUIgNQfscm3rw4KzlowDuxpoNpZBG80MyJasnMww3pLSG6RRtPqgcsv3s+ya+hYg+wkScFeCvtrQXpISzQoLP0zRGNQgGXaxGkIQW5zYs55DWFNqrJoheNiWxcfteMNaCvTCT6iUzMiviymsB7K/Oa3ky11sLsSZ7bu1b6+cIMXiJhq9iBNcyMh+FdDyRMuXMSDQiA23jNdA9+Jej9k68xe8COmCHXUmXHPrln5IpRVu5mR7hwpZnb+XaFGzZPJxEJgwAMcgd6wwAd5WbtNvran9fNxceGu0eeqw0ajvR3gc6QKDHFG/FqVPM6+fALLV4f9uLcaZSAdEc0arvTamc25M1UWG3kELtl2rfLs8xNXv+da4FGMZGALfD7Hwlpv7zyrK221H/mDpmDK9E2nWRf75xjWQyXLn+1Y0zc1In0Lr794j082W/uX14GJ8fd2tbtSSalfGdt0LrfluUrtUX7XMXHuY1t1krr/dfiTtjPWvqnkyjYMhQO6+8CsrgIk7k920O0WFeVZfQgtA4/DclQigdH9GqKc01r2/wvxX9LpFg5IFQlesz6WMW8NFcuB8Yzqp5AYGL+AIXZD05pQUL8GevnM9kTSIVeUsLIx9EnkeAzL+O9zxdpeeE9acwI0/PW/EOYirkM/7nVuBAU1ErrcqOHs9VsX/ycXr6H7o8uKvnekRRZoaBtuV3Hs4KDn0GkC9pshe3wNow9npAjKLaNJhdtJGWN+xNEmmqTCxiPxlLHtzPff3N5U3Au86X6af8IUnsBTI3RwPFUA1vOIN+XQwjeqnCaH52GpJ05RVtq/CX3QZ9emXWwraTDDS8GzKKSZN/szCkJmKt5YYzVzPBpNZZICm+iKWBwkNJaYuRfJkp0rTvVuGuaqQPeMH+dhiZlVreAVNSIfDdtxGegvk6goL3bQTcCuUodJqJ1vpUhH4f0bi//gPQH3ATzOZfCg5nh4SMn+WMw/PY9s178JouB9d7rIQVXDPXLDVYzfZM7co5v1lDzfvwvWM6yJax1GmtKQ/heHw8aUmubKsugkXFSmMLYJQKwUyXA0PRvxC4nZZ1sW+mrjN0DBM1hDAamVJGHv8TxQZJ0Tk2hoxI4nGpSOgF+xVrlNf6r9OwVvexC7EZRIqXW1cSYUnE1Mkr96jybympa5aOCnCFzR05I/9R5NneDD32XYxxfquPKQt8jem8nDllrDxTBJvY8cmXYG9lhg/icsLOl8tqmTxgxYvLdxZAkEBbRviupfCWWBAn4+bEnGiVAxULYWrROr2Dtg8uT29Q4fL5yoDlgcOa6vrUCnfsiz+Vhv/tqjh2h6oGwvPhyyI33rQnlp3uiFRJ/yNTBVOxKpZSMrJk6FDa1aAsFWlYHMwaie5v4fZSlkTxRcMneB4PEGarle6a9f1E6EhGmVm07S4+GHV+C3wS134EHQFxxHMkzUNxFkdBz2YkEa2IKqfXqRrR+vRhdJvKTzDSj19Yxhhdbytm/ykvgP2aL4m7qvgiaqa1muOV447bExzpe2BtehZrv30UvyjX2Oyq7RPZ3hINjS/9jG+IoCoMmg9h+RRSNTSuTVc3+NI6CO6/dKTxZLEuyWrWTZmxw0Yjz4xSskGiHEECUZdTuKNPq536OUpVzkd9AktEe7+qIMechZfh0O4GP/frSfmSkkhkcO07afTBwbzSQ2qfXC/VODsVLWpMcEdYij7eQkygjIB+XSCZmwBeiW/dzCpPE0f9aYLoc12wqFQuuf5gDwLcm0TGpj0VYrVewW6nW3OiFjhK6N7kjQ6Xp3Jm1cYjv4PLDkUMheqtBlpy5W9oIDkxaNJ+BmQZ1eLwPKqyO8x0rDnaipoEAnWa2ijx5+VXkWrSH8h7DoD0z2O95tcZZSVEgMNJq/cZSv5/MWLUkqeAKQy/7OIp0K9m2pam/HEDqROJyhJOqzpAA4Yc/WiwOfXkW9ru1+wiqgO4JXCIAgxDtZegyupy6nRkBinM3cxDK6VxXBi2g3FkKiiyijiAyfjeeZaseg3IVGT4jhRDx8tKKlCEI8CDrsCLMqy7IL1XG0GtIqTzs+WdDu2vLHUSORaVVR1ClOdcmUFY28D1CEurboKgELjXxv/g2zauiGu2T4L7czzpOaFSccuIibmdxfU7QIQbro5LSnzZDXh0I3idm+wjanvn8jB/Uxv7rhNthYYYwZxQddAee1t6Nmg9yg6QMYVTXWkD7m3krcVivn3mp1lAgJHcoQk13b/R9t7Oe+PwWdAH2t7UYolJmmf70C0MnwRgsvwg31G/YhHggZeRgsQn8K/aNHk4K4sWmfyZCfD2iaqU1PQljJJ1hEKo/5zTStlJikaiMWWULVkHQDPEcHIREUCoD2Fa5y42a1bYtN6f6pmdyz6A4H6lgp7Q5IsZXsg+TAErOEdp+J45l/kAoqt8mfj5w4rt6Nr/jFLaxONUsdNPaZt8g79JyiMvOIVYKit1ftBooHkh0eNooacozJ+T24f8j/KnX52QaFivv7pGvR1f8kDZh1N1bWc1Y7rbRbQiyAt0XLYjj8o2GPImGMINqZGrfbeZ6i75hJnebpF0e0tq6w1PnBI+3yXUCv3Y4NNTqvGjstj93U1hD0h3jQndnLqEpTWX34qenfPgji6PRMYwTwsT0nfP6j5+sfcR/e70N+sLWUmNEHmLIO3JGvCwu2ai9CMFqtDdYX/SVWILPWp9fjtj1K2gCzI/AFWxCJkCSIkKTCcUaOmD4Rx2gZ1hwTwc5iMpvwElTLx7s+Cnd+oveGiwFvl2PU1JnkNNnaQiQHKMPsJoZNxw2FyKxS25Ef0OnQxm7HD3sYbE6VOuU9yF7DxaJphXqM76bf8F/6qJWKATul9LdAi+XDOYqAYQPqNhWJFD8vEJmEpObMipXP4zzqnovHNNHdhx0O562Uh1vFEK9DP6hxE1munhO35sx57Piya/aQIarKGVwtIh7wBuo/DaN6uLf09sYzXeoV61LqrTAB7laY3uvQBBOMNBgLGnUlK+vjau70Yrl3WOGypZ2MD4tMA0Gsbil/3UIc0ZvlMNjU0kwJ0+PMKfwZeiXRcuZ0N/ZQzvoBdhvyC1t2a9B288MjW39CX1UPylIfMbPurqlaZY8uYPJDxQZpn1LsWJfEPHowEU2hoJeOQYMFIBpRWaldIG4AoeDfqBbmoiT6NjKqG4RIGe098KDUDqM++9rvlN477k+jrXa5CWiUFROvX0PhEqAzNehoS6CT8Y5zQUJko6Br7nT6QJdegINBI+1oY5myMf0PElS9TKBcLekZRI5Ykpj/03sL7NX826kv1y19BxcAzBO0yAmkO7YhHuEj/uSKrKx+TMpe5U62rua8rNzycA2NO9iwaXxE/3fkqBGSwWV8ydzcr/ZsxesejXow99NSdgtlpLu8fM5RMiBJQaG6jtasWNuG3M4xkw3y+KPqPOhCBsEZ5EnNU8/xKHRyMkojzjTP+WApAbAuUw1FoM1DqbY30A5qISoXBOhQaNw1D0uNyvJ/+TL6Ym2C6AVekrTfNFCW/hS2LLHHIRRUgOqx92G3AHdlF/gCjgYtI3T7wEOXzaJ0bv+aDMJmoLwBuzVdlnJ7wPq4a6NOMQYBWZR7Kn5/elMcOsLqBHnvO1MKNS4ZLB6elVf72EtKWPmNETtBznqd65Y0ZYi2aEH9ecDfOAvzOHjRNWJ38FJD/CF3A2ehgjzIHfQIbzHxRheE9zUYrQe1OA9BNdQOyXYY7SJ+W5/Z1ql6H4N7/TSATufpY6FFZzTKguTTRTNjaqs9OcSKVcM3KonjzYu4P26uO6ut7cal4NDBt3antxLcRumYZHLdXeXoaoBrBqm4SGB/BbArXc2UtzmxZqyFErkYYz2fjjm1QJiG2Qf3018NfJQpwFNFAgjmZI8A4o6t6v13TKQA8tePlUJwqnGTsQy5M+dtlV0/gyG7RSiE57YdCPIhhK5t1nizb+UTvyZSdCnIFzfXRjlYC+7NGV4C7pb1BQHd38549B5Ca37cmsAKdb6ar98oVjGpsCYQZYK5R1645A9O7SNMs9+jsM0d7V6l8H95TIYtObv9wU3a4W6scRkbY0N3Hii6S4ryT64T3wE8MpDp14mhtdzi9ObCCHMaYSkK/iLfrAp/GJ6xE7a1kVjIpmtPwL+F28np+90a+cL2Rru8hObXhYZS/hmD1rnkzgLpqRft7zyIx3VlY6m+jvBcR7II2Hf/wB7oKDBFLLJaLlW6CJuozawiiIsK6ytBt5qzzTy4JQmv26StWBx6WZf0gowqs8lbWwjLaOC+WMljgcycijk1DdfqCuFyOK8UG52B71O7E210pO7ITSYDqHrquFoTRAstWOay0Zv6HAQv0GQqo8pYtEsHouxPPYtTZLauVkUOgLsHeK/XSFOWBa5nseeAaUtigNhjaK38AT78LQlzj1D6w0Ox0oGR7oQeqXiSj6pXyCsJ69ne8hSTXquzu4FPN/GWJMiHVcwOfXZe+9HsxEccQgyvbimziPXI51ge0i2Y+GNTTdi59Utjd/wVVl4WowXPcZomWwJyZmBIII/G1cicycI/LPmw4kDM8RGFQLT2HmIgvJNekp+hMSKY67Qjk0MEIUXTHODJNqpXhZ0kyw0zfvYl9G0AyeUsvvxzVSHO/HWYVme4D1n1V0IQzrhA21PgEFzSTj+6gaG4nW2eM6m7nZEyNRhc7jW6ppaauCSomN0SKqyCtut4VUDUQy94GYADZE7vwUsipcWXnZYpF6fMHsPL7KRQ6R5fFveZkfJ/fJlJqhP0yEPr7mjCZ0fpQyYtob7n7UOhjFZW7aUqgWnIvzONnFm1dWiSmyxelL3nWaXJL2Ed/Pywoi3pEgakfoA3xlswhuBWkMgrwOsPftw/XzGK4ZnRK7/UZulaL9S+l7sJgIbhowbE6g1WqnF2IPWY5qwz5vnza8a8+0D4Iu6pAzMBxLhYlutl9SPF/yPTjEH5r/FutIy7qNu+b1YQu6Utv8E+w3VEvkyMKP0zYelSqlBhn4vZKiz5u9l9jU7CqFCmHTtqlv5G3/jSpB/c1+5M2aqfGgJutRSGoClmO43H79TRSot10kU+933ROr6Ne5pXQEhkTUK7av/8aZ/wnhguQdWDsMf1mSEbAj/foVziTawDgCRUatK+AjuG76pxAtsJ7oPliDkFbOOu8s69+Di/OCAVISZ7yUbST7zuDotL0TY3K6nsxj+LZJkK0fgHAZ4UyuA9zooLAO7OFpRUFPwAtAPiI+yFiN5AD+UhvvJjlYObdWkjkfKxiFe0ZTvqc9teONcPE6IYZkuno5LSG2Vgze9oQ8eTPxArbMXMMwyA8RC0QUkxkhxZjX3mLKFni9CDDGuMsjlbqCQCfxDsEqrkmwo9MaYmdWG0rv6RxljQzMAVwTBkJY1pQI8wFVRCHvF+oBqENwtfOcQ+cXMgfbHDGsdFGnHFHyGys7EOOkVOZaYpp8pGjsreY8Dq5QFRBCJZBntlUUaA/CYKcQPvsdTO3yowOkwNcQKnkegkHRXk/FSq8ki51C574a9Q8duBY7iOJmMR1fU3M4PhYhLhr6tDHx8KU/3Vk1oRkCBtFcwQ5fsSDSslWU29Az9THYNiOxCzuRSbIBttmAifmfMw+joi1nMM/yeOpx4TgxEFLOP8h93PcPxlaJ92wEnjNCAg9vl4IByjk7/65e/Fh3xGcwrAo5mx4SHX2P4u65u6hgk57GUC09jyzfxuW8i0kHNTQ8b8mHBvm+FrDhqkEDrOJ72oMFZYoGAol4qp5Dko4CElVdwEmmWvRVhPotTDcq6pvdbb4/cz8Z7vwJT0nz0MaMaB0jAW1RU3rN/9hgT4pfMGKa2jv4jH7PXwblhiGPtzkZqEuhO0I0PiqYeNxSqGavxpQr3RovO1kwPGeBokQz0dYFAAfJHgc+B8cCkuFMJmM3c95SQptHM0Jl7u4sih5X17zKlGo73ns0rMYBKKLDyJL41asuXWS96VgBEFmeGiaJ5LkJhvfnW8rP8xhxQTXurn0LwODKntEFVCPf0iZ45vmKc+zeBT4YNB6CYJ+647daP7xiwwOFogYKZFWyMp4BSKBdZcUIj467DGyYCB8FvhEfHGICBjF7UVuwO05cNwvy8XgRI1BySDtqNlQPbc5EER+7/d0CTjFBqM/45PiBnukvwUxt2MQIaafgB4FJeE7326bC/C0UjWwgTkjBs8rm8uR8RU1O0C+ABVA2nhc3rBWNRCLRFbAFx0q1rnLBYBSRHzlh5BZzOOKXDmcTeq5F5UKMIbCJfsiGuxVLs3C553mM7JTopT6lOk7XNNXYUk/d8LM0g8iBmJH4zic13rpXkb7Rg4iZqZuMMupCG6JG6NF2djDXuMIb3q2Cpv3fGUpeEL8my3qx5Pm74pSjiPsSUyOjGVn9VxIK5dKQudnBr97ZBfixslEole44DWS7uKQCrY0KEBTWsU1xA/ttT4c2t8y5mlC0UUso/95d+z5GULdTXsb+zATQNOtbN5Rrr+I1IEBGBPqVNFYC25hZ57NAMNmhJ6fNMkBbxHoHcsHoSxgSlaK+vx4qHM98oRSyYFnbzsy2OYtLiCvZX9fy9uiSjqiYF62i7CBVDDTXS8pYcj2fFZXZDlzYZXP58u0oyFzbdDisoUPDZV/KqAsTKfT1HgAzYiB9GpeWyYz1QUww339r0Sdvcifs2ZMMk/MEkijUUiutubmyoLfgYPMV2trL0qe9B8jMEllr9pclgPZBe3t4S3aBJFFarEkT7GYXpatmOYj+qfV+stTArbn5kVhynQ8gZM16iNSeARy6GzuIkpVgkeqbw1VptqXbp8aValHd0YT4oJtizc0IVo1KsAbTl5RW39WGof5sSpg5TF/+njhwu7au4i/E56LLI0g2pENyxbIKRz8bPUKn/U7drAo81XJ/hm9ngnHf7DsFmt28Aka+YFXisMqINT68lAXn79t3NcQ2gzY3PZeVBqqJGzSi6/HxUmsQTI7BlK2SgmHkIo6T9i2k+JGWWYgoYqZB7vGWncvP17y5bjavWIwsm1F/UV8PQJklCCqCNPJwL6jM0sGTIgGdh2idTPTn7Kvxe8XpeCUvYZmawUHoyzkrGsciqCfj2TemcAt9FNP91SGWZkBGQBuvjHazwBQlDG23+n2oGi74dl2GglNuVG9+p3ZupYJcBNVC4aN669v6cvna0pYNowQVCiIICFjWTAt0VG477mK5INB2zys1erUB674Qy/fylHQZcPaEfmZeIESApeeC33srfcnxLEND/JOI0gvQIXmuWnhMwa6WpkJqV/5IlzU6ZYE6ftsXqZGHQnMA4GrV8tlZ5rSadXv2PNuEkTHoBQN/aVa0gZnz8kiuuv+vvktfmcmzpsZ2ieixYAPcC3E3qfYkXd8+DgtLrWDe2P0PaMEywPJoCbzekOwUobjkpW4a5HtyMbS1mjGrDjfkMyr0/+mP5q5ciEEWPapiFpxIzrJzu/kaS1jtq0EzqL4niE5laY8dpWQUp4TBsB1x7Dh8k73n3IUOtglJYTElqXscMrKSMerglkglPaK6AXtYvfz5o+pg3I6tsPzs9FKVG/TMXSu5as+aKN6C7xQ/e1Yqp0613wlRf+7bFMs5hrgcqnACLLXqW+o2osg+Ad3xHJGmtllcAct+W8XrJSiPIg7LQjtOWToctB8o81ruC2uUIq4QS4NEatTCG2K9dVY+K7/NBcFyEs7HEiGY5qVcmiVdJ6pFcA7VRQIgNdwHFyUs87ADRJJcBR0rCN/EQ2XKbG2a4kL2LfqXPpIHIzOLbQj1RQ8MD2efNGgrUUYkMmV/Nixb8EozsgWFML/k32ByXvx5HAN/3A7ClaFB0BGx8rIwiEtfznGjFXF1iE4RwgHMFHTItVPw/jl9aiRYTXWQFuIHZz0nXn1XX0KIbtIbjtDxbRaT36bn8OsSEbGrhb6kL8WOKQSdwUjPYcXokbbK/rjOq0Ioge8AsQcCbe30v6uxOAhtH4WNw+XYslbvjcYZpNMbElJuH5jCOluucq+qTzbvdYOlMkQ5enTEaln+Z+B1EEIUopY77DVK3aHjp59RMsFjFNQ2XXu6b+cwea4rbJHW6tvDaNdAz2rzaccOgV/F+TbQATbRqBV4zkO/FzBarQBxJQbVN6AyySdD5AZq9xLkA82byzy+N64iJL1f62dXkirHR4SK0v2djgNdZOcxep/WtObNsRaOhw3cm8+bdVIp39qI/Obbjpyi0xb75/6uZRgySTh5RGRcENxYXMYa9AaxkZcuINU8fboQK6duHuAZpGWPvFJoTkUbi+KkWMw4zfS+YlX60yHXqANp5LDg2N3IPwvKDwTyT/9esJA1fStHci1vUfxd4bkoUsmY2ZNf1knnPQktNAk9qgMSoSDR0+4rWCfYCIcpXAC3APnP5miy68n2eEaP/FfyGlNNZe3eT0Foz37+B9HYLRueBVHenWDBHs9RUhJoPo2niCIYs4qGdRjEED57o6EHkzaa0QALsGHXPZ/b0qpNnXa0brydfXDZAUpCyH5PvEL0v3PMcU+eC1JcMWynf2lKDBT8inzP3vlXq6zjat0/vbQwj5VcLP2G4kGvQYhj4YiicZUVADq/DGQrpOuhdoV5is11bOWOohnayYhJSkrB6RFketzoIeIAecV4Ozo6mhJ7X5059mJ2k95CzYxIJxHQp1rtOiXoGm3dLLYbNWxMuKCeFpEf1cEKMkBeV7ksZNKN0k0wBCisG0FVJK/lVEvaBSrq3V+JFLpGh5bklmIG9P9unkSqeowM1c2NYtL14G2g0yIlvOg8ZPawjjsz/w0ABw9ZLmZWv9SVbd6eJammDVWadNNS4+dT1olDmtQNjxB3hGT6wOonstuyTLSodGsI8FYE+AqzzOcIY+IetGMO2YieFALM4B/JjxrlKthNFz/2kmGofyqforxl7oVMMtY4SUntK+IuyIgoLTBoaIBo7wuNKVulSikXDLxTYPTX8pbwrLzuxno4efBOvUnfPoF7pDuz4OgTgsMB/ahasEH5994DZ1iwgbWhE4NCBpTFWODaA+L+JEYOfh8lVk20QohHwJ3TULUSgoEjUQvbuM91dcjfSSG0kpM4bIE/8Zh0NG1qDsF8P0OwaVRRO5St2TQFbSR15rF5rp5yP8mmmloeJ1/Mw8DhzO1a8p4e8s6Mwz7gJAHpSPPoPsVkj2pnkT1OtQOyojDhXIdJru56ym7X3Qu1hGb0mSg5mRy5gE+9jZKsmR68HlLN/OCPis/5zCakwxIt8SqIb5WoTqWTOEupGT72ZOkKhC9MiG0VoP39nN7GzSO6oKXNhJPyRSQEV3BsPI8WKqvcB1GkRJswjQIYbkaWN7tHgiX6IoSJtamVrp9QxX+HQrYcqn7ltmwkSkITxqAdiWRfIJsPN2XTFneRpnfrh0+VtNFhsqMNC+7cefL2GyoQrX+4+3mSfJH99zdcLhc1t7VZCfdsu3PY0ezwikgG8hNlk/F6Orbseb7uVdWkFasnIazV3EGgzAkzV8bkkrPCBEMBknrvWpnryT1OfbWXm0/leg99guwVtPc263eWch7SSgH1F8E1AIANLie/uuEAa1HNCfXaGbaL9gC+uJvn+PJ+XECUBwSByDZy+ItS6CcPId86DxSwqEyWydWaRmEMpK76rPm0D91EHWtDs21eNzoq9IqmPccxDEYV5Leczwdbv3nWJTInoqEmH1wix0ADWKq/2xk3IwTHzBHMiS6TsbvCNYpLEbf3Pqwu9lqgH6kH+/NDh2+z6g5htSyNCeGtXnNdD0L8oFzl/hmXty5gluvABPxcYlZ1hTTt93MgTpccAfgLcjClvy5tLRzuq+fqrvs4ErhGp/gwkCy+ShPtbfrL/jxHMjAGPmgUCne3Hp8t7L2T8U2bjjQgUrYQC4N2RSj6s1k1CZBRRG9mxodWirlQHWY7Nfdd5g4dx/89NsRXvJYSkzNkxzIaoM7KUkwAvBawQ7EQuWDi5cp+G8AgxFUdMKfq8KJSRk7xbWGCeC9b3tqQCKHDAru0pZkAKa0Hv5cN5lWuRHHL0INu4Q0o89Llfb1/mIFgDhjpIIT4nXQFMn1w0dLw0lgKVweyS4j5IazVlQaJDZrlGQtUUwRBetMTkzvCohx5/1Zb2sO5IQLrDpsLO5/ONwkJeMVAmNuVLllFNlxrqK4QLerVOy1upVMQTiWEk1oMEW81SfyQ6FA9w0dIq32GispuItOiv5HRCzNOsf/Qkbu6noSo0CcG4V17XJOyvZFQnI2LFXRANDemGJQs+gVhWBdyb5/R4lXxChf//saK/cIm0mcVIG4JI4ywSK7Pw6S0Z6vmr5wEF90x5RByYPdpYlFfRIVGKUiul6OsP1YD6je42LiixA4ubTA2F6ODIwb8qbFOi+AaDmwGp6Hygs6rkIGDZqoe0vKkA3g6FBtbZwe9JnfNO6y6PBPUtC+sGDZVZ1hlc7b8ElcnrUDf0RTQcKfNtpynNRW0Ip+9ITo+o019NmOagyr4b8IoWOV9ct38fuv1dV2b23C3X6/ReAgXUHi/ettxfvWzKGYsMJeo3NvISMUK0c3UxJpLfEl8Yb1w7XKJ89qErPya/wKws4CIYPtKUzKAEyT9F7yBKG2h6/pzZYjle42TrhaQTfQgpjqe0UWuxLDjRCBDmkKgeQ4ISi3WUGQuEgSf1IiJYchTN5zd/A5amKNeqHcoBA72k2a0zCvFFHKWLE87BHKxZQe2wqvpwuvEQYUcIYbaElebwIs6oBs2OG4Zwa4jrczTLwVMpXayTu8wpEL17ZfT0N8/MxZLwUlLzvivOWL+9ulEW8xixxn47xopGoJw98lApRI/iTM5O346st/AkPZq4odeg21OydBdGbrbCODhwvjtJm/kD/cq7I8+ZJJ0jZX7bI6km8Z2lKABExpd5xkGkG6kquNCeoKVt/mZ+q7WsJI4cR0LhbPGsr+nitUEFvsZGedJ4v7wRLhHmqyWumUtZ62OrjUL+QqaZ+fPmx766b9duDfb0O+vzsXsktEkglwfyjPcviV/CFy8/eWeqnz5vr7WXMNSE8FQ2xF/7tDas3Tpsblv47BQyUN79MD5hIojXVRmomtksIKH+F3aB1os7e007dn6a+BcFb9rVeo36CjxLd2kPCtlhujXabMLIRo9NgbYt71uqjruU0XevhjtCvOS0MC2Bl05GxIWPkwwPNtcgWNUpM89yn4kbxK0B7HlsOVLf5VXp4KtxQN0UkeVJcrjqy7aCzordoE5Vvq91+hJEhKebgPjcJF9Yu8nG4XkoYHvjFGsW9wYbz7u3C8G/drBIooZspRmoqgUzfTJdPGO4DmJ5tU95ZxnD378pBOTOhU7wQ4rc2WIenwP3Y8rMm1maFgAggkhG1aoRjz5SkeFlefNoqGcbBNnYw7LbY3ZRQIvUX9YmamsdMUYh6MQEA+Rit8z8D+39ESqXcfKbOcVAVv/042K4cNBpBxB44uGnE6JCT029EfEP+GsBsepSoMDZcVp6HvHUC58+t0R982omqbuyMnb0ndQ/1F9AC+yX10XtaSAX3355tczFC0mJH+/yD+0WFhyeKDXp1fxYgOa7oOdlyDW39Ec4ifQtT3KYFRSLzehGbLwvDxvF0aZOoUy27wLbrarL8OTPno+9RaZNl920DdZSKA2nxfNs6zOGo4vAnJn+jB4ejtnq2dzRCmCiB02o9m7nCzAZU3fUdP2AoxzIWtqF9DBXlNgNr2B70QeSEss/yfRBUBi5OCj2Ju2EHOpvjq4B9re0inelSwWbVk5MrzvJ2FMaOj+kYzKe3J1ATKQL1sblk3xiLjGb1+vkfr0z1zkEj3L6dwDFGIxsTg3qklhse0+jsCv88yafXH4moQWw99M3X9UQjj9Rgjbbz7sBC9NRx8L8+lV/EEGuz1Or6tX2q4ynQGfXGini1seJKGBNa/+0z7BpP285O+ztGgFi5Va9G75awmcpR7SfpbV92P2yjTtUgGNUqCLntAoMzUuOP7mZEzo1O2Bea9mC/VhqTQUBMmIS9fK/YLVpi+KYBAhpmK/iZK3KYWWTXfcbMyxu0iWBptGDrG3tgA8mXw4LjbwsA8YmCEgsInaBteOZ1TeGuQShZbBA4AgT6hYkof65i3E3C8gYg1VzkPGcuo2zrk3jL37KfcCU0EOv1i9vBPRAgkUS+l4FVgVe4hRH7Ez+2W1ZsZ+g77kvrMN6JnY5ZE4jydEX7w4/kIftFCDb2bnp8PF0k373dYs1jyreWt6Q5EHKfFOg83cbjR/yslf94gXqtsiOMzKzoFUJ1OjdSf+0GFsxK1XLnIYnCd1tCtGRulvj0W8VUx8L3aZm0/DO/Y+MKBa8xDu1H/i5q+OX7KBP4onr6ewcHIwmnK2AGMlji+3Po+542aMQx8FajcRdyXxzYM5lQWPknbikEaP/QPod5t+t72ASDeBYNgv/px4o0FmGke0HEr74g/fLjsUyofo46EhWnCoHgxdwalKDsoQ0uhngHJetTVMxElGOjWd9ITLxkNQFj0a667fKmzbwIcrW1ScRLT8a/p0HbjejSx6iyoktz/uU+m/QFmUzra3a0YzoBHeUvlhQWlFlUvM6JFC8qAbqjujrk8Locnx0bbTT0x1U2+bOYpCC6zBn/2Zpd5ak0iMkem8PJNWQgOZc+egC6jXS0Ix8QfAwbT0HohzO7b+RPUlUyDNjvWuC4zNidWt7DAy9InHIcFfpAzGZsYd689LOMETNL+aRM8JbigUJwWid2t37muoczCmw0OVNuryNSan4mrpDncYj/c7pb2cvd3lARW0+pPptohQC9jQ7vu+jN8HGSDgIjfYkslsW5AVU8xKP7YzwbuSL4aTrUuBB58rfMKQQnUTDeR/HmABfddTxbZ8n0iE2MNhVhrd1dCEi0wdlUgCxVRYkO9snat4LeBUJTZfNu93akKU7X9M1KOxIpCwgxRWsTL6YsirfAnz6oYuRsKm1zGTvSYIGzDBHqR4otaiKMdSN3BDtGQQ2af6VIV5U838fVjrwMdRv3eyMi4c5Vrh6Qgz+maXULocuhe8nmKfRz5ZmgT8L1//RAF6yguCNA5vfdVXeTczSaAxVhUddogpd4/niT7eV39rPcOx2qvOcpVbjm+y0D+oYkLAZ2ghjOyY1J1LbiudxEWN2E57ZKb020SR+oA1G06LFQTT41bozIskD6CD/eRu267YMzljNJ9bjOP0ABBwmTKEnK9oJS53aDKI6qAJlFPTAn7d9Q+azbB6dm2A6KngjzNOtuYSKDCBw6RqeR3AHNUpYBlhBEcooR+tidx+C+095z5jDwV8OgWxNryMxdbEqOuDTEzv3/6BLsZ8j0whjPyYDWGtFRHZj2uMlYlmOqWSDZUiS0W/GVJ7z4u0YNYuViltqPxR8B5BAri3cWw9WRAY2uuODR3kk3YJ9Z5Pa3LknBu8SENO/prPvG2nc+yHAbxvq7HVRkYdbYItvOQSJ68C+sfvYHZaphDbxwbLK/DrdpibkViabiAR4cw5XNwED+LxctlZmveYFMR/tfm0EVyjXKOLyL2TiHOVIxBGriTwWRvuV73hDp8CWCkEGSSPgHV9V46yHZCEctGFz+z7XhrCLqtT8lMsEQFgn+umAV/6HiQEJF0uyNfXZXy8GEbPcxx8O+8Km0D1Q8otnFgrHgP6oXf52C0pNDAeYDhj2d++pLATRLHcE20G2rFUhPYK0NuzeDkMjbXt9jOjGhfz7uH3BV+STfqAnS79/P8zO2063gfWofcj+BhxtIAufkjWSvyR46PhGrZfCjJYHIE6vsCZuMobit0gHazaSzalgMHJAvkj9KdlXQBLI2VqJMgewdHxUUMS0Iy+Sit3kKIwlLU9VGUjtxaw9ymUGqaV365kIMDcb/Y5VGd/qKKEl1sRurEPHRET1i9JZ3n0Db3prcJxlv288BzQG4ppUvgCTuSojSyJo60Kwcb6gTAxw7HY7HmPTrmQVV3r1gRt4B1Mo0d2XoXdglmoCPcyueec3Z01EQ4Q/5MhWJcKVHLUrqXnqHuI0ojR+vFxJ5NkOotuXcyc4bEGi1L3Uo81hyu6p0pCBwqnIxBOaik5s8wjYA3+ilVEr9rTuqaSMGveIBBhnqeaUKyt3iifwnPIfFNXZ/mb4zEG9UwbnPmALAHl9pbjKuWqchFXTOyqVa1tsRFRzyap+NiZwQWGqGU0XKDDyhgQsxe1ohosuwlh1a34aYsGwzPVrtE2l0sFgs6JCaolTcD4C+IMuIIT65OmNBdn+GVMQTzCgp0W/e/Qckb5Ge7J8aaj3xeMT4Dl63WFabGAf4nUxTEqmkYVSDwux1Zf/ZYtBrrIBbPDiT76twz4HdHUastWUNHJnhxFElwWXFvdMoaWKK/81VCzFfVI1nfDzDUlftAg54LiC5jhs8CuUhG1mcGwats+Lms6ebyMJJe5ig2R9Eq0azDqLewfjNUAMT549OUvgGPUSCe7DNFFk4Civ1t2zPGAyQZL3GCcZ9+uP0kO+y129dKdPUuMbiIdYKubHGUurBm94Xoa9XKJT8ggixIaSWccPIuQ0JGzTP2VVwT/Gyk8ojOeXwsL2eFPBPPufL63tBfc0qGZXRrjeqphs4EvzUHUN8S8h10GcGG3CzSv5FBE1F14J3Gnp5I/2MVsIMRMAYJO4pdzrtdPBQ3gLDstH7U4c5bu9Z5t+wixVYyz0lgns9Z1iS6yNMG7ehE5MDkAR/kETuUWJ5B9uWqCEtBJcghWfXvko8Ja88/WPpfrFf1qZMnM9rI65aJ+j8cfEeiCSrbhhv2LL3Uf48rOy4/uzUg+IUchgeQKD32Uz47G0SfImT549CJPfbif+/V8Yk/UAAUr05ZZU2XXqGFCCqHV9ZnItUBz6vBaHKVMwgLUw/SPpuXv5q9hPlqb+9knauXAMZ5B75esOQ+06Fa7XAqXfKRxJvoId1ipXNt/pkY/qav5T/MCYxP7z/PazvdwuCAqdz8ryrzHdguDiM3oBl820pGt1yw+NXOsnpy11VhsrtYgGn0KZtBmrxniYRN7sxDqGkU2M1pywhqsdIKcH/dCcnJO7dkeXZYmHx0/PjW0LwcLCNAmUAQHIftLTZqRF2/6brKqacRjI70ai2HTfgmAbVvxgWIVj/4GFxKoIIVwWKOYz98S6aRGF/mK+XKzWT5M184VFfgMynil1vIGX5jT1yI63HcbTPCsa/c+Mc+aF3pKOgZYYNCpzB6eQtwQc796rVN5yJ4hiQ1p8csC3mQ32Dx4L9bCWr/JvtjsI2mCcVyWm2nPKEumVfUJV7cpOthyCuDv5KjLXt+s209EAk7La1E6d/US6C+bW6oZEJamk9QB4CRAov/Pyjc6OxoKk+OhLrlh7rj/g5cC1yyuxlUsJNhUP/DiCsPWOjbA68jjGQ+T41qhpcT6xk0uNpYtLd7T2DNGnrKIRF0vPEfkiHstyin0HsGgbXJCqlUdRG8P/Z+r4Mf9R7z+S/3+jY86YdvmVKfCPy+AvMj65mae9nxwk66fjmGKaK4X8oCC7KkUOlUACb7OyUKEQIw0uOZLgNktjhA7g/5vYaQCvc+onGe55sWy6WYBP8bTaMz4iMpC4KjULaRVYQHVndPwTWCo8Af//BRs9akCTZmPS8h6EK8PDcUXk1iM1dlgSbh0lFF6DHyeaO9UTjUHly2iQUR1mtH4wRXlcTTuC3QqN7vrUK0WRmWTWwmYdt8H6BsUZP4tR9dLc+BPPaS/qFW/IKuT5tBkRM9BFl5Z/KGx8GoCaklmAYKM+YBAgJMs3cvkxFefspykstEdBFOYDU85e6ZEMk09BfzoquqHfMXluHAse8h85T0qveOdixbf8UNzAVnqlzHh9IhbD8yqO5gTLygnw6nh/Lpt78UMjjT5/vb6f1QiQZAkBgABeJWLgU/FlrWfiOCDT+sgyGN9RSfxUvYNfBI4X/qUqO2yTakhpAScYX+w597P/riu3Vo+GnLWaoe53IhWe3LFibotSFgYGMxwK6ZOPFC3lEx41pb5bbLzY+Z8OnjvSSBN+YCGsWIKLYHou2JBWtpZ1ZdYtlLEA0eL7JzMOzmO5fCmOF5PNLLuAd43H6FsbCOCjdzFbQQ7R93/Noe8xGcqDVr6rTV3HHBpOyjg1edELCpfAusotjXC3azytVR+STBE06RX066jA0eNpFR7EB3+tRUrvsjtH7GGOrj3FeL5+KdC/hXLdd+BUGlummsQQeryOU/vXu1cFGo7Qrqs9BK+cV94ifnPm2LVgd4YUHyZ8ekmNDJaoOLDsKe5aLg8y7/PHTJeeKxb2l0VvXWbNw2h2dp1H9Kb1oFcy3CpDLwxhpbMYQjtGw/jJjnZqp9cS0Y5hVjQstnwkQzOs6x9k7rjTP0HVZgbEcJ1xtMcA9DOczVbujInibtGPj8rCGtmPiHYLTVpd0T6esJerbbvKVPQe0Ku2jFEJVk4/pQXlyTYQFFAqmfIvFSU4zZzVbl0j5XmGM28N5uO30Ybc5BW5yk9CKitiDty+GdDKSrInMQfyFiw13cXXGyfpUidWz4spQ9GAB+RpAWeYmVeTijTpg45/E4PWmciiBu/qnn/oQUr0FfALjSFAb4JcH3JjHlimebE4mVikjhnTfgmUEdERNMpjF20WOV+qc/loC/FErjljqo8Ngyrm5ZrQd5xnnI9K6sojdkXpvMPwIzXj+iCN7OCtMJZLP1DviKaDkz8z7lojPEDdnCORBWrNL5UxwTVuEHnmq6JdDo6AlToMVI3X2rMEbNqCmgRI/0wAHKngSHZrakT0JAe924CFqI+8lB8CnkW7Em8xtiFE9XBumVZikf6FNFIcWkvvPat9hrpwjWt57SZMjBthHwL9a1jz3k27wR/cuBoUH8R6Egh4yUa9Waedp1tgUC6osjAP9VQc8R0qeHCES2Vi+qRqpXImYY+w3d+4isjzPyTEMfi9omczYVvTQ6sL7WbBSMN7ETfxbjR7IsdxLjbpBM3JBfK3Sstu+UQiVhpLyMUaVDkhK60du46GaedR1twPWUgEPDcnbdF8I41VKXkIclb6+79C0qOLMj8ZAqIazNJsVfK1bRy5suAH9crKqZH+JzxJXaJv20b9CQIsoGmDlV+L+qffAHhij8O4IgedJEjaecVjcIggJ+7lYsj+A40778t0x3xFSllCX2b0brd+kfxHbDmaVCz/8mKsdpPZQr2KbAYsfVI9l/vUchk8PJ//3SSu5Ebv7ksi9NJNCxnt/EudSPxySeabXeqjZBpHDb0/TbGrg/cqSHbpESpyKhyQ0F6j1Vz/F+kAsIfIk8H8C3ekUr9ftq4Xiv7FhQCZn7eISrlf3N4f+iDufMJOu9hiF7EwsCcVZpt98lw7tbqpM/17ILM+t7VIPTNqwTuPias8MZVtElvNMh85VdzGavkAaij1U8hggsXs7g9Ra6CwDCdq+9PWp4oq7EZ0gkI8o4EpbHiQuHdMcZOZipmZWAXfzdXCWsUdE311s9a2N2fhOWv7rIsSEhXgWAW4R7401sGUj5xVcWgQCgfj12hvAf0B8u67Z+Co32IMQ5V04WNeDzfgzkRWTXK9IM9tKBY8tj2QafdNEyc2Dz7TCoWYfLW67T3kUTeWveMvbm2UvHZMAb+ZiANx7UO9ESElqvnUTaQDz4JhaDdSjD2NaC/SUs/FMXWF55kgj84xekvBHo3GT1QQc2VYKqXqq7vzK4Au68BUo+g5+hkT3hL+QZoWfVH3ck33Y3SqDRE7+b/NBm3tLFEgoXw/88YrACQyXZ56OeYax/q7+HFmlKGl9qS2K/g7NkHg0jNAWGk6/OMHL00wwV38TqIPHjxVRQKrnl0i2KPpTsw5iPODYy3+yJi71n4bqDxqotw8eE+GyS9WIbMQWE19OgjHNFjeLzDHVoNG+Pau8uE8nI+g65HQUvPyK0cmzr6WqO1SLUNmtcms7D1ZKnwr9rGs3ug07QIky24lh6PXSZ2AMaS5xXc+i3DSUgEchP7OJU8Q3v3ZKB+RLJsS79MD9WKCRtpkOtKuTgzEgJE37TZ0UxwZEjnZ0g2IiF3pMo3DFFOif8vyej9v9</x:t>
  </x:si>
  <x:si>
    <x:t>UXrUvwUXatPzU7SdN7ekQ1A7Z/ctfo0QLSFyKbpQchbTa43kFyPE6m7qzXFE9quzpnvSU5Xduq3lg9ZW4UgEnxtkms4LX9ftFiglDV4gnViOEd2OazREvaWpQi/HRNj4TbroLcG77ladYyR6tASGdsgEzxapAgUFvMnN37ststLX4R8nqLTDpyvLl8BFfjXSl5S8o6osFcM+JvHSufwmv+ZKnFwI4qlMfj7uPAAUZ2qTRZwRsHh2s0Fi/t1c+amSY/2C3ZoIp36vtFLz4QhLavdCIA6PkHGv0kL9/azWMj1/O64/fl3LEcffSF0RrJ72VfTD8rbUvJMaPgAy5p9wOvRlZkrLXExghPzxNw8SPIAv8/l9K26AvishUuASgtdUlGYxHyoxWaTioX6hJHkVP1iQ5w+HgKUqqigtwYqA1X10C8mK2uTIhek4lE3GqhNykcHDk84C4YG4ErFjZ6AM7R4FiTiEE2fxMAPgzn3WjJPT1NO8vTpKTeAIdZEhYGCaBoRFzQGvuKwhzcSHvImLV3O7799Ju+RjAKZaL3Gd3XBOn0OiDPB1JbbWYYD8Ankw4C8x6idIVcS5NpAtVXLEhnh8B6YRn+HjenTxIFTZJRIBmhqo6d8gWAQjG7VxLuYFDBEy2Tyswc5DFQZ9j7ZgZNnCZ/rFXtpFb9ALN4FJ/ilait/+hSwBI3c6mMIh+w7S8KLhk1wGjsMsYPFfFM3ufsr6QgkmCN/Lg/+B1HNTtJp5gGe+19xjp8UMxoBE7iebKHvPztuXSrW2GY33iF8+5GQ3hYvIVYhHgrhRDfdwfjud7428dCAHAX/j6jf8mfJV4T3drW/7OLu0oUAP0RbVzKFGLSlGv6AWyAb4T6FxDC7PaJD0cj1x793j01EM+5pLhV/bm0jQ73Ha8ienQNgP99NH19TSIOExZPSpQCGvG2dd9B3csq6ALaS0MLFJd7epqqRQIoq6FqDh9we7vwIa+ga9R0QILeln6sbAgMmwJFfb8EQoOtfbTB55HywRRUzmZmJ3j85noOJokyWmkFV0f7gl2hr8RSVizcETVKEHwY+ya5bk5M4GreCH5XmJyQignLwQ4bjf8RRvsC0dfHiAlbQteovI8c9JfAaRjNREeBDSjywen/jtillbMVX1ArnGv1PqK1703rFFlf0z2gr1cnfVBX4dRk9iW4DxtozOAFrKgb/UcMmRSXxtl3jWjkku0u/M7CmvsaCmcVj/owfk96WlQoOOcmjZJcLHGfV3isYTAKvl89QBjlN+jmxdb0JiL3zmUJnumsAfcTL6Bi4E4eYfOgsLmiadEP60sdo/oU+0d41q3pHtkuLiBWJVCtVvUD20olXa6WIoE6MnuyjCpamsco4kQ9pUdxU7L+ydSOaKpZhZ4eSC3DXSS3PciwnOtxVBJz/5tJ+e+sq09NujPE6DsdVCUaoOEfZMhiJljoXqwBDNA4NFbZI/myTj9zDCZvnlkjZDceC6+HMo2x64QkteWSgXb31sBDR4kh7EAWQmiWAESPpvv9plyPxRXkV7hXRU6m5AppsjxRtwQRX6+X+cgEPuBfPD9XAwrrwM+Rtx3DeirkXjW8s9/FYVGGZ8D7q4ZhA2eYmqkmfAp5p+NlbB2dxqu8chV5zfo0nGY0bYSNg2hMe6WdKZ95BQ0tA8unyUIWlcfjcdxIqxk67YQyohcBlKkZhmFl/whceh4hAqxiMmVY7O396qrOKi3Qkui5SMrM1mvXziRbDTXnEN5ypN/tvJ/W7rbveUP6O/3yqaflRXx1g3qCRPf/rPdMIGrIcq9rP0gMLByJo8VMgDn59l1016bkar6Bq0cMdA/fQ3IpkzJAsBBHbctdL9lTMp1X58IrAk2dDhGUmQLDMCTgPc+g3UL8JVYyo/F3i1+z6ycRuOOKnlFTCYQep1828OkUbD7KlcUFMYg2kVmn/AYss2zwQzGU/ztd1ds/RlqeWtWCiYYJSDs8O7NS6dn5rg/6JF+2Adhwl1bLqQ1HZgWcWQj2MZxHv42kr5iekZY7IKLh21gn0xnXcguj2DrA/P+YEnb2Cd4y8AYCYriRjp54JaxQzlBhJXveaqjsCbyCKEzhQS3JnlwI0MncXVmLAyMJuvsWX8KLIIvo7yDXgBu2ebTTtWGXofbfL+mQdBcOHvtqoqHfXgR9XQStnaoWafoUHvgKOHuWdbt9PquVmqjfB8ikJyiaZ1HGpaka/RYFZw8iw2wNRK1q+Q9mJ/b22Dw1wBLYOvyBMKNaIczsxommNZRBkHwJyW84Qp5pDu2PNVkP9RmvhGgEePJ96fj5p/aGg0InZDvCJ1RCx3xGVNaC6DSZvCViaHvF/gMjtWgJs5tjxGw0zFnNoaXFqKI72iHPIj0T7danHwgJQPUxAtc2cr/wiWRmFZWS0zvIfuqcXb9UE1NwZQvtINOGfYq/GCckA8iLACQD6LVE1bNZYrLbnMAR7uVEk+qXyuwXiyB1VoiPIvFyGBC2IZ9IbANrSnDcq7ggHivEqCN5unoCOmje9TgATjvYOFXNVU/TolY08VBw9h0UlyaTpsChESV/ejoEI1tFANhSr627Y/duDU49t/U+0RoCX6FlIVIIX8u/axAOpR/T5++7ahHGvhI5dXD7Jn9GFjiJ3MgSYv+RMt3xXeeBy9IGvlArI2Ha2mUS0cGxKzvHCianwmYAMxR8B+9/KE3q89a9QHInfYzKMaBuqg5wS8esM5H0Xlhc6lBX+KTBHsBo+hZVHIYDnp2CgPYuzbdG6kN4mNnGslyvINdlDEngF30fIm2Syg3aj70GxV+03fU0PlmbDWZYsFa3QGe01LnD6N3B8lrXlKJCRh0pJWbWWKAlQvqWcCscu+G0i4o+Kn15zGr0O2x327gOO4ENC8sr5ZhBB3nASsMShhg8qHvqkORRRaO3NhSwX/2LdafLPTch1x9LHJsv4XZUUU5jF+gSukHDP6HBwnytcmQT1QymHUey3WjZ/wf6oQn9m3O5vLmee89JjofNt41tz4+ALkcS57Bw42A41wh83/uM+0k8ifcOiVjZFA/HCYU0YyKvWtMCEhuM+UYK3sfb58hqqSGBnmM+BsMFZ2pOsMD0sB+qAw2+nZQ4/aL0Afre6fwvpx2hpCSDr1fkjiY5dWvag43oxvUHLnkxvibAbp+GnNgvRMTCeUzzz0d43lWj1s04n+Yvm0RnFDoXeYAXabSBEq5TChIbsDiHOWsK/jEi1nWeqYCyeisUf+fXo8AKH5+bPN0yUPtHUb6tWST7I3oQnf4ZfxoZ/xqQVzKqh1oVfTAOc4729U32w6iMhz/gnpVmZmRYFgmjw9MyYSxuZzNMU4SdM537HV6q9A6DSsbSIC2ymygi9XliKB4bRFgoYFEYsOrGPHa6UdLidHodJcjmVvT2bH57uQustMZp4WipVARc6D+gWzJEHL1/7L8kz/nT9ta7Gy+04mwmC/xpY8vlboU5cFRgVJBgjEJluvoATbxE3/kj684MguOaQ/wuBFuOsf7DsNj+59uvlNoKPWpQGrZvwQCo2hcJ/ILEglJ9lkRg7Nh3Q/OiyV9gsbzEBW2d7LZ3yl7Vtg07b5qNzicGc7tiZlylJrWoXs+iJSCu7i5v4WkyYrTkxmXdMcGmWsz67EzA4PkW1MhfwTvyJSA5p7LmULQkRLLI4Jdzhg6jjmVIjJXqWVQyo0uJ5Cbfbwlt80nn8BkVPiW9nYzomDWD96R12Ugu+QFP7LCfq2RhoMQ7I3Tw3iWihBde6ouxatZNrhdkIRv5ZKMzQwV+8pexovtsh+kRn/Merm5qrblqMONmjGh4Iwg8QZ8uDHpNQM8ldWkvIfzKQC6Dnae8jV3baNxBWyiIYppxZUqjMOyuei9D5sCaB3Ymje0RPNBT6kJIE6hEEgRnFCLvMZqvV4M8qJrbmX+CI/mYHRFTazJxrgwsCz6ZmaBB8Pu1QAJrl7/k+kDAtuXdfr3AueawbpXelaEXqSjZ0OQRnHixOqCtqrGPuDCL25E0XARhC7ZpmaKaI/RY8BjAWPk6427Q/reAX+n8oU/sVdf3dS2e5NqMO7DDnMidjCL0jIBR53UXENwqboe+AYaZqlFpHJJf4XQ4lONMymeuZzZchfb2BHaRN1ygmeTas9NSeUIVaOrRmKM+3mLzY59QIlgfz9DRB+4EeoDJpvbIZsiBQfMFlSRdl8wFg4LorIdHiO14tJezhVuFuFpikutzi2R5//Iw1JiavHjDeBFS6bmVsDhzoDQbP3ChLpzPAL1HytEHG5ayrJAoaHilFI4ThuPn+M9VeHppzo1wklpt46I8VUlu4nRpHblM9zpBIUyvbNKjP9Gb99iGV2iLPo7RYR6qlBAhmnFU2yI/8qZgmN6ZzzDUXF+WU0cIM5+SWeT/8fu8FbjVtx+J9pPxiUr+fCleAQo/5NPTnhT8Dit2Q2Oi90v6n1o5ifWrDVZpylPrV48cFrIBV0mE0KqnnO0TSxMKWoKTRdIwtwNf6YfUDpRdCnOOYkT3G3A6sQ0hUWly7qlxkQzdojCII7y9Ar5ENqiwADHtOqqR+f/ENJoVBPnPlMJuRrbiIlEWt+vfSHFi0TQxdltdnQmpd/nqRACYLVaYp/4cQGJ+kcKvAlv2VYi0Bi0GtHWo3gwqdx+2TJcu41mT5z9uAWBXMNraLt8KQaYroFqNvJrzuho3uqTQEuh8n7tIoeMrzZEawYPSRnisCvXoXAUC9HbL0vtvJhkGa/wYf6miT+GqhIFZtfJ9Fd7vU8hmvWXOHlTe71wmoHjRa2m4Y90mW6qbfU4QHjKdx38lXfXYnE3sbe+iRLfYYs4PjjbaMgyCS1YQKjc45movQ9p0N6Ie+94HgsfX/1bHN4QT9pWOVPBx4SL2CTADxTJMf9f/n/InVKmnMSaSJo+ECSTIbXhJPkYrTNHKA+Ff+H0Czqrr6DpHx7zhUNoEoWgsBj+HA7s9RvIK0fy+4NY8dIa8bd05Ca8f7Dj6hhkt0t9PYHagxP70oEU8oXuSWVkmwMMaPgdPeETLXPT3MD1pLkWW+nRY3+5rAiYkBIzdbEPCaOTZb455kjpSX/8jOFCXCkAfx0DkRVwbzqKlN9wCqaqImL/cfzDg1Nt1PsriLT9sAuaJ9ViD/RQrMOfElSxFRCTRQooOD7UnU4of1Fucwn+K4ElMwdoW14SIzTX0OIXOdvhqQouTWTu2OXVfzbbtEZR0w+rBV9j2tbUQ5Biqwok0xPl0gbOoKhd8QZ4YE48QN4qZ9Bv0DFrU6EjZfaPLUCgtGgQyYNo789DOmd50XOIuuQy2/h+8jTUngupc2MeBA4TXFvUFeXUUcDHfj7He7rwMoC+F9a82q8EngNC+2OMa11JaMGnq15XYfVEl4jqBLy1cxjmZVUbns/wrzVkv5fkP8T8zSUab8ldQ7G48hjBBSfOW3bOtUyjCkajA+u7jBNKCxwrNQnCqSc3Az1+nvNXmNL/7D+piMbmYXCppS0JCkWN+u47X6y92+TlWNPEmLhWHZ5mBT5rXXBKNWu3uXlM2ZuuicFCtQHGQHCXF1y4qHk1yc0x/r7lQEaLt0C7lySOvPbDw2QrD+7KbX9e3YLyQbEJ/hhFGhQy3ns+r/LTC3x6l10dXHJk71GANpjuTrMfS5PLQJiy0tADPu3pLlGyumtc3UVdwbA//inPu8eu1B+yiy0reswGkXRRUoknFl7dwmxWLN/hPmtGinc880y6mZy1j6V80gHFGg8JqjMuV3dBV3jRZ8qdDhrc16QKjJK8qm57RXLsoxarvBQ8TPz9T7bO7Wii3zJWHxYld5fba2Prvv5meEKTYXfVIfeTWMfa2fIjwqmFvFEUDBAQwJ07ULQGnRfwd+YsX/H7Q8jzbwiMpaV/OSpxkZp4QwFSEi7hqGyJi0/9vyLidF4XkJPXXG89/NKaOuYtrmnv4OQrBp4EJZDWyjyjhivGOPX9/1jewqO048nFwHVDn4yygYluN8awRFcaTMhtA/ijv0t/LHHuu+sk9FgErH0wxJRe7SoQOJ+imHqjRxDxkTu4p1O7InqqzSN9zxDrn+Uv0ymWjnso0oPXjTKrph5OW2r6yb+n1U/+jxiu9JkgiKPKhKXFIANOI0K2o1IDAXlzuNvt80n4DCTR1ZLqsgxrGuqPJrJBq1z809uXmo6qLtnqP+vL7ujVUi98M/cBHi/8kwVM159jnNawalWTgfcgtd92pvX9lA5gIaLr7Hep78NyO69ZbIGCtQyJslzZXMK6h5CFHetxTFFA08FmoLcEEr1PHIZng/4Ov/wr10EzfT/UF4jVEAwOk9AmInGSfFoQKJK5y55S7SWMIWmyzE5gGPpz8+ika3KKX7NeIhyy3ZPRdqyLEq4JLR7PVs/DqRQYsmTY63EcFLKjfWe0QeDpKZfesUrYo7SSQZOwCTZfSz9Oqrm/A33UgKepfBTqgH4DIseq40xSnaVdac5/rXU70LOzbPxaXNKgEsFd66sytZmrIM2dNQJLcufR6Z32bJ1y/CulxpWqVnsM/tZznVO8jCUlSAMyulbA+VmX2W1+ep5630N+MVKYpMAx4QrRpn4LdpUuFecBpoqLRykINIW2n4LvEhtc1Wpo8woWtWd7jxmOTrSL24BmqfRXPu6bjvX1OncQVoEOKsxqAI0s6yGFQZdcx19pTVhHZrSvJaQY2fVcwAOOLvTROS5KlNe1dp4Hp+ecROlT9iRODNJK32JVNCEwStzaq2MkDCbwzFmA04cEBJO/FH4KpanBxFfNcCZRcga+1RlZQV2zaWQG2b63RHyeoWQTQbuVYxZfrdFJjWHUniSPiZvgCz2zYfmOIwF78jM0nF0uw2bFfVS6Y6q5A14cqnlIVomhqcvuq9LpVXDXgUAxmzrH0H2rJvfw2riE4dH+EycRLXxT6S90n0upPSeryrOYCFAGPUbE6MNvsxMeh4u050R/UfCQGrSpj8DIV8pD5E61OW61N4kTWehLuY1sEG4B4M94S624g5A+nnUT3bouxRaxUaQvHmUbnvAoTLP0AnTnWBpeHvEoYR6IN1fKhHZqKtK3dhp2KNvr2R1vCuYFiWdxNZzONmnKMoOZ3Vs7RmfUGcs1iQfKKxL8lVZIqjvtwJzucGLBN8mClEflSbPCWZ9XFrtlNy9BQKnuP9rrwhLPHD2hfIr76u0nVdtfeC/oSzAoq3NyEm4VlS+DXv5TtAoXEY86o2iF5mMCBHHCBTiosUFzMOfIpi28wggfRroyb5ckuvKLkFeXUsr1D0yz0DJ3G8Y5pmk+0aXIVIpEuor3kTJqUpxpr43FeK09s6vG+TY68oHeUFWJbV7qgjADlJJDjPJ01kFadZYWJtAbOPf9XK+V9JniPuoQwKVtoKk1ve42rkX9UkfP0JXRTSK0zFpNsQNce3Q03nhSX96CWss/v5DPhBQpTw9Q/5jK1cuZqF6eN0Lg39oZwhfxkC97B8sCbnHKz3J9+lI7c/d8q1O0NH7zjE1TODyHBfPhEZGSce3cgC66kmFwwhVf37EIBr9OlPZPqMynijvGT/SAViQ0RtokGCTbxqhWtBU4D6m4F3FhbdQKLl6DkTQ+uZ69BB9ucO5wfXWxqdG7OLCZwhHRuUWEYNE91UeBlZxttmNs/BvPGJFbm4Ip/cU2s7qw8rdfXaNImVMr+aKXejV1diBEHpGv2637RHDeZUE9IPeGbf2YryhswDkqD/+7lBBnnq0CR8f7Cl2E/7zWZ31a5dNpH76BQlDFGB0KHkfVwJanw/XWb1ACeYAxq5o32LtzhU+7j6QSHBSQA9cWx1qWGB5eInlqCRaLJUTb0yvkdSEq+Bf/w2xidJp98Ed3mpteNNRYSmaMvUmEE5isozYtEMF0X9g07Worbpb5eLKK0cX1sJKqZLtLcTSCiefSWAVGlIwrrksKU/edEOrGAsNo61jGaIgd3t/jmnstkWQhsWn9eCTbe7+d0SkrrJFcAHqEu1Lq6IzG2xdMlJUtGtsUUVu5noXXoq1kNcOje+9vrWc9SWv7ItX5XstXJktmmhx41ZwMRixX3myssjQojd68czOg+GfMk3GWVkV5+afUAZZmj/+39iuyc5i4PxD1IBmFvYq4YqzYLxcadxa0arAJ2MOoAANWnNJ5/l5J2ZJlHIdARuHIUU9qowqo89FSka81KF2P3T4ueaaVmmdpIo1mZkLAbhvvX8531wSyGblEoJlkCd/OfGYKC4VNBCEGRfR4L7ydrTYF2K3eeUOdS3aNc8x9LIMp8ciALwS8I5TXV9F6lLvCsS+17kokkto3CvQUwNAgfy2Rgrt4Ht5b9XKrvbZSdOHUozzi2ZxOXnM+t4aaeWSrUekj28g1PbNA6ZrWu/rxK3co8L7fafjXnOQb/5laqizY6sIfX0j9V4Vbx2tPy7HQEb2N4Ad7Wjh3i1abhNqYx54O7y1burzmrp6XN+2jNdCRSJfjvrwP/06rQ0ECvhIaLgSJF6BaUCHH/AOj/NLeo29VK8b3JiWJorJPPb3M9AtBC9ucKr75LLqlbo4cy3Z9e61eg8mEMOoJZGJxVIVU3Wg2VoZrIwmoI6tszN5cB0nS0k8w8N5NYYY7okyjzjZ6QGSC/qh1Av3OSsO4A2Ph9IBiTPFj++o+TcOoExGXGxf63fdjBtcGxSaPndq6/41vbaUFnLDWuvnwFBFIxP+5J8Rd5XUZe6SR6W6pmszHtyL6Poli2/xNhLcafSuZzPEFjaiLulcClpzQLsAcCCx/kURlNriIeaJczettr+ya6+hWwpt0niQtna9wuxkQ0gbPkVzKd9lIy8WkgXgo+FmgoF0AhvdkIwarQ5jDIFOwxUSDK3VpaDb01anxR+ikO/YBYtHQ6QwIwEYd08TIIjyfJYE8Oz63aMAGM+Y4Ksav8i3sd9qkyeKDt6PU4YsgCb6yuey7Gvc5K2VCS3zmHuErvs52uB9MLK9vzSgfg3SThgXnLKmvj1XHpeey2X2x9/bKQlETF2c4d9y6qH004dH74WJg0j4xvU6e99+v/fb+Rsoxx2lxppbkXftDxAcSM4x7M4wwK8Ra+bQvkfGhyYCrdJDhNdZhSw2ZcN6IEYt8HZa5jvLbYmjgJwBft42xVux361DM7AsSuEQJ1dx7Anpk7re0SgugC3Yv/Ym4aOK5r+lfOBxgZBfxvI8FZGMZUJnDKQDkIc6SiNFgGyY+e1lTLBxqEf0134mwdNvGSvhLJ75dosJBr+BcxUDYsiQeUahBQCVjIpJ064X9EnrOXCxwT9me/kOl3vVK7YtHcxGbDetuBSy2qN3GG5McBgYFL2WfwIff80b2CMaybzYXNffOOz9lOjdOx87AdihKoJFyW9+9K3jzg6NyGcgfNVWiEhftLZ9c1lg2tK+xAo6GeqkUxxxssMyEW3d7/Z5oD5QuKDtuqn8yVy0Sgk4OfydDFFvQN7VoCo8TVw3QDnOwePd1d24TV5aHFEwBvi6QGQRqfAJKat+FIfQB4AqLvg8Dg0psHIicYoLEwBTcBXSKKQZ4tUBEWkOJX3JL/FhT77eFDOgVvPcmaU+Sms6WpX4aVqF0wxWzB079BQ5AbH4qik4iGl6zgOezolEEB6vvWSixy6yszo95FA92Oe0mZGCAqmzWbglbRSOMZnBCDR+Z37sHEuzHzRYao3KES0K5oxklgdIAnYG9tL6yw55WrkIPBhZNTR1YA8ng9C5Y4TZLXKmfLjwPEf9F7JTfV2/GWsFEJJEMxLjuTTlBXgcd80p6Lb1LY7vwkLgLl/i2XxOmJDDa4WXdM8Ck9pTeAiI3ypVNFSxJ0LDua/0cigQN07r7ZgBqqjX+KQvUkyl4Jnznik4Y64VqtPru0CufAdKXNvDGFrMew6ia4NbHMcfOMPwvJnCWPbpW0iGK36C2w23rUAawl8PeISdC5DHvW+icuv7AWDXvLuIHw+ra7l+tinP6vF/bOiSv0hkxyQo45NU594Q1M9DWAyEd1TgvQSpaUDN5s3CDBROo9dNzL353DJQXGt7FDXGic7M10tL+t8e+jSDr/Ul041GzSLA3JiMHrhuuffNvAYLwe5L3xJiCJVSGETLjqEjsRa/Hr6OIxN+KtLS6CyDrwSr4jmK1QE/dmRzp2MyKGIfPpO2744reyXVH1pW2v9e8ItmmcE/g7KeIHYqrYip6QUE7SaM8bT/qVHjJGJfaknFHLSva0el/l2rVshmHVvOE4pW+m52afAKJA0Ht2IAcc2pPTVKkOgkY6SkSi1cFryds/oHMfgKRPH//relEBjUkBhIEfFVifxg7MKxbB0s7Uoq4JLhJfd9EKmA7Y41+b+QLPtJsya89Inhp2c0rtwHfAvBDZr5tAdUjimhMBhQsVA1j8OGdDmewsXs+U0m3TqFt0yDPmjhWaLEzu4wwuEEWwTabj5ENgvrK0i2ZtY4dfSI2pBnZjfxohTVzPmsN+awa7VaqB0OTBGl0vtFnxFLScv1fjkZ4grktGPb71cMHMDUDugSR4MXb3tO4ahUYx+zmNjngZR+2pNiFMc/0GHCBaTHJKbpre5MSAYOoRPyCMuLfdTWLnn9jx8lcZR4sKr3mZl6Wf08hWk1D+5lqOHPzB81/kWxfEjYR4ITJGzLOuZ7/siWzyreBoNJ3HDGbtToq8QggeyYPR8kbC+noEJE53/Ym8au1Xd18XFumffo1XMXKySDU+xVeRgNel8lqxYjJjSlxJ95vyJYM2qbkPXgBBpdvpe0JsDTDFkruBM8YyZHVZSWsfh0ucp38G7As5d0XSZlQZSOTKFxdvGvn1BID8gsj5oiajP2Gh0Mag2LoMJL0/CUWNpAhwNoTKXzQ4zoQchUU2FlWnik8Cj9nI6+dF2UjQCPYZVnMKk5akK5NwnJh1tS1bW56NdX74bU/FRgiaLp7/JyadXheBkCq8wADg5h+FI4RrC3t0far/hlkWQXJvx0X02VjoxekqftmxDXPhSU6U6ye57Ixhlj7RGSsCGg8PchI6JI7+E+drNRVakdt6oFKUPn8lz5yv0XNzjDcGe4bREbhZRvazMYXvZVHpLhfdz+FKYR08Qx5hiiq/tNG8UhdoMZarQRrrSvbHMsRKNSzUonoVyrc0uS9Y8wKrHMIgmgh1V18xNLKszmxHyfWoDm8LpjHhdscKlwCl7OAbJAqmzQsDAn0bYJW8JtzUO6gfQrMo02aQgbieakG5nYzYHeObcizbOZv0JH/3jZDSKtK/O0mjlEQ//hIaGlFTHvUu1+blbv+QVLfwGABpDaD1TVRUXtqMvvkzDDPax4cTDMKMjMhSfTSoD5Gqgdj85tl2YO+oYjHXQ9Uz1+P+5YylQBMKwLwdm8KYKkFnBprF9QDgprzMJWgo5StnXV1SJPKaGfa1JJi+Kla09ql3BejgUVuhKWEY0tyo1N0CgD7f2NreU7+mlFe1T2A5W9RYBr/k0oAW3Zsj7KvWlQCu4hmRZlsDqanov1T8gtEvecsiIm+pYSFWni196tKtsIJ02hftcpBAL3T7hXcSdQyNdIX0GhwTGXxmrpRZWJEJ2myQVbpy1j0kEa7rWHdmXVGYYu+aqbKhim3i0mlJDSI7wDo0RfOhDiLXi3BWGU5s0UU/toSN3wj/wvejJbWY2IDVeR59/LcFiFLWi2BOorRosH1klbSKiL08hwkyRXh1/9/UJ6mq0E/elCO9C4wKYOisNYRS6hVYF0Pi3JgTy4g9pnS+XNNINB3okKkCJ951tWEQ+nFFSY8A+Kvo+3Uq37QSYbMEYqcEPjUAJYZVc/oh0G5rtTafsh+2JMzxooJLbvRknTpLV2mjVTahNBzdxYD1QMG565F3vi3l4LZbn7Wsr+Yj0oMqv5Ob5wUx11My1R+aHwHLyN60GAmtfKHWB/SbMNs6DerPsmOGvADX2dsq0qz7gutb9PiEHQrHB4ScFvQR2kZwWbgaMyqrQ+EuK3VdSQzAvn01Bzvic0j1lNRsaLp3Q9lU2vSwQoE4NjmWgS3XQXjHZxmvUOTi/CJ3VTv8AQswe3UpFW7O/k43ZNl+bSdcBllZ5SlNWmMvbVKj3qkWtydBFZhpHMWXcCcanwTY3rKxbM4nNXEoDod9nnQ1ItFfqUIt6Gt/s523UGsJQ61j9/NimAfu2piUI4LBEixcFqJh7d5A4gVQhAh4DVnxAy438/Rc2FRkBjQol2TZAeFiFptv6S/7pQ1Bd9V5Fao9A9/bW4HRZVNh9e+i6+iuNEUl5VEVhydqDTg7QV4U1q9AC1DcFCGRjXth4xAtKkv1TeBiSUwSBDZKoK4NlpYHUb1Ak8Rlak/CBtnI97bpYxYKfZa2cldLDPsFKlTXGbDPjGbaEClhJ/qA3wWBPHl2AlN1dhs62dey+jRaVni7Gjvf3w2wLM8Om+CHJMj3wd1aOdkHuK4aXqps9xZmgG4nOaGRxBcX5lteIX7waQiIncfaunf1PvtD4MnBWKdCrFS9WZwvZ/P7fHZckHlrk8cH8s1+zCxOLEe6GMf0iLsMl6wYUlBHTM0/o95WVYWuuvqgH/k9G6YaX6x+ZwOsrN22/nIflilfDj3eazXqe0ITxntd4rvkT6hLxBXweX5JnGgS0gllB9l1omR9RF+DKhDXohATLDcufjwxvoiVbhQHf2EKQ6psW1sCspUJ2dl3qZ+FWhQ3uFNA5ZQhRj90dlSWaVPeWX08+s/zdQ+X6aPSTUjqGRuFTQCOIuKU4h9rSP8ukALKoLcSSJWKSl0FFyB4qGw/yKXArKuEdzwXPlKBh4gv4uGJO402UbP3Nafafffr/UuXILqudmsz0woWByrAJkJlSJgoVEW3AuXDW/bGjOe9jIhio8NCCiQdohWQImLlgbAjpRT4z7JVYxy+ePTpiVtWNeiJtoCgk9nMPZ0BTqwuM5HUTJCLbh7xUWHAF1F4+9oHM6YqhVfh+N3WGi1pWannvDihp9htlTsC4BrVmeIBokr9dP8MBMMNSFL6wSuZWSOu22LJL/9R0fajucOlFQEVdnvWemq75ka2mZg41xd5UEr7dJ5+aJPIrRtmDave27Xu3yOFo8kj+uDvSu1GIj5u07YmtTQRPp7mkxJl+hniYeZRfNShVa/w027/GNAC0PpnH1I468NZRCnJQuIa8rCOjW/sesQF7YM838PAnz1BRGqa5GVlDXYGl8aFhozAikke0/aRFist0dyjWA/30/jbtwlw6A7h7PFMKBTnqb9BCZFKq14sf8ihYkpzh2LU+badZ77nP761ENJ5gp4Vb+5ZVOdTKsSjTCL72k+Jyas4TJMhuKqgfgkGk2rpkyUmR31q4kC1w/TxtZTAjkXv7U06h9FtmaFbrZzyRwVYqZaVSkEy1zukfxdtCCxF20zQaVRF/tXCq64TeHLoqttAI9qAHFOmC4+oZpRlfu9qbBVr2Y6M/IsvThipKr2N+OnsxFHWqFUfWQYmHquomg6lRHZLRIJkpclvi4mbCadK4mEhtXAt6jMy7v9K4pvq7RRWQXbYKGL/U4Nk6w+gclvilL5dTQZi409hrCb+lR8znqSI/U/+lQYNHs3gqr4LRIRdUgs/4p52RZFYnSvzEw6e3h4M0dUHzDq8GgLr8UW1tnuZMtMeNcTZ+6iqhFjxEP7lhlAWPuiReRkS/WW4G4HwC4V974qOAFZL8ZZCggV7OtSMEHWcN4h5HA62u69r9w2+jD9mmARD3UTZ06mFXHRsta8S1CFBhLiS6ySsk16s0MJSTerUIFIx07G90ZFecVlCYz25BkNmQk3QVp5rU7AXs/WJla9io0ow2u8wC432dt/MxmwiCnzJa1JUVa4RS5/RVBV74f4Kaj60skm60ObzWQ76rqtYaTO/70U82yxAfUS4FbZKwejpQzFdv6LR2QbTUw789593H0S5JMDWR2QG88khJKt7dD/k0mc44qsm7aa8MaCJMGOoO+c3HNN0pJyjbjE8D69cJ/bYuZrHOXVkSEsluXvGu+L6uH35jAtIR8Xewf/k8SrJUzzcVj9j+u9+4K4M1AFfjBRlfxz3ejl+eFEmEya9jV7ypqyQvOWuZVwq/IiCm6jseSKa6alF/WFy3PBj6y1I4hR/AVYhT0EVhoLAp1qttrGk8TBM1DCWz9JZs9KLx0CfR8K6+2xdFCBBeHOfmRBJXH8AMwqwsdFqng5vhDPL/Hh9QFndVf1O/IRIkv6TKxGtdm9Z1WquuPURyu4eyNV3IJQfjW5DKCf5T4QSpj2khy35Z6HqS2JgbEed2QcisInCxeqyYW9mA9281qgYzjg9GVu8iVsSTI6H0lH7cAGUoeWCbQs7UIDXOY6bAt0kU+6aVm7JMLSXPXBp92N0HFzXSJQWiuov+dXcLQCxuv/25XjCWEPeBLnMHuMWNS+XXUiQeT+lBoLBDnxkLTocq7GKgEVSB+I3iwBDQ1Or2Y8qh+QEXVvLsQdybo8ECUlJv170h/HTd5JbHrnKn77eKG4RoD+ittSFEY1ihSkPFZR4TP8LptCsDLrP6CCv7v8JlSgObAPzC7gImFHL2GGYUD4lIhUVcLXixqKLwe/RMTSxIrdG0DToKFjm12aI+rO8AVqOPBdGdu8yjcxGxBlatoWmGNtljrMytOqsoNy2qiaLElbB0PsqB3lb5qgo2PcW3XOaxN7wG+QnykI5TEIIwB3nSfhndTh8f6V7CB56P13jhpz4YH93i8xzLExDL051qgE/P/awHR3kFn4xZLqAMkhHNjjqIlXAwCpFQMzJmxJt7YfSN4czjm7FvUvvB3z+gCanslAlaPuEkHYQ1QVNK23mzCfD4An+ElifuKawYOoy6NYaJqzBlNraTQ2+OWn3f9nkOmIj2KpOjp2+ykdKPE2H7k0Q1yaXU/k2P/YI0zWywACsSf62PR1RtRZZxpl7b9yS9ncu/d1NpMwEqfV7CU2SClDNMxjN4HhQqBuDKzo0AGgxHvqv7V2KP32v24H0wwAG3jEcdGYWiOxFVeSp/ThnJ2ioFC/i3uCTcmTU7K8IDEro2KvGAuV017/xW0rqeXfHTIS2lZU+VhCKKQKJYXH+Uk37ONArkNXFEotPaD5TrKgaGR2gAfdzs2d7wOKDGeaLVwkCeVjVcNDGQ7WrBuEQMs7g2inGubfaTI/fuun2BUP6GfeuyG9446RryrSyEGyvVLhmcYherGRbdBiNsKDB8rCGuq1VxQa1J6NkZVfrs7hZTKnXDRG2NfMDIP7zLe4YP5wqH2EdPr70tC1PwjdZSuoHe37UODXZKzv+1xt6tNpqzpnw8zd00/bkLtmt7qNnATpiHAMrg83oZp8tMW1PAhP312Mk9evHekXA6FXFrmlat/ozblcHmFgrdpaIchF4FXgx6qjSOa+HxaTg54h7spBtvYhWQlqO4ShfUngEvoxLolWILr/g3qGvqsDpA4AleRwkLAYHO4Sp11dQppFs+jaZyNb6cU3zduuYX3ctHf31boBGwAMMlU54/j8noa1GHNdG3bRCqd8gfQsatjFwGEa2WO8/f4wxM86+1DolX++n8zAGvwqdgXnuqsJHRrep7VgkKC/vcI8m6K5L5pPYSy6RT02Znz+LpIXNNHK4ZQkAiEfCcSPqBboTwnEc5fmvAS76o2b1XezuRAsHbTYjvHZRQVUxLQfIILFtCoZ7aPRloRsexpDSXWa1Ne7oIuujdlwSeAUaYOLRwoZTjOd5+DMnvsuAzzGzDqk0uzOH/t/5KsnPec0ozk47mIUcOiybvlw71ICsS6pqwzkqJd9aTCSq2z5cIL+fLSyP5MQE1RthuCCdk3w91DFgpwMTgPYV3YcXswx8NDOlOqotr1s9bWQ803XPlK6cvONc82DAOUalpd94ObK0B5w/3pBsmjEBfkZ3fRHJpKv7QTI8HbsuPrqKqqznoG/ZoSJPSDlJKFcMphshLOoOseB9xqBER4ApeC54xnZF2YlIF/dmQjaO6d41QHBDAwwo09NG1bchEzSG0IlhOuFo0HGuISHse9hNmO74TwqMgLIch0m759oPCMF5WzOkxzlPsKwo+h/zQC0SswkmuCmmLSnt1npPmemZhVQdbNg9ctSd9304a4C8ja9aA3sqMRleur1mrVB/bg4ZPUwMjRE1YneC5cB/HHS9YSIYfo8xixZlmsEhdrZl5SkESEfQ+8SdDLwVw/l0zDZpNSR5YzRJSzzaAy45PGDv77io8YUNDVXeBAaZCRawTFbrExXE7ylowLSecqG9gWhCOWwanpStGDzxm41lsfNVGQGk4oW8F9WybQaxZ6uX9SRvsnEfYzKmX7O8m/8AAHb1QxozrzIUaCUR0NJ1Gz63HpTE60Ozz4NYzLI453dIzAof1Z5PLcEvW/mORSo5SskqH2KWfWUQ+gKwXFq6wsiFrFXwudWw3XAREnfxddowFMolaj6cYDfz3f0IK0my5MUTzAKoRrKqygrLzrhKFPgACNZIFAlAIl/DVXR2ohC/wGYB9rgUtkWO5meTI+Lj5YeFvZp+hDRjnSxsbbiuXs6fcXjSAIyYYfrVHrPkcbIiFXLWZ4ydSKnoJqPhtPB9A2yIQNkORNYoa/zhx1XsjnSEazyZi+AKGngRDcVVE9+kIcY/1MvEpxDdJ2OI9L0Z/JU6iXplDCRu0ChGxS347DDFILSsiQpDGIDtSNV3FKqTQjy/HmM+FlOjuSZKrelgK4hxzcjfa9ANbAd0gN+Axj1pLOy66ruYyiXzBYJNG3zfVWT/V0+7v7v6Ipn9gk6gxtTIgzgBE+KxReRtoX5DtWpZeLIAN9BOY/SQqtk/VhZvpW8hPLGfSelibHaQ0SgF8OOK2c+LUaGLMDE/PtlqWw48OQx7vZmt3FB8y6LovV0X48Vddqj25iiXSj25HTx1E3Q5bOzuPfMGQB4X0apxjBuFcuoyhmenDdPN8ohCa3Q/ifZnR8pB7lrre/4GvhiFKvoksu9mSFF+oaXN6Vt67oiAZJ/CC8+SbopsOJM7crCIoXbMAsBdZTHSF1XDm1fbOu1eMbKlG+ch2L00t4QsFo0eeNmfW6aFYgwAlVHZTN77EpsErtFOFEHDoVXk2Q+qur2LZbnt1hGMbe5pUNGQPPiSOCRtxxdseMl3fV5SSRRffCPExChkukl3ztnyndcJPLAbg+jjRqS3Kn1WbDbbcrcaybhSqjECP+pkrr7lnpe7NfNcBy4+z002tGh8qtSvQnZoi/o/JZpT+TJctrtQOnl/jCxG0s2mok3IEEaHtNBz1zyUv3cgTcXBERIRy+Xyr0MEYUHtArEuRiNCZ5ipK8FM2nj5qdrd1hiNzDpOIXsujOjJwjvmYWtnm+KE0MaBMQF+Qvd21cxjgpw+7UTlADIeoTJr+P/QMgUp8Vw9GJ/dmUq6oTMgC3elIUo+KPUXLZPpjx9zF6TpVzTRJCbC4mbMdxL4VP5GPtBz1J4DzGHOw9bw0+1yO4UBiPVQw070LbXC8Z0sXXvgjoWcXu/7BN+OBCjLhTV9KRJ/O933/sj+5RI8pdOepHpa3ZLaZUcUk5pm443Oiv4IqGG7kTUI7n+ETZ6E2h8CQFOssZkMbWf2RDr/qHv4iWgkcQrRmO4mQQ7iKcrAcxwN8Nriz2q0OoWH48K3QQU8RoQSTF/vITyVqy+EfkQ+1j3sB/XIFAK1ThHaNz8mxSkAKSE5VnvvXBD8vtVbECgiWWTTVFxvFLflgrxnySnAhlhVO6EA4nhgKMM1nzR/1sN6OWlUIyiWnstKetKUU3SNr2SjoNYgCHnalB2CRqfiIBn+rhnmh1qazxTOL0hknMoOTjknKG4IVn5p3jZsq/Pmg77VFwJjXs93+MnX0+SL4SCBKD+GhOet+07KYsmQB3H7lPtn5nvqcQtaudFfzlPz7oPJ3BBBNBVLp5dh1pQ7MKkPmxqEEGm2HMZMPWvyG3ci37oaSofXFGXato1epYqvNA9Vx3FTdZEC1mGZMl1q4fAdHmJLvDS0C4st88Xq55Q20rsAZfYAwVo1eZbxOLkBH9Wcjx0bB1MaCjVujqpGS7nVlDYeOn1tXR/+AOzAKAVzG/NuwrLqc6xZC7O4fuF1n/UUNHCXouLs8EnNTvIz0qNPBLVxJHybSQAbcbH6qN6rtYbz9DFJWUlBc943Pe6q3W3pmtmKhvmH683KiOo017J+lE/4r8UUyJXWQtBsNfFqJ9Y5Ane1ooj12l5wZWVUSareupZjIp7F8SXNXhChW4N8/8IboUyqNKJubI3+jgpjhgZM67r18Z3666fkAo/oloHEE7bywzjMAN49swA8952NlvLS0/lGRUdSiya49wJ17N1ja99BUdm+kiHwDKNUCpSScZNltD9P6FnZMHVt4xH2WiQ2K1Cm8Iz5BlNyu67JItLntl50uv7TeKXfiNhhOMfWOykGmYWHlBJ0A7Al9b9SwWD7V7oxJ4DdagK47NsBIWM7Z2YNBnnEko8LQnC52RhH1c1SRW52Ji010xJE7Cur9vSm13eMcQzuI9UMMRn7nRgWpzjEdvdACS5UQRK1wp/eSqtMtGbKS0bZ5BuvTdTI1mnLNlUTD5jtPZ4NOM94KdGtl/ocEvtSLLyRKW1TlVa8NQt9+eSUqpWQ0zTi/c2bVJXW9Q9nNoV2yn/vcAx/nC8FCVHmQ/pe5l1Xv3qLU9lmRRCnqZSJRt9bHeD2jGiQ/wP8VlHr55+BKgRw6lBnZZ5hQ0VlM5zJbv07vxdB+KNgda8EVvQZdhgpAZjIhjgz0nLqWn4EM0OfrOAjYSiprQHVO2BWxu+hZxO0oH+GdykG9QOVCX5MV1/rRkTuysHgTsAcgGraxnNnjUgJAdco8+BYDkzzFMQ6lhSiah0i1Pa6gnom4XFkxJaoQSPXEuTfe6hl6ZWQrMRoXs78XkUiGe9z5x1Sc/d2P97N2MymbrFHCiAZ7xSPffRcXDXC0S9V0czPVjfs3T+rv6Kh0UiqCcxY6EvPVZDO5CCX8dHEeo7z2M5DVZJ9YyFBCOnAIh5CEDVuGJCJkavu4t9srcPq9N4DTtS1tt8V9dowtkmhP/J8LjJKXzzkEMpgliqq8yMuMfL4vZnpg7RG3ndAp1sImEnqBnfJF3AcJpGWmHaTm4Ys+foW7sC787F+5xA0NdM5N8Y379tPXzY0XDoyqp5h+Zyy+iQ5WP1D9K1ioH5EGZlNjogRqGYXBgFXOr7Bf98IFP+ov0TZEeRdHbVmzrtHqfXZpOLOKe8YjHnhJDB7hfpSA3D1BmLGM4arZehSS+5DJ09p9vg5FWGqQ5awcTC/eHbHO1fsnN+hc074XxgsNh4f5fWnJymcd5409G9VtmiR+RqrtjvTKw5sXGnflYqzl+PrakaAv3Zcj0a8mCTH6hY2w0tIJ2IZ/C7nRD+w1GvceVO6B9H8RD+6RNxAoIE4p3MJ0ha+TDJUj00cxXuaQDZhMw/vZY98sHqj+zn4hyCdXl6Gpmbc60jUANFUknf8OUHC9YQLJWDk5j9NNpgFBlx5c29VUxOcS3Rq25uMnrZqVAGlzwZr5Xt8w5+SC6yt8Z/RYgcxOhD/5f/fxDKppwZOvK+q4KDgKLkEmX906fhEgnGgbsIG8MmTD2t9RNhbUsV9z+UyVyVQCwEi58OdvDm9XA15EtYueoID8QNKA3sIqfYdzorTm+haJPSbnoq7/KmJy8Qf8NdOHbv+r7JFg49vdJFhhGDX7nezwEoXz4qo/n5PrBmlARdKoDuY9j4tW4DAGnt0YihzKiG3e8/HBsUNhqElqg7cmeZDnWAsqcqYNP4yvK5WWdZ1Y8odbcEbhnTiAN+tY2dTDn0Z6+SZUkkLKC3dFs7PTsKq/DWNmxY82lUFEFNsmxFCl2WFS/pCZ02VsdjZua409q8NgCiPWAOqR4ltOAuehEtbYpvKg+ezudS46n8cI7SSXOS2JXPS1pwBdYmc8xioKmsmk/9EuW0SJITmz7dyzb2zvMo5acP9O05LJrQOID7IWKj3ImqPGKcOWQpQbnX6we1OMcliUzXmRwWKQcUjJtcEOOTVRn7fuXyzZxq3vTriOqiDgHaeB7jZrmDjT7MlIUucnbbZd2+/OTpYIkUg8xQPFfaVQ4QKiYilJG6x9791h8uCMcsPtS1y0ZBiVQi89y4lqnrFJEv0QNdE/HhQerrDWbHyf1yB5317BTemAiNctb1PDqCn1tT6GV9U/J0+5oSKv1nPKqGNoPCw+3NNpzM1xC2kClY507oWE+DHBlSDvfBTdzrcBvJUHVLfXYQQZaNBv2jbhrW/HEIRebjfr0lNf6Njii81J0OLMTamh2Zv6LxYDSZNHqcXhuUQNc90zAQSlkB8vK0ICry16lvF29r1Baiko/GWmcWTQQfReYRdO5sSh7psTedAP7AIy7+DJCcoPTCS0eTRpJ7qqvva/4BDya7SkjmoxxYKczlHnEkEVJgl2qUTt9YIucehiRc5RcdVi47jf/HJhT0Ei8adVgwHGsvZCNoCDDmrCNKkEhSHzfEXCEdOgGxs7Wkjd+/7GDFMlVYzf/ojZF+sc72TAjFI+SLL9dAHpQ+cS0Aqr97dWe5t2jdASFihlYXPWn2KDQX+zOo2yonYLbkybIvezLJskdkZdGPK7vd56fCE5F5ijNtAHPL0VAt12IS1Uz0ewcaMWiKPt4LiaBLZEuQGkpjmLBJ5XdZRxQV+efz1yIw//QOgZYCh/Ae0ILzHNHOA0pZA4viJ9OeBVdEQ19JoqTkHTgb0ay2pD7kUE4U5zWfbgMHSUd5HZU00A6wveCp+p7+LzUtHdYNyM4M6qAxl+wJ7uHIAWDtUZQTL+Svnz5S5hA070Rp7jAsJ8jEHrM9RTdEfHS9AxScd5gG846QXpwVs09yqwZJy5jZYNF2SkMMjYGsblaxZHDDHgPufUZgbmYe3bGLZ+M15UaNyQFNcMLCxEj/XBB29ABwECJTokOE/iTWUSZLLXC24g85imET+L24yR6+l4RVxIsns5yqJQ2v1zbiA2cwo3y24b75zWSQWRYlT6x5CaC7t4yD0wtI1JQ8NmgExLUq7jJTec4BgzZwrpkoTGuqIw21T3TpuJaBtdtW+Mp9kXacRt//g6dToO43ztZa5DQavZp4jZSmqQgcEBHU65SddM3ocisxk8DvDIMAV/TpEYKH8l9bLKyPhVxJVVTY1mr0cxjfFMLQhj7g5ZU3BrOShLC3ciNvkIFmnjp8cWw0Lympyg8x7/VVquWCZ2ddJ5IJ7GQGpOHkIq8hFEIhwyXeJp/cO3BjV0opa1McMKT41rAlzzpOebuTV0OsUQ2qhz0Q2ALc6/nQ6ODVVAKgIlSi3UAc5T3roBCRxX6KSvEkf/jObdvcKKup6mWOVjRXcl2A4q877aTU/S3RWsRYNoX+UONj1Cwv/CWJf0gj0hIBs3jO3nTezDtWi5d86gzWQr405kQ3804KUVszv43PedPmWqrZKdvgBH7Hmrz6gIdn0kvGIdSL0H9SAinjTBqHEQJnv2nTXRBXujWP1oglpP0oGmt/A0OXwNVltYm7w8ztUGpd4FRUJqZpGWTe3DBOHsQOKsnK/UkbU26tXzWWdgWO7Vz8gxhgv8Exgv4w1DtJgqJaUrDwVsv3KelFXkFQUh8wnMGuAVowz1aedKi62QYQPmOBMHl6i5+qMZTMeKAXDHnJWSXJP7G2x4j7myDmNZjeG8snNrAUu1KPItW2jeYgEGRd1Z2OVcFkR/EgSiybfnoo47xnquQ+Iku3mbSVmHkSGqCo+u3RnCgEb/Cs7Zr0T8uczjby7KvhcUv+tQLzdBKwtJXFxIF86u8/catR/ZB+hw0ou8C/58c3kdqlq6OwiWrjbZNY1UbhHOxRwZpBzgeVBW1SS09X80nokaGb4Bdp5n43WOyU6P3zTW7qhYxRzJjTE3tId+9ZBc8/+VpZwmDw3IdSH+uU9CMV+hNqNs+mfsXuT4OL+gaM805mtay5YjTjbHelo6gCNx4CYbVgR4d1o2ntrDrhhsNfwoT8hX/RGkjUjxHvS3ENfXJgGYNZ0S0VFdLl5b8If2vyNhdnTi2rRmza0i2g1lY0IvptSM7UHjaSU6SA1iVsA0GLiBfzotDunlzQFvjuhizd85ZWaGxeSYEWfg5Auope5MesS5teU5/lCNRBs/rSZ1nlR3lhvkChnTbWFQ7S7kHcYgudYRrcAIajWfFDWAc3zv3SAo/5B6ad3UEt49IQfAuGtpNlIuj4RjrQF9hmMzmple/3POE/0ci4re36YbQqpqyKGTWeuPpvo69NY+Pk3OTlCAgIcrPMw6bCCEYWHt8Z+L4LfLdLPd1B7bF8jV92o6YnjHNLp6k1gWEq0hOSLEnEkcfmvd5VXIAWQZ6Loe0SFmmFlx5Tlb/f7RvzoWvAswBIDiqSlEYMJTMeHE2P+WlcCRjtw+l3nPVECWbXNANJLPChSfKC0magi5Jz7PfEcuDIjBZHMQFp5XymDTF6XSUmbjvETWUVrTebW5AcrMUyNdfA7VOA1RO7ZgwzXk0Mzxc7i4Rz5jsnJ472R1nhG7qBdK7LSe+ZdnfTyio+47WAjVhF9uQqXXqBHs4Ho0gFMRKK9To8QOafCArxx20LZ5isHKwdRnPojtHB08C1FcDFNOdD29/VTBMMHVMwpsfgpdAPgCyjy+1tDunWrlWUdTYaM7YR4QznY+sPGoaAoMMUTaR4zqKffF9UEsK7BAhfprEQje8mzyYULPOeKagrOcbfh/KCXoKgL1/eUBPd4saWT7jAdlIm3/6cJ46midSbGUd5gSjYq+hJf3HDq/m3b+jIDtvwRadxByZc7X6wpgEcI4ntN963VJuUFnFCgbohqKGVdgGLNOFFfuobSTFH0G96loYilBPepKa2ZQbQ0TfwA8tKKk/cPe2qK+NYq3vTO5uuu4rV6asljnRo+bS5L7eFJicNMXqJ/9lj2vq1vW4qqedcuIM1VQochAcgpv1u6bRhLKbPj8pOAfWgGBZ8RWXrGRf5oCmDFKROJ9wH1R6Di1HAS1+y6SdpiLTbhzu7CypSc8TEycGotXp1vLq1lfq9odnXUz37acCBTLbkgl0W9WUg1WrBVOFcL7/MZrSW0LY7RlmKwv3N8S7PEKl+t4eCXIktObfVHBvSHCl1aubuTMxcgBQW9gCUGUGrpwjLkwW/H5QzdOz7p3znOXTyJtehc1phN1FGoprz/Lh4xeU7uUopanQYC0Su2/JBgxMKYiXww0n8A8z8bibmxrN3g7GI6oxGLio7oYV/QM/bhSZvuhsxSagOnaAZtmVi+xTS9acqKTh05D0BVbj42LGZ5HwIwcPrEb697Bq7yXlIPAxk9s3xCk5rg5Df3q22m7r+8O0+Ir4mFhlUo5925xX2x/qhwAr6kyMqUhVheTGLfhE6p3RGNu+x9J4Yrl0+PtyjkoHFkMEKYfGoPWJI/OK9ZzyJ9obpfO2MXwDH8VSRXbM7Mca7//oeeJBLuzcLtddsp9WO9uit7JUFDV5jhudwSntuF/RmZgZWWV6W0T3UcuBXdEH2dFDVuvh7YyX35OKrxBsbaYeZL47Dkh6LLreSMu3hVQXXgjQhtFpLMEHL+oP4OUj8tFnBVoi7Uj7siwqMY/dFgzUYCDyIL3VBN3VE6DskyVElreQ5OHeniVvPCD1E5ps/GKYM9t5301wgznCtlkF5KFPWrUhLWqxnCteVkmMHzX84xrifylPSuW5/6Aq0vn0euo/6qsDl64UQZ2C73tDSj7Ka63429GX+4qEfi4EoctcLxH3Ii+dREThcqHtrtjC7x7PNHXLiuSx+LROlvYJCLps4JYCMkG41dOhbMyV8JkmzURyBlCSW8eeb8YjO/q94b1B0s4gY4/9RYSOzaHqmA4MtVLgXd9ctIcF2mSK/mnVPfJ1zqc0ud+ex3As3uTPySV91EVm3KLYgvBecU4A9Jb8IC8A1UaWxOZ/Ga37ccSvSPwg7jQmJWzSOlT7wR1Yf3R+fMCZoKigfwqB3X04s8fTfcAF6pur7pE5xpnX5EA+JkuKWGCoWl/gY1024iv+c9EvYHw31XLd2dLH5ePmreAyMp9bER4L6TGRkulXfCO5Cq6qORH+AbxrYvIVteDI/DGowFIBFFR3ZAFHvoySKKFzkIAVhctnP0F6HqNGHfutkIETsghyB12SINYWiWdT4UW8panxp57P/faSAGFP/tNFjtEEUS+4t+vnenjaBCk2XOz8wnKbRPn5jpNndfEQdYBW0CRX6m8TsfFB9i7YUKwgw38z/BuVTMMEZaRIHBWBIYImtJ0+kBSUdufonf4EoIF1ftDURDjm8gHfXoBxKIh2JoqBAPhXvN7ZSDT8L3TB1l+IMEJ3Yqm2A6OdJjvMEHj0RhtEhCSWMU78JfcDovE79MFOocvRsb99WsE5Buxnr1aPAqBWjuamaDaB3Keoo1Kd/Iiwh6m+rrx5bg9B4w+HRrdMvAEBukM977obd+SShzA3Y/Y8zNQhx2jhe0gwq1suxoZope72AgFRNmwETWel7QTTtgKL1FxzrC2E8y1ieVy7acIIpjLiJXowQVhdPUj/IMllaG01OQVP49nkdocBorpOYQ/ELNr3Ht1V5oHmourtcLFXZZMVq1ZCENBo2ggnenjHD7JHqDFbmAI2byXTZKhKlM1qfQzoLHCcdYhA3+gZ4Bb1h0KwWozZW2v/RTCBjnOYyhnPCPgt62lAKaL/4pZ39nQL5RZmTrRS1Qn2hkt6pP16aH9GZbQO114XZEt93oXMm6xP4mdmPshvG1FpSgx4RoJvtrLyv6zDmZvLd47M+DshfXOXnLpMQQxxTyq07ctQtVssmLX/d4QNS5jsV6YZTILrcMXkaQAK4AnJ2VatMFLLlY6Zl6sXY9U9fakcs9ML4RM0u5Vv4DYYVYNPfbaZ2lz2iTP3EumUo5XDJimQv7EoNcFlZirABQ/NufV/MZvKC7kk9Xee3VJSeUD71F1WYOe1eJXkIdG7iqy8XwPTi0XWEH9f7hyWB7NEKKW2UK21RNpN4xsFEPXV5vKy+j7G1NW0jBJe0GgnsXMwLfqDr9oa7betI23WJ6X5JY7ykXVXnqOF9Es4k1FwhJNVbjmWM3r5tbGtBakfy/nt9HxMco+EWDczY7VT/tFfXjFVU08/umDEcqG4did2yBSgYiI6aa1IPbJ5DyFXMVioj6nlq8+VEZaO7GApLjZ/mMqeN6q9hc4ZZt2SjGzFpKvnbyZKr9DMS7smABYYTuuKoNY0m2Ayy21Joy5ZR/+Di++NKb/J8RKGuGPH78mpUng2rgp95liqpvD3nVfqioi85+mjyKBp91SOEnypHHm+wT/obyxOO+xcZu1IvEhMgO95+zdfBScH1ZaeB0byK0FwOhSzvvNuEbzHJbZ6UeCJKHRMpbZZhQCojXtrjBRyZnI1lEQ6uasPMb8AU0Qh2iRguVm7WlSTTL80xbE+xENCIEzVwPsfIbK/dqVNSkNnnSnPNKtp0KbhMoNFPwvPHOtfK1RHJxxDjYYYNVIw/J32PrUdUeHrmZNIW7t8d1FxrwzY+5IjOvDK2GkPluelnkgyhTXJFU8V63/UkvMSi6H/9wRsHsLO8GZb/HbS6LgQMcP4QzxgKD609qKnNUpb9v0oZqElVhxNH2+JGFTri+FVfyFvEvDBannnCtRsFPynuzuiAOo1pQmZDnVhSE+qKu0aJSYXqIxg5BJi3LpDdizj3+RcRbFMst2yU0vXK1Xfa65ZVia/sdeL+tT8rZ677fMW9EtCLduneY3nxpuFSIvMfRwlXn7P81c87Z8MdhMevM0EDgsblNEJPMkWL9h6yRndsjgEJz9I6Aq3mZHDYaRCfsahd3tuZoNMpovNwQAGJ/VYECrGLiwgoDeekDf0aVtK8k5Kw7TI0GdEqao5Ke/AA0GhfbwqF3kUcp/+/2XvOHsE/Azg9pPhITJMkFkj05Oj6D9X5a1kyLTXY97P78DCiAYZPU1ifcSmMgZ4caNHnSJeRamJRAanMqkhdHRVQBj0JGzHcCFai7yJ7kdIFjv+jbC/fo7qLWoE4aJVBnErDsYrjoDX6N+T94s7xeIM+QTSLMp3Uw8+G0/N+R0FIiWYvOdLJLTt1M4Ri0Gp6Zsm3nXioSKbHM9dq4kVPdzxGq9OkzHw+OHN4ScFrJtdQq1aYeATIjc360il7hhA92bMQ13g0rUenKUKokpEDJugQz6nl62hLFi79gVv+wl9Z06SjhAtlCLa3d+9rjhCxhjtVarzWENkRaxS//iiZ35o1OmuTKEw7eYoSPkHibUvTBmQrE/oYhHrko+DXDKiW792mn9acaAvpQhgophLwiayJnDVGNwRckL95pNR5pXnJ+kA/C7E/9tY/1R+PmSp5MJeJ+lkOuL4fdY9amvvO+5ei14DCraAb5GwtRxSF7Sw+sBZBlVyZ2eTVx7bMNwkQeTwAn6QyX5pwcyKdt8049RTrKSeq2FeQML1t/PQrT2LI5wanPR2bhHHFy2/I0rm/ixPouUpSyiIwKWWfqO2Oa++Gr+7BJioOGVfP9GmJYRPVyN9BQj3vN5sM+DX56VDvayCtCsui0/N3Y3oZGSlUkLnnDrwu5BAZp9iKRMA+Zg9blMiIRYXEQrBgejgPZVoDEAW8lQ+IKQy6qQMYMb4twd11To3FWj5KDJjjICZkOkR19riewvUKXpu6zz46RgKofvhi9yp8vM6C2dOWC9vJFEPVnMZxASnKk2Z1DvGS+f/fmg/d2gOhXBqIgTk4mKInFMhriQ3jJGKRouL64jRuZuxI1HXOFoCtzckV09DiTXa2rRqaodypdIzrVHIn4d5+KlY42laCguWRxovTigaz4wSfXo+QbGp1e9lDX1ymsWB7m6HQszM3H07faBSVOI70lccQby3XljPrQZI5xAiE96f9bNsOnWE99aXnhlJdyBDB9gfZnWqzaK3SwYwNujNS3s908xRh+L43hK+uZBYj0mN/MvJBeliVftlI/z8lQv+vk3/lOQRkRvaMiEuB9IyDtAAcKpLXdOl+ZMxbE7MMgQ9L2aIsRs+S+TY3FGTa677uCqGvkvPIAOQKrg+qKRyzBRpszasjijg5c4EjyrFW3eHWfF4154Qxc+oqrJpranvNGhro1te3imkqW2L8UN+2eANvMPXL+cG3EUn5DT9UJD0J46szOlee4uynG6Yx4Wp0X2fIA8j5bvZ2G3402biCcR9DHfkWz1TzntnQTrnIkIjSGfahTPvt32hZjfWNeIYR3RlD0ovpFkcqdxTHxqJEkUYTcfFE6WA2BOLrECrc+QM25B2jvxXNZRVwSPdAaNIJPp4Q8VXmmv4PtMGzfj6fhWBuO9XdUnWqy/7HTK3tQEst9fMwKRwypNlmdWj2tGEDPeU0xTUgBN937aU5XQ4ZpMoSXjb4xTloPRhH23PvefMZG1MahKhQSAM+FIFc+qCrg0rITvWGOrIitTe/tn+tAG/i+T5dcCHGNuB5BteE0UUALS2R7FUVAew9aJMickB03uy0t5/tk0LUegYeH5JKFmLQ7BGjwp+2jgNMHsBi0U2+Y425CeWhJJAKsoToQ5XqSh87mKV/hYHNfs1/fyi5avwRPfJ8oJAll/MSoKw+OHGbpnp/EBStToLXXjdD81nf/kwGvJ1BjTmL38vrwNwRM4GWnTfYKtZ2CJ94pIWlbstbe5QFmGoq1IwSwraEFf4bSV1jkCzeumFrq+fYLlvmNwzjmZe8toQnACLUchyCs3s0Z9gxS1AWCFitfWts4eDy9UTs2r4U1/LnfWGk7PaiIWtgr5jkpcu49Ps7A6YEdFIRr61dBgP8alZWjSUSGtgNiamFJv2vfPTvkJgtaOWWH04cQPeYbI+zYpJn6OAPMlso19jbn8qRoHWk+1hs3zle/LY+nVOC34PislunMD63TVWWirSX2MVlbEZBkLWHMk7XOOpcT3dqb5QXJ7r0XvuEKYOQAlTHPwHsnHKrMKbNbUire0+3PFrOpT9NCog+cvyAK50IHvIGcw+oZp/PIP+KWmeZh6So0cVfnhq5Xg+ZdL6xROwiJ/ZrIjDvwBR+erBsdEqGRpV8pMRRjZzfmR5oJtrfb/dyXUQwcqSnBqw8ATo5yLOJJep9p1qH6NY5Z6/nKjE+Ga5dSyTDdNrbsxmbdC1YU1ZRmnxagcVLYAJ9Cn6SAkVZt0ARERwJ+ef70oOOszl4nFR2gkLKPxX24+1QwLwuOsN/zbRhZZr7aZzwrlgNpQBxk3rZYzukvX0JZWdeVhDw3c9haHz2OjEpuunbLiDh3K9/XqJFNIJ5jTSNJR8UIcsXnygc65V0NkEkAHRgiFFwOwfTNQUFmCFU/bOq4uQyVgg92fqmtLXTlHwt8Dgik0ocCkyKD7HBYR2n/Wzm7+a+PaiUIhjhsc0/JLK9mJYOX/gMUDbmW2j6NwO0mnoG8e/uHLMZoRwHXC9tmvnNbWVcU/eJ5Y9XtC4PMTPHkxYGGQSxIyhICgspzTEyCwSXpP6ziUm+r8gVV3XX9zGpsyQ7RdkBVtKcMoR5eS92VAkVRH/fWztdrvLIXm6VjPwEgjnzG+JCL8DflLa/iXuPsgqndsD/32zl1vntxANyD4ax2QLORl8sAUrI+0XakoM9kZ9/E+JMZWzp2BlKXdPx2w/cG5UbMPgW7R7RmgTmS9teemOFDAhAQbusg9+m7UZpyK0eBwr90+wvjf0veztMHcU1LX/2f9wQ118zgrKT1Is9t1rCX0xJVsI5mKCKg7gL9mSBjn55CFI+tIlv86A28b1bV1wr3iAhR8vFh6p+eDW4pwRlPvHnX3ZlHJciYEfVB5ey+1iwbJRy3lrPK1ZnexFabrci/D3yH/v4Gk+HSs6gMczCfocSvyA7Nc2cgWXGaeasnBqH5jQ7PK55o4iNOCDJfINxuzxddsBQNa/5kvF+w+mHGhNfo6C9HzNQrgqAnpwxpoxxL2yk8FByeovJUQ8zY6GISHKnPSZ5PXmLvXEHBM17qRW2IqUjWq0q0mJBn4/bB/tuzVPbsKWc/Og+k92sKdbAn7lT+vqyNY1sN6hlxWgkkdNUdpVdYciM3VyC12WNTqSGdEx+QD0CPJCtWXvxFnqim3Fo6AcLAwB8Wh8ff89SmHBuAgHKol2xxHeQ9sbCFTIZScvg7JushXfK5v0T/iinGBsKJ0P1yDaxEXEj6m0GfOzSyx7X7pwiVJnSP7oYSVhwhWRiidmhA0I1J5uGu+yC//x3fHZ7D7RzH+WLh+I4ybs6IrhmxUGjHOplo2gHIY8pXSwHbklR3NX0g5CgWwPHIDUWsojZY7xakVwwnyWM72Wn+LVzK7KOcldKacpC6eZERPUwazn0+k+6eboWOOgdOQ/OlRv2vLawvs9GrTFlbbVms51rtWxgakX4Y47rHleex5Q/BnBJyHe12JTKRyrbL0XKRHkicD5EaJOgOXGagGbgHsgieJBIaXuat8sFpBBWu2kT4oazRlXi4c/56UEJO4eJAUbxCvjsnyYUXBhxP0uRrMaoiiAF9KJPSU8UGRDVP58e5knZMTSMeaZrC6GKOM3xlrcH28TrZKB9hqt7e4zR0rkZOHnKxgC/vsW/oqIIbM+BIkB4QEjIIG0NQsK66FsjNupxKAvKhr6Tr455jnONO+sfJjJrUANj2VuePn9CD31LUqc9iSHzhKSkGoIdx8Cq5cM5hZ6p3lig+luBsBEK+Jyck7ajUpOWIuaqTNt/LhkvaOotC1RA+/fIVU2KPG+I2zBi3SNyDENh+7wpPVnVJUW+E9Q0wSlN2NMvyGJHHRdXtbl8sPNArsOjhspc3WJYM/Q3SL4SwxHp6HBPbvVOGt3ldZb+Q1j9YqPI3TQP42ga+glQohxav54Pmv4eauiQxH9DhgrqLR/2lwC/bky6CZk9HuueSicjbD+q9BA5yA4fLnMluUY/khQUe3DdYtA2aySPCbG2yOoAo87xwFpdndsUhSSPSeglOahjxPAycajqXlpqh5o427L6+ciW1BR3wPm67mwrh3mAsURRE7i9W3+02OXHcpUPy1wF8s6hFCeDtXvRF9IXVPcd3HujVjdbVIQzzcLuxJV+SE9Mq6u35sQYJEx9rNZjimEwYbOvyvhw9yO+qC2+6XfG9KMLbkH+pZ4azJrTadKlQ+R4OK63gWSUoAD48caWhWjnqX8O5E/wLeRS2PFDRjpufV1QLg1olLtwHOoAkQjclDB/CQwTMiWr/ZzehwFcudYcfinUZZgP3jdar+dPWHNiWCDKc5REfwwNbe9NAGZSUmrOReaJ2OszmYSG7mt2jCl9d1/zb6C1aqWkxvwJwfw0wbvu5+Ai1nwntjfn/ws+9xGDi++nc7PcQ9JOo5kLtHHxgGimg130fRy6A9Ly8nzSSvNg1eZsJiQwhvuXM+0J+7h170m0XbGiB8y2r9dVieQPCxEKcESmQfjFfQSAs/sSd6C65c0Wg3nFHrQ/4j8U7xoXshXDu8NqjscoJS8/IkX5U1mcxBGffyGXmnoOwY2CELuSjTSZtxydUAoQrX67rErUHz1GjM/TiB0WUGssbCxI0ULTNjfyQ27SDJDix6xGKaRd1tW7tgNAKModhJ69mBDYNIUm2k2GPg3FVoZJ865RToU3Rppi+9Fa77GdTepA21KY80mZVBNDm4uozzOxoXh769spOZYx4GjzSojtem2bDcQvIMqnziMOptAhijlkLuMPM3/MBfgURps70wZ9/sOHAc/gHrVC+q+3/KvGe06fdGdjy4gLlInf68T1O2pd0AfXOvzblFoxuujTFPHFCHS6c0m7C5rPtMn5ymlcI8idZfcQ0BRACkBo47I6dUKVycrAOaPtCBXIm8P2DNmaI+RLAXtAvtYLX8MTsrcRjR7OHO04uzjBnCl5sC8eS7dTnUZ2kkFmj7IC6flnkzgTE+3KQNYDHvQXVJwUycZl5F7r6RmF87sxGhwdkYZ+IV/XVDJJidKNLzAgf9Kn5b9/aJIiZO4a4UBR5BQFUHeqIS6dfVwbrK0lPBmDJpPW7xdrqtu/N/s98jqFVlOVgb0Of9hCB71wmROXgjK9tDFEYpOckMTGmR8QTCr/jl989DEiYIQDqzzwuhAVrnVje1VOU7DEMBjSSjnrHaM0Ylfznke2LtgVE7ZGe8iL7WnxoxRkI3KlPfscr3Zrr4sOytNMotghEdvqvNqt6ziO/hplRa+JtEAHev8FwuzOfxr9oDy/imVVcbUoCAk7/a5IBKP+JcqW5j7MS0DuqCzzfgFU2ok6/bqKMVKhGkxQ3ZPjNvu6YJkd69BvS0H51bEzLVdlvzHGAYAVSy6VEcvaLit0V4tTgKqjK2Bf3Ozzo4DBE3XHMn5PCBVhzOyIzmXJmy7WD6CwjJA5vrWkgsllzrnL03exLJeREcVYMgNwFdyGNIr5tRiShA1pPAPd74IZGGnBIF1JeLdxPv6BiCAh5kc9mV3M9rD6ILK+A1ghT70XiR0zErQYFai9TEHhdAr8KcvMX8uoP5XqH+w+FwB5YnYHG6wte12c/cl0hA09QuNQhVygZpQMTSoZC1dtZaYFLphVVnuMO6AbOBDXAcmsQvxHc6/SNyjJhePDzeK4ihIz87Sc6gYdRUWyZiiEt+3el/LoX6leJOuJeiYb8LfVRUGSQL4Xo8FAIpDXJTtWT5SYka4l46Yu2QiL50EYJZM1d8EGCrpdqdagCJ4eR1bSNECNscEFvhVmVj2LWo4IMApAAQ4gqG94Z+XOI0XRLHZ18n7Y8yeuFBGEpv7SALouoOCwK3IAcvy2DtHR9EDwo1MkwxEx8+kkcgY963WXmH0mJxPMVz2vcTgXRZfDUeGHufXK4HqOanlFT/Jywx7lUutAZDqOkmzxkj8w4g27UKy/hXZw78NSd1jIN0weWRNKXAIB5yU28yZKzECRDYPbDmeYi7XiwNEqJcFtaR2616jNwZZZwZ3he2M6tDp+9X5oCp5KfN9mk4HAqKvrt7kJBulD4Ix3MmT5OOdJ+2y//P3thzEDSO0D9SsdGN99JB2JJE2tzfTQNPo1lUxo207hKz7cC2RiyEoQDbA0lrgtAA0O2DG6aDDT9/W9yaWlKd/xn//0PHVR//7i/2VBSgspwYTSp5QRarrNhayAoBo/aQ7QLPXoDgzb8OrSI0FGGZZrtx+</x:t>
  </x:si>
  <x:si>
    <x:t>Mj/DLfxAxvcdgrnq0RKiH5NLDaa0lTtWoDBSvLtDztMB7e3i74hkxfHNSeL8kcHZ4KbdT0KI+GPbIdAmLqB/g73fIHSIV7ludmH3MpfuaBKsA/Zl+QWB9Nj93awH094Ry5BE8QEyFoJEAXmx/mQ+6Uzn0hJqoqCyvafrMYMsi4vVNiJ2qtgl6AgV1JkNdhmxe+4QCvepAw/cmpq4OFDbgdlnCuau+T9mB296H2WLcIU6dpyyRPd3JjueL1kdo+QQMLBf0zlcM69ujnMJ9bgSedRs6QlzyYptGVP3y2FPwSnbvswVJHSV/uBx66S9KsMHb2mOJIXlIQuch86FUirYyy9Miskb7bX771WHYJu3ktyTDTsPPwrH6eTPAK9U8zxwKwhg+jwXa/vZhqNGNROAW2yEi8WTG+1/5DKNAW2XzlZDy8wOF8baDKyC01xI+pSOIDs/do1RKSPlI1h71K8R7Dlof7CXDkasPBt1RyrvYpt4NMwJioLkcLMxMVh1FcpC3dXFIjXjM5x3GuvXc2w1I82XPshKVlUExRDfOqKQwGv5400M/QBPRci8fUsGxFv+VN8p7FkC7zZi+e2Om+iT3N97S/0Ul8153zeGdmNG/okbqADFfUgqfxnc3xPsFbOl3rBVLc+kVvPCkS4JGn8r7/59k7kvFwBuE2n4XBqnztvlKU2Gl2KjHdfGI/cgrDHw8JDKdyM844LV1kTRQ1HzaAN2OO748DX4+qST0TjtwVq8UJ65RLu7dvgUatWK1lqBdYhDkrUjTYJCsreMcJzvs1ZsVsBU1KEP+N3oL/siPKPZ4SDnX3m9B69W7RcrQ8IqkG99ItIsdrdQMWVSnERqeHVvcuW7NFr+B5YUj7MeA4E1AZ00qJ9CngixHLtgjgXDDklay/dJXECf3l85rYmbkab5srbvAzsI7aA74l7GPMy5VVBrQMpXzmn0VJCqQwSaqwjSEYd5F2802X2M9thIaTrlE9tCANyEfVi7pc38hnT86+9xZfabZujUnbwMtLZNGwnVTxNB02UiF87nmR3P8XJ+NZiZ11gf54EAtSbSUvzxvykPEO0N8MHuZXesnmonLsscBfu58t+VIBs9wNltVD7M+beChW0r3qUwbNw8ziaz+IlQt5rV7yxhvT4QK4XPR9JfPrPuixm8oEbunkp++K5NZUvDw3s5F7+8Z37SBy1uUVjia4Ri0Y+0L+B39StbIi/IDHlxkb/8fSBQxThkSZd9YwH6jNV0bc9PR2ovBwyH7IDrDt1OpGiKqYZmIALe/O4yvjJU6kGVxl4VzrJyJeTUEk/v9NLrKSLV78piX6K5lhS2P688NfTZn9KQgmxay/07DOnqDMYvzLsUK5QXH7P89Hz/agXDzR+Upj8vkpecbhZy8fZlHBrqkZYJN7MY54KQFFYUXmaAA2N3dP1dx4nkQGMG10G+Ni91ZyEXjfkSoadOR0lGgG/Bpi5EqjQ5xsiImvERP7lGAGNgniIy1gG9Ip/uziQYOzmjpxduUoAvk9Gv1pgdw+y+LDBX95i4zI7SJbvxS9tIpKoFD9dAMpjj5KcFp7RM0xQgPj3bnRQwpoVoJlMn+P3byPefMnWY1p++lTgJvccyL0HQNHBKwhr/5Qb8BUz/6fWXfPbTFK69WbANNvIcwcCWzNxE4w625CBR2+/wekNzkvbNuSxpaQ78kIABU1xDqcLSjaHUP/C/cpeQfaBeNBasZ8A9TgD78NAXO8ahuk7iwPPsoL5zLKFpyCGkBFkDF8KpydwuBLU2+G8L7dplJVeSrBoH64+7qgTLeYq56duoXCEB+HhNd9MBBptEEakWhCogvemdlgstbgeLDNyjaz1E/UE86VE5KFbAkFvFFdvxO8SLwxkUiZDzDVJbD8EdA8C0/YpTShZaIfUtfKYid5rPKBDbI/yg0naTS5l3ZpvuyDHNWRq7VPNavynIdbdyz+b81MOJ3qQjKlC5kSDtRW9nAhshdTZ0txulELnN6aUlkwFUPBB8kOC0oMIu29gMBuxof92FbHpbHf8vuS5Pb8wciyjWgvoBTTmVoVdswXWh/PnidUHxo4NxL5xyGZJH8cgxlcom+cWQR4qdt/3/Y7IYu2ZI1ZtaLem0DNpQqzHzMvDi1+fOrteNXw7VCXpDCG1iJt52sqKLMYxX9mcTKeeCuGMymSNIZnOlcFw7OGqemCShTvoodtqA9mrNRnCb+nZKp2liZy37yqQusLU17l0kocmDF7pcvTFn75tUhbUdpY8r1ThIaonGVpnu7nlnZIq5FhXIyxew0wWwDrM1BF8xK0d6pS5KHeDJNYjKGfMlgrTjUgq5WOXqmwwSy7/XVOmMmDzoMTwnAm4r+ZavisWzo1igSEEUQiYpkKJOFjp5xrzpMvDw7pk6cjhHmvRaUiBkRMauRN+GkSDsS5UmaaiVT60eMPF0raJOyk+6+tR2ELuxuw+N2dbhxXIrMJWqUbsPFTl5hJMeMO/rqcxWU7qQRQ+vtp15ZhWXwmcxypYp5GWxP7e3A9WEx23YKtUzAotXgXaay6a1qJZgGTQuXvdzxEfy2m3YAVVwWmn1wBh/pIPAP2uZUI0NbPo8MPuP1ffSAhn6NN8lJNO9zcPr+icImWOlsz5wk5tcyoz/tCE9x/R7BINOE+6wWfaWDm/VQwY7jQMCsQsr2ig4+7k7k18d93NJ3R9P2vCz63TDPJuk7DOggAQQduoMXRmRdfRwEAfRTI9i6HVxp8XIavzQxOvO8LCw8O9fLelCDlO8nBGO7ShtHHRr75kaiWfeZvclW6q5oo5/FuTsNB8LTPN7s7pqo7TblSXKDz96UJtoccX93xGNtOJz5XIHfMujqPGBcXpBO8g1EAYMc1L9+hPsTg3ArP8QNMKD7oWg/P5WoiM70QHsGXgsFAFOvoqc/Jm3sB+dYxRdZ0n/FaZ7sjIX0ame3lNtmRqEvmnDFJCJJ6+H6XIpPdko8qFNlePa4GdbUWYBvkK5e0ICB4PmFtem/pdGBPWJySSi6gEjHtXldQMNqSXoQ9/tQrNImeYzigppzTVBmNZfv31z0gegAxn2IiOuGV4b5XdyRimr2Nqzay0dxvLBlCJCYIhyqQ2H8bfJ8FSBZgi+fKPdZVOMS10yer22d9HNUF0jxpEg3VnZACZDLh5C3n129CTt3ViF+shJzrKAdRxgPaxbeKPOvm+rJKsvDEzfwceIpNnaD+LB9cbpd8/wcm7J6ts0Iu1iS7NUrUGGXQFviSsmIF26iC8I+VM8e18sEp1I5gS4as7HFx2ofQp7uz9msBxjU2R3FuuJGvzrX8kdIF04EiHsrdGNy41PpSRPijxdxDKJIaX016CE059yc5ndaVzd8ZRaURmPZ71iGBkGD0lSWnHDbPLb5exdqBGRqzleULMJowMJ93fjOMjp5apc3rkMq9/a+1Z8YG8o0LLTGlwWrMEmHd73voRplWi8v+e3uAWtd7ngsEeOoYFDpremm1bz6IvKUBZ+tKPcLBK1vvwf2FQagd2pa5FvcD5X2HB60trgjsjh8ECrZBNvLC51Jv8DpHF7fYVt1d+DzW74tliUzJgV2HoRU6pY/rAs28hMP4v/Cnnpa2z0qM0S+k9J5OlPhHI8iU5Fuq488m74rXEBkFEcPxvuPqRegzYbqDw1h8PzCSYNEnA+wcEzJbqcXanUA5AGTCISn/uATcTjVAts/PE8PWCa5Cbj0XOH7heCq7qdiud/8gs5+Oy9XXhMJU/cCZErYdj/Uzn1Lq+QB9iaj67AGjGYIiUbI9wl7HWRjoNOFXI/uYVkckSadmbo6PH+KhGQjaGiox7J7pobAD91LXOxKU8mWxSdZ8GcwGPWWnsawns1HXwOizcUZu+sN9PZt6fAwP0G2g32MjPndnqTvYuoKblgET9AMngviD2TZRZurk2VQMTK4ADbYu8FZK4tmdzb1OycWRrUpPREoaU2REDr29KY84EXcZnLnZpQ1lA8Le9Pp8sw8LREtR2emy8k/HIn2DBfV4CipKGRCxEhZXxF6gFB598eygJcvyV2VCV+8vypAHWYLsPxEAUPuT84hesR1kcSP6VYWFALjelbsl+NUKYHs1raa8V1dZD7aXpMFVRogoSlYXmhV0mPm6M22N2TrFd9RuIzR3QVHlhP+7BT0FioWvAUGN/wLNxSdCAxM2QbLQa+LyfFjs+ECFpI5w10lmXD5uK/RSpPCr7qr/Oo1H0PdJYLwqJBuept8XrynONmXQt91Zy3nu6I0pR+Ztg4Es7K/p8UxW2S6wO5AfmrU+6zvepqIiA7RMaj/eoeqBmoVOO984/yZ8dLZVd1BL+mwTSXm7pYjqgmT0w8VM0JhZyeg6J2/VxGUs3n2W8lMUaVegcnAAnFa5/nNGBIBsyDQawXNgpa4i9ioAjGqfMdbKrDy2WKa8kblx8HWJKbPGdNa8Z1krOFugDShsI9tPdS3pe1o+XOouMGumcNYtSc0PsRUSjoEYFBHlAnnvKAxnhimd+wDNhPuMhFfzVewTMC2a18v2B+fEFcVqVpbA4DMZWc1HSV8xghQ3LjYhYF7/JFm+KwezHpVS3TbqV2oK90ReLXIggBFsaZTeADJ3C0MLU9GhZtg6zUy43sTZSARYwGzvxa+yxScE8kzCI9oFzgKG2PWPlO8/y6hjUW16WDVhmhI9l5Sx9XQqr+HQqLsVcDz8/1rKIaSTaG4nzY42PMl+GuW2V3NQfLBD5UMZNZNPo8pN+yLRcJrxkRPJMTjzMIUCum88QRoB93GEcR8b/A861lu2SAXi63dyXPLU7KPr67HUWYwD/e8PIIwd1CvqWNgORl/5NCgFPInzPPoD1ZuFpIMg8ALEC0lprHed4aLEbWk7yKSJGkzpmgE7anK5t0UCUFc8mGP+48AKwUGE8T/m/uAlm6z8SYMEgQEFlVx2H67WAg+FZNAla0+iMCkElv9ZkAkSiMIeQjLcja213taYELqfvmbJkOxT9J+k1TL1xgRa2OYHtqy45wCdVFH88IqFkQjTVJ8TNCYAXH8qI9l8/nL3/lc1eFaegsatv3tLlgvh7NEHmeDTRd/AxXGF/Cd2cwNItKFSFVHPOmkKmBK2qvSSGPMg0BCJxHbxxoImwE84zk3Q9kvLTqLYt9M/2WirFdjwig5M8Xdei8C9xAgSOiA1Umjl0vp427LrdYuHE37ceLdD4zbMeHYnu9CMvnNeh1gUv0DcJRlZYikTqfEYuzxvPNExQV+JS5tue2HMtqfONfdIw+kJ0/Dq3iCVsnvdkpUUS13PdPUofeuY/xhI3xy6QUwZgd+owd9ufr4qGCOPuqZtXic/OW8cdGGiy5PnBODtWNaceNYYVPsdul4D4gh5GecO83zEfXijS8yeMKUXRQOg43jhtYuuSNmoR4smt80+KZbLHVhDCpML2jin0wlHNTZ4Qg5s3c7QduPNqBrQ32gYjYnbak7xjZR+ACHwy8/TVNylIqRgx1fD88R5IT44j2W5gN0JKiwzVDxCxgdCQoy0fa9c93llbMwoJNOUfItSXu1fkkTpv96StKYBgF/6kbieBRBgPoIOueYpurBs5eerHxfgNhAVLGVyAeD7sGhgCloRarykWwRKwQ0x0h5oTuN6pT4Pjw8IjQBpDGzvGZRXOrSPXYfD62IU8o9epFy/RdvskCgteLMf7fzb0PVgeo2hjKSTb/vQRL1rvx3cXpJ7H0pwoKu/fR+cVBIurycUWfNO76h8d43Crw+qmc60dkuTG8X2Br6DtDy5pTV7/jLRTi5q0+k8pZcIB9PWC7PrYHdYzCip+nzBaBfXbXe5er59aiwRwWyrNpuhRT70V5SiKAEW2MfMYKq/aLtIIJG5V+6u/ExD6EoRKpX6BmgGdBHTbvcUBtlK6hYy556ZhdgQb2SxYG06whBhMMdq0Torxgl30g3vDcr/A9Cg4ljtjOze9DN8pJMO3EfvpO0k6HJO+5ZSykyrSHtFR6CV37LXS/K6qtN3y0SZqw00xILPSrZVnOxBibqZk+atpAAUN58OgvPuPiOCCeDXgfbZwTaf1cbYD5zkzrb+1yndQUJ93Kk0QKnj7DUSFSwG872nNe8yyzBVcKuWZd/hFIcK0+AvqK1F/Md2U1FXHTKTmMfS3Q1SZNFGTCRtuOSv0F+cWwyeSU7/o5GScYRkCHPFZVvOOeZJceWCJeSwvglC99G/dqivoxpO7a8V7LZI/jjjMTjUmbJ17DSrGfg9gT5CTWk8EJmtgJN3yv3JrYE7pNfWwIi1wLbWbfdFTM8vl9rmk7FahhtyUmk0YQSLIqADgAn5mRYeDW6wSBuh9I7Y2piq8RMo4X3MQZH+GZlx60WwddCz35u8D8hXbu7STrSoVX8YA9yqjYZVDg0Q8H21m2uoLpx/6wHw8qvP1NVsjKcoJsRCMSyJzcHE00///3VMEyYREzniDCrLwXxDpqvGxpdAn/lOild/QrSFsRCrDG6vd/NlgrgKRZW0pc16o4hNJfDrj28y+uCQLLaQPiocUBikoXDYcCJF1RXcv1ECxZbb4ALc4Uyf1NkuOHKdX/eoTz++PqwApgPqfQnFJjNp8BWH/CRuQ0uTa/Un9TDcWD6GLdhVhUrMLfpcVTaElBYVRk408T36NJ9XE9/I7++X9eviXL6KIMjMXtojhFf21ZP3/TbdgPpeFsgGH9tbSR8KQBxBAvJiIzUG0rfuVmkkL8k5Vk92IDypG+nFn0fP059bK/CpcLENX2DomNQS/Lfk+T9FvQv9S125FPpWsPMvxlbPnIofSrR1G95+q0TJFvPDuhPCEjFFaUAp5qxg0/yt80nMrTfoUObwmh+vwaNcvS3gVSbPHVb92mv/2kTojmxaQ/rtMst2K+GllJmI1W5MMGEMRxIm6MIqGjfnrVqSPiOx7huYlWFs76XYK76k46/Ksj3CE7RqpGvoIpsxM1NUr2xeZwquqMjJrXcTQ0JqL7ksyLT9EyJLEIupWVcwMU94PD15Xt8lKsqbCP7xNckyhNFlN19cY87lxcdVCtU2wwEEVTVjc+HyfCfzTj+TbkyAFLyPn3Dbk4kpLx4JKQsJSJt0z3oVlhb3NTqQCaJTJCF7Wp7mcLDE4O61SSJ7iE6GWQmOJQDUg+GxX6vq8BUIYSXNk2dH586V5HVeFrwhMlr7yG2kfceIF+KkQSG8tbTFuWW3na3hwr1FKHIRWI6gNmgJzk62DRj9dYbWrBZrQjioJb+1eNlqHUxQTOZrSud8K9lJFzZd1z0EVguMk2ToPQEzTErasdKYsy3cTive/nKbEAXa5CHFqqSYbVjsk6NXjwc7eXdnn1uInnJbczTS2ALXq+oowov5gFDefAVSB3urLBLcQZXm/KSTxl0qIaA90b0BPDb/VDe59aiyiH4b+SORXcPfWL15BX12wY3QS5/sepaEJeYVy8CNSSwhGw+3JRgU3oeX16FtnGn9htyXSM2qWTfa9h4hHgxUZm0cPDGgwaKgfwvVFbUV3VTZolkyD2PyJ1ZJZLesztkMn2CN0DX+jCdEAqm8+TpuUL1/5/BIoDP6N3PB1CdgkZqpsQRzIPTXZ9hajvIaDnZmsrHD1GQQXLdFBGO9ZwDddfOnLuQMM81SieFTUFMeww3kYxDpRPoyxJ8ze80E8tlvQYf0E/MA0aeDPPxb+x3HL0exdS1rJ2e/lgmcLzBsBw7hsnvO2R256xCN4oUs6sYnv/JPx8GehAb6n11OEMgKw2jxxuTJpa9QrHJyVSx7M8JX6RntOJXkJ6eujIYO3fnsJ9dl3ecV6YVlZpVlIlNuIN6dgucMx0BCDWUfT/K4Bs5soFkQvg+bKCvY+cktfQek4pynWRmYT7rRRQMVyv5kF74KpZYgzjYM6PxvloiftnFJ7MCscbSFZW+IqRPoCQJaNQgY4wvyMswQOh/ekus+N7qImGD6gdiLvYlCKQE7DUQco3xJaNuPZJZLOs+SCObprOTKnIdFOrTExb553omJglum6HicvccLI1x/EnUzC0QZ/ITROCvzM0x6ezgrqusFgzEkNwE9lEJ/UhphrgEQ1RWfAa/G3b5NBt2ePml1Z+hsFzvO7s1aARg7T8fj2Vii1mTZGudntNkVD1rVs4/+J+b0d6qpDMavGSCjTevFjD0N9fkUvMvtJwW75eyrBwWH0DL0N0X2ZlQZiEQNpQVfgc5cAirRWvE1jbbeWLJEvuyAJg6+mT5JKZS1sr+xCZX1WVw/VGBjli1aQYB/BYSlwnH3KlATcNsFXr0Bxf1EvD0EzFgokFy0gf/AxhOvCLul3UBW9rfAkyj4+zmhIEksYgQIPzOovEc8QgE6xcDE4RgWM3gBpf3YhWCNBVsAW7cW9p0qhfYTT866mUb1w78UtMXCCzCV+Z2NTfI1EgDdFWVymnTZqtgXVVbK3FosdHHwJr8KtILJawLjYDr58WUjAKD+QhpM3Yd9E1cmrYrL3Wff7/t7oVWHQC0M/jZw1S1yJmWDoU0ZHvYpEX9TaZsVnWR2Cw7PSa7to4uxb+x5ahAOVIBR2yv3YZj62oFWeIKJMi5K+BxICmqfaXQ6L4ElmqeN+AYU7jJ+l46bz+oA86d0D+i12lEwZgxGInnhhBk0+wUYFabCa/BH8cZ5VjxXgTeRmqkGtALE8ioSDCdxDyrPAubLftfBOYGG7nE1xiaCEK2GN98NJOC0qDJ6xECoZ7yQ96/r9rNEdLiIqQ1zhdF9x9e8smjF856HeHeyZ5YfYVpcRNNSd4WiL8DAUBDMy4TuEy0arLIyrLBCD/WhoFzdRC8hIinUD+qIO7FHQyruh1H6Npcp84cK9In2b1HEYRy5J8VjcK9srj86eK/FeR2FMqQyiJ+NyQHVP65igjZ1jtoNJc2pxA0KTGbQO43Dzhf+CjCOREIUvrCMaG7kkwKJQdVfg3hG+30KRnd7K+mgPQ0EsruITPo8Nxfwp3lPoVM2v4UZtEL6786ppM0oNyE+OoRlaIdptou4WMxa1nScBZdVY42vzvRpY4LPECMS0Y6uv2FG1w3T9EGGcZvcSxkcQoFkf8Mn0DkstmEmY0yu0x7iRdmC1HDRTEyLfuOAlPQLPsqMs6nTNQ4zFg6kFobGlJJikNuHfjQrG+xV9lyT9YlI912Y5zEfamI4Hga4jX7TYhsZPC+Us6J5Fk5zzVzjojRfplcLoFCtamhMRTq3d1O6CW9J7BbipFwBAjX70lmWcq3WuBvc4nkA7fpLzAShAtBtHcv/QRZXc+9B0wvulhAIBZnbrBmCnTex5839JMgwA4aWwXyprSM6wesl2mOTlxijADHUKUxKHn57aXuZ4SAxpsnzAKS6czsa5NOuTKiDMHkdfRRrbnbKy2bxYVOIE8wQzyjhaF5gG5/hKz9klp9hW5smFjawZ4udsTC7D0HK7VwRDuEzLTtrfhUaVf3bPe+7nIhqqrxM3979joRmDBKKF7ky/6blJ4gevpT59hK8zSqMzWQ2Ki8VZqmSuCmWVuOJG5PEg13S9zYKkCDxRw0DK7bdtji2d9E0hGd3wP07ZFMYt+MPpzMwNYI0+wY7IAxmzkflal50+AP8tFzxJ9U7Lgpb6CkzBM6ov+vwiZwBZ5cNkXWjwn1LWOVeuZ4b9pgqWTv+yEpSX2b39LCS1cC5Ah6GPiKXiGZ0bhBSiOrBz79ah+0f4f68wW7epqJiNkl1LGpU2uoK809BhTNKinwo9RQ6WRiZ9iZAM6vPuvgnqOwLNNtM28FkVdWG7Aa7C5NfjphYkKXpzhVId0QBV+xaU2MaWisD3XUKGaLYZOA2WmuD999R9Ro9lQphFHnbzHMwA+Z16kGBWBfQ5zgc+6kcv2R6v6d+4UsuCiYfLheJhSIy3oEQIfjX2BdxXiOlNjfMvQDriAyks2VmlE5pTOrSBnm1ytg69OiBIdpGwi0wjpOw908djBCUzilkWhW1oGBowcqBEk4+0XlOa7813HTpkh9E3GcWtY3vdgTN/w8R9bPHOFhP8qH42EDeiB2PZZ+AV8qvcnBoFiYUpHoWkHMUBxPQRmQcPcPyiJyTp8CJCkGujyWEuxmpBz997IELxIULV8yhR0pnE/M1NRXs6udQo3vFNhqU+sENLNXulvqKE7SOlLVCEWkaGwErE0XvWOFHg8xwfmwrUFFLpSdjq8ykQ8VIKDDEboYTD975r4N9g31Y1PRZEkYgoxEnzumm8JMFQD6CDbSpavHGsJzw+KgmaZxN74dg3cXcDCPotzvUP44/iiRdV270ZqAgC1un3cedSZwO9F79+QkIyw5ycI6P3uLQc8zwOqW4lqFXtf1GlnLBRBd/zcLiBbG2Q6ANIaf9MZ4e7P+5m4UirCvC254aEyGTjClLWn7JfuB38m45QiSG9HrbhMhvz7qASWICgZh6/gNY35N24Ofzje8wAgoNZ+lTlZ5d4UP0A7NfRi/nCAvLPbxx+VlDeLVB3vs0zqTmdpTTc/fJNNr1xypamWYabN82CB2HFT23H6Kg3JCqijfCbUGhso7Dj6ZI9CbIk69gGkH7Ygc5bYxiPH+C8U/xDjNwhxVWjYWGkK2M6zrEM+3CsqNSH2sO6D5EuRomkHetoomphFAFNMP3N717LxWoPh2nMT02JipuTptUIjOLG1DBY2e2IhH0tEWivVd/mCSJ/yNfZTuUz+YERZXNzs9S/QPniqf/k591DrzYXUp324ZhBUe9xkBY05JdwzqyS2alSpEikSrFd1zlNmt3t8hz43y1tNrnJ2XQttYzYostT5CQTwXWgrXtwhyh+s1qLgoAh4xS7WXVbrDsdgYXk+tETRjYqoQs273qFRHSkDKP+qMhreeCwrwmkm5zT8yp9qZ8q0R3M5X1VNR1LtSKmHhNtURIik1BIhnwyXJvV8LxjZ8XHjAMdqIxGs8Dzjly/EP1/e8HDxQc6rQI4Ulq2j6twV9vmohvgn+xwL099iIKtmE4t267wRl4TylZOGKVBmENybNwkIuFgibOaOYGhPvdgygl6rOrGDZPtLWsCwVkPio72qgiekKCmkLK43N3+WCaT9HDw2E+bgRmvJIRXnahpzlYRL1Xm3AajVMT4HKOzAu680q0AmFOrj4I8IxUmOwl03wfnveyqrk8y5gRHuoxni6HArGvFe6KvPdr7a17m2Nt904atTwmk4G/DNFVuetDmFnsHssLdAsgSQyjwViNELuyFu9xlA2c94eOds3YjG/LkmLnm0cXuBPZm6hKEoWXLGNLkWpjfw4DtaXhmrTwQflLtm+/05fcg+xgZx9HCoix4vig0N0S95bzNHzTfg/gYgpN0vDCUuOcq2JC6BgQK64VJF34nHmj8Nz9gWCVxJzxr2v3XYJZ1N5O0jFnKQxyidfOGq0OvbuybRN8WX7WAC2WaXaKqOGN56qm0gU8W2p+QlNV6cF4zxm1F2/cxt0tQC5fwR1WaEYFCVnkicG8HB90SGst6G0Z38hld+tHLI31TOcHHe/WNzaM+mdacxBUJR9uYwbi8OpGIhav3CZIYygL02Au2uoLxpxiuBDLEKOFj9EoxqLXH0QTuuPiNSw/jSpwtRalxfZRKzs78sknnGYpBTx7zIQhLKgyoxktZ9yx//8Visprxt9l8nI6bGaqVxIJRCm/Y/OqhkzMzqmUJehCjrUQFPaBTSlJPl4pz05SR6wzBHikTMJa9kFLfRJDw6k8E5FIZpdhUCdVxls8YgrPCAPc3GkcFgJjauMangrIckDaAuweUorao/HH4wjc2cZcKS7Wjs+tfVge4qvYxiQ2B4pWR1D6WU9gpFoY93UJ3IjYndMPmvsWRZma9jeVNeEuPY4BFHKD7qR3XXb/f4VWjEBnj5r1Ejof80MouDrcvr+yjzKyw17xL4HLXfrTiFwB9HO7IVDA1cAf0dW6ECqfcMoNhCAgCNnO8Z9K4kG3QSwSX+jbgZojTaa3sVPKOy0vRI8JaTa9LR/7BHf2L7cN2JafsHi+WuQd++HWVryCDHW/3adQfNGf8pDL4mCBgMPAVD6e1iYiQyIW69gcT4mtNKFdrPlf92Eg55n6bHMK+v9alag4FtivKuflRx8MdGkS/6VGEkx/fAxyMmTFb9B7qwyq6A6/poxc+gQsse205bbR5O+al6fbiM2BbQg838JRTUp2E4gZ8loGEiebw4BvcOipHiRvrLU4PMffJ1zKdsv+tzrG8N+v6em0Fi4IdOM8vpPXrni81boaVsshAeq9VBFz46gf6kOvCldD0D+5FsoElvazBsgO6WlrNGPH9Sge5B8rDxgUx7RTQOtG88biFtzFiqX1b/MGdEQ3uDqVVksMbDci4wu5ymoIfZNpRNP/DCkbMUxRYnp4qdCXoP0JjSVQT6ii6ytzOQbairL7krQK9Gk23LfKX5wtu52Siw0WmigxlZimKUCoHUAgrbeV0ASrvcQfUUePLgERgIR00vlN+CuFWEORyIkluIK5COApl6WcvmlTGB0JU9D2K+snGnru9+3sHj0bCHdSvmIWlrx7tn+9jLCCvcThX9mIWfjz7IOUCPzbGM9qcIb54EhqS9YkFjxV1MceQqruhDIfjqhomVML4nJeCynFWgZ3ExtG+JpS0d1oiN9olFZNTvpEER4bbjClPkYbKiXkD62K6+468nCHH9lQkfTL8b8ZIwKVmXWyK4YrgY7xk8c+mOWIaN0a7SJ4XU4DabEAHLuqWilSEyCWf1rWVCYXR91vusXS80PYVuwoQgXapyx1+4EvTZWBPY2dNZfsWJyig1zfltt8RkBfUJ4uXMCKVT79Ktk3erm5TuXxUiqUIUFbnh81OJkBVtKl9XiwCdPYGuFqx68mWPcnRSNqDCZ1O4AeF0YDMe5po1MCm51Yo9hI9MUclah6qmVnKFP6orGtex+ta5K2dbfR+VyuftCsG2J4zi8kD33xI8TYk6vSALMBWsdrMH3uCk9Vd7AJJXQcdDUfDkJOcB3cR1hCNs4c7wV1sUA1PBnG8SJ0OnuFd1YRE/7r0dVqqVgbiiymHxS9ovGaOyd4iZx6CM4ZMjhQunPM+baspCBwyANMYWUx7x1n7yrrhxSM8+8ynhq62cXVg5Dy79YV+r8AWqlPjpqe4CbwIiwq6RdkS2a22xvIQNXHrGQ5XA1kpkAmPkdKYn/Jyd/ZcwRKS7mYgLrYZaF5oS9wJiw6Wa5Yc96U7cwBeiTwRDW4GQNq6VQ9oHYXNPLDE9wdHzY1H98E0PWpwXleNo5+C6pz5TpTbp4ZoCIAAryemPibvJLpg/dd0G/e0u16U0EOi9BCUKDGedYgva83DoJLkumCgPoPV3JADakV8FoJeUJ1MGwC0i21PrhfLqAlrt0lUcR8sZdmX/YuTTDkh/0CruXIPuoUnjugZkbgF8kfh6Fk3rJDVGiypKWquK3rpab4b7QflZ9aIIg+i1/TnxkUnKwDusEU24Mt1NLEpN+UwslYSOZJvIRfMz9QWXJ9SwJ0hGr/OJCSsC4FFLWAW5tHnVwlvRpXbbRFaBgO6Xsbr0tirVI+r/G1tpzp/Y5e0zPsn/fXtkj6QtlcsJm1+32BpZ6Epd6yRFi5znLgXyRmir4cVRgXyJtYVzSXDCrTmE9uhVLFU1arHo5RMrY7nbEUDlvQkJanuF0INTu7EMKSWD3miWYwW5W817arMl/4yjbhJaYUV0qfAe9iJ4hi00MZhJOfE8F5RzHnPmx2ue/6fat4Z5kLzL6jriDIFuXqvXoxu1VY6ieNk6lvKITEnqWY/HJBNvOFApr5Az2ebsXGl4KmFRg69mXv6eOKwXpw5wtdmpxxscn4NI/yx10Uy1v6+tK0B7H4o0KMF7GufpZ1fqMRiSa8yru/fvl/Ol/P4KKezs4ykMIh89ATuVzmsDFP1FS2Z79/JY1p8Z9azpv5CbWWbIdOcxLf0eR4jktatFjw9ThRwP+p95KC+iXR0dsR1bXMiwQnehsXezPpI52/JF7CF0Qjj8GBnCojv/7gI6j3mUvks9kobK64YUf8WaIT0cWe2mWGL4XTa4XOJx2s/WNscc8K6NPd6J9bn5gJ5JppliybvDKJ0eKuxv6+Cknn+vSgZRpsF5B6w7zkWmakGPBUxW5DMHgO/IZqJi5z5woSBSmMSCkteVH4HYbOWguRfY7F9HpiVwEX19r4Iw1KtKtrN2Wjw478VKuhK9vwuZqRbmLzY6mGhYYUo04Qn2PyNh8n8zL06c34tazIAnZC3BFfcw6hZktya+ukY1hVaGiTy/kIN1Xe3lnDAeML3jLXYvtE4YUgaFfb0SxQijUdoz8KStGk7HoXJX2LpT5IIbcX2XiQlWTLci5sGKBW7lUqCPqJAVkbem0DaMNF6samvoTFB9caHLmQHSwj6ST0jeI7kwz9ZEgPpTPxWm42V2nkhhamW46Ayf2njrr+du5qQldfT/JK9QIEqjIhW3s1BWdRQseyQz8fyLjrcrPxkiwBn64D61EThL+y89CczxMP1V7tkn68t+DHBVPxl7tA8l/g5gqd7WHnopdjrIx1EhP1jRbfYn+WtYqERdmGMBfhvKlmGQGxAfMm9RXBR3JaFhpPZ1YMfAZF6Ilba8NxKJxeLJFI2prcR9bUjzEmjY+/ZNvRjpMAOd+1g2Yt4fjkfd+EH8huwjxTgBVGHWPmSKlB0H6Ibhl9rYclY76XwNSkb2sxiszbLYP2mAKmGi6OVyitRHrBAnZ+c1vRU3y8gnJF9l5m9DwmrGGD5Rc6FYesR4c7LS4nSQ5vNcf7XNOK1L35M/y2FqiMjR59rWJYfSxb2GqlhXlXI/bhnMkR00CpG5QuvHtM/nkDZq0ecDk0qa7QMGrBmYf/Y8cikuZ/Ijj6YgtTBMwvWHB5FMyBST3K5dV5iV95yw83Pim1D8VDqUvwZcSK8pBCnRwm0SlDbgfYxuZOop89lQUG8HhEfdUo0bRWUSua7Ud3WPvoEu2Oz0CIyNHioX75ioX9FlThWcDrdAlVyX/Lqwhp2Nn55MrqwAL5BL8viQSWRZH3q6H0Zlt+iCeWnvfWq4a3xYWOADJUYEKWD1qqZssHOzBvpTj4ny+0UoMKlIGuzmcH0CGTzY1FpFoxDLHcCquzs8ou5q3gSobod2/3ohPrBON46w7c8S+Jv8xAk97t8kWQ/4PI8QE2kA0wySiayzC7IahhtLEfW37vqAY2Wr0XDIe7KMALV0KdOYR+sxflXQtv4SiWudEOWMxx2EIhxEzYQx+WAUing1aRdu1BhHS2K8+ZjJJT+mW0dZVZUt/Yh2xcwWFdgUdSJLTEKY9zS7TcjQSrW77LOs9iwuYCZSF+fYEERu3ROWvpS7o2iBIqfXC4HTrHt1ivEZQgsiyBJ7kSXqp47nHRrCkcN3DgA1N5Rx3oAGsoF10WdWty280ZRh3z/vyxdMUOJfwwlz3rOB6viLlz/RPQ4G2Oj6K3IKlqLaPiTbbOCoWn+yau59JHEauyK50Bgv3r88NX9rYPuRDUXhSXbfwKXs3PL2sOYpCO2hsaRc5DDrgCuzfwRgmzKHKDZ+R6lLIT1teqLqQV13TjInjSg4TnYsoakba9O5NTu1jK4gnyVtN5cRQBrmmqUAsTOQLKMM6lLfzt8qp4rQkzR1Wa/6vPTQYtlcdwcFW+5PHNFl58nxpN2kk3XxLwnmXJJsQUw4dMCMuSRyXUmWRxo3ko2PxWj0moSBHQarYO2s0hNKy0+3/Bj2MkYU8nnQqE3ut9xa1DyVb/k31GENM0GGHcXjP4ekbqUldMEFQZ/3BDlQbgPnUYrdK6J5BgSlORqzAdEyxw/f/O+tSa5Xu2+1lMXuAOZ1wX4wS2xyMt6Uo2bD9QYMRnSpf3A87BpYqCYXZ/U8h+pMfiadle2EQmcf4BfrPmKtfTm24yn1c/Jaf763ceX+ucQRV6VruqYXqu/wz6VJQsGjCyrZFq49W3MeU7xxYGGe4IWwveZoSBIK+gTmVGJZi9a8RIYI13jzipBWVfzfDMYyFbvY+/fCbBzTLAuRHxJe+95W1ZTXAlC5BdiDkS2zSDT8PU5GZhpZc4z1isl6zFwyImCP2O7SYyZ25bvxiXpaPT+ExYhLoUaReDF3rx6MFvD0l75Xx5vYzWcxZPLvQFvM4GlT9sRyeu8X2kEL2JkLa2rlnQtATDc8BwNskRxz50yEEtwopUC397FbmYXFxrwm3oObZgfSWWqodnDrXDdimE04FH9qWtGBo5Y+9PV6V6g1M7SxBe6xyiDBncZd+t2Bqn+E4rwFolAV+M359izypknBWM/WNtkvTz+EyF2tGyu6W1eR5tUcW2ZtyrCoEqJ3vsUjN4osFNCZpI8kxiUjFp/Xb5IfIHMGif+2FnOQoZYdpzeMC+NsAonIoVZoR866SW44OZ5UQmyrK5SKr0EiMG6FtKGEJo2IbZunmWng/MbuRWYp6iZ3QfX6MJtvIcDvwQ9UjC/EvYgp3zj4kIeQSxCwVPol2/NBPoM/mmBG1ap0qdBxeNH4mBprUiBXyZjaeqjXhm1YLWGFlfJ5+84QBRZn+fwPBeMABPrgl4IlZcWEZkuMfsFrZ8JSVvutfnEWl3nDM9EZq/iNd/BM4snFdvXhLSF9PZj/wQYmrKLQ2vW5RqBw/Dc90tPXXVkTd2tFyIgEHlHzmLCLJN2db9ct5SSfmaFPfP/kv+R60fVzNpWhQcjigga4v9AJOlnRrqyH6NAfiMb7UNx+HHLlm3wnwW71qEygrgbR0AwjlG3/IJgZAvI00hTPcy6WpkcSyyggz31ehrOjeBgOYcxsPQTrFtQgKX0dgW73OlQP848QHb9rx5GtF4QRe+VAVcPt3W//vtdw0bTIUon1IGwAU1cllamX3xOWe7a1eVFx1I292JOhkMSQqtzJ69UqJl9yzqPCvzesCzU+ghhxM1uGF24jXoDssBvUynwpXBbH5eEjpYxVGIBT59b4MIVWfswpyblDP6Y9003t8Ny5AdlCmQOvYwK8YUgZy48b+gv44zcgggHXM5TgZxxESekfnxNg8yN8Vjy8HsLxP2n1KUo7V5ZLPxYd1/CYxVJFabFFwNwfvj+sJlJ2D1QY0XrhdQg0jkwVPrev8QcnVbcHfRqagw4eW71gJ4urfzO3pE7844285ZGZPnRMPQa9MQYstsR0zOWsOYZKtArjJm38sgHH1poe6LIT3PHDqPjzI5hbGKXt/BZFlEh99ZdNLL68pj5Md1EHaLBhFdsJF2FvpyHO/6zXT9by0drwflE7aRMCQ9SeT4Tb1W1vzbOkxtPxEdqH525cvofS4M/mw5D13w1YEbxpoUZvw3vk550u8mQQyXqr5nwvK8o820Tv6e5aDuzeCRRp0U5Q3Wf0BEv5qv05uhcmPIeDSyCXaS3sDK7IXq6zefGsZvAKdNdS7afABo1DRJ/1VPK8UDn1O9KduMFvUtyhXhKwq+PjbuK+gCEejoAF0DAFhkTB9o29406w1qds+AYal80bgAV1mB87YBoTuf5UjPT/lwsoN2hzBLfUeJVTOpjLGOnS999uxJhBVgiShJce57a159zfTAPJ2GQM35GsI1UYZNo/dc04axY1Wm5DuIo//XV8OmgrBd/ak9S/zQflpG9za5+EzhfATq6seHNj8f531e14Ce4OhxdaabqOu0Px90NWDcSLYhKtSj7/oXFbXq+dsaD4W7Ekx6Qfk85tDHXiI6X6CGkXrp9bGceh+JQ5mK4NL7elMa4+nWS8opl/oDMEVQFg/v2USdEjQuWS0FGehTc2T3RHBuJsXI1N8S2V25XW17Yg/IiCkMhDiZhSDJYQdsjtmtCNo2Bu4+o08anSZA4wD02LfpGsRWlBQhkBQdg8N1TOQrXCd+//qup/mvOAXV/UGzA9LjezeORKVkPbBUPesoog0n31qU7/C8IiE5DG/i06/FxOgfMrwOSlPjnXsZzijXFHyptZDIV61R5hkhLGXT5qHAJh/jedXOrKsELcGKcSkU8HqR4ukDosH8Z7+6y/JmS75p2H4H/+oDmI7Gq9k7P0ZDUEK10dhY98M5vHHbmmYJfwm64JDTcnihbKq0DG09X24JXnusxmxIBVXwUSBHH+r8p0dy/ASBxLCt2mLZ+RcuyHzOyj77B0Z/XEV1q2efWG7xoskJkYiXwEwtzXd0UlwOvcaV062mW5OMWjWcQn6y03GfRKo0PQ/Qol8YYnlzG4pvA6Mqt9DuatyfZ39Sm9MvRdo31WNK+Ls7CVmqD1TMIaomjx+E6/zQXWaFmvm8vYBzqjQGHQ6vDXm+4///ZNiI8bK/nO3CVCCKggbou1/CiEnJOmL2uaSlF/3zWfZ+uRyNjH4sRONI8x/LR8kPT3j8PqCGurggP2PRwSpPV2Ar1vO5rwOQgiZYL2o5QzT+QLhjbSIljvUG1jowN8XotnrUVA4DmVY0f6xvHooBcdTjEly04+t1tgjBIBW73JWc2rLPOhs3l+g4QxryGmLBRfy2biMjE5jLFze7Ec0v+VbdfpZVU0xDR+fY2q8QGpZ/J+GgVIXDxnCiF32JSkEsBYN0sYWyYKLFQrasHPrwGjvuuMkChvs2sv29GH999I1XQPAdgpd51yvhVF1ZrzJP6MJs4qUtCjw98oZl6dPJQ1Rfp9WOQIJnS4dsNuhyDODkrNBq1bSlXaYMoktRd1P60Gc6kHs9DF5+XKt3OVe7GXCrJKbZvSr1U1F+wVOQC/qt7lxFo+5CSeK8fwDM8sGFamCtwLRG4IsT7+a7uBWCVBtGFD6T/Lk/IIym1ww4kTpTI6x4QuleaUuvxLqiXoY57cX4V4jvFfC/NWLSKWX/fwVFOc2h6P6gOUOPB1OTtjNZxxMQdWoPNgfnHH2BRlpbLNfeL4QC7WZBiVPqn71r/be/CSvinuHOIPvermlbnF0fHlHFoenqNknp0iXn4tmycM7pwUVK9wknfOaTG+9iXsJRBCgn9povZ47GGuYeb6C4njF/0e0Z1uKOhdLwYdV9P1IVeHlcz+A2QgXnrgC9DA+31vBGJFtc6l0Csj0i8rYXSq8r5mQVygnYyFCc1NS+l9scX/z+1uuwkfSy2NMIb9bs1g1GCeNkLHg5i2lc3yqm11V92T4bLPDvZuyPmYpi9lyiLMt4xhGXpHYUKNTqnHg3lkbyBSCyYrm+JnKGiaW0Jzlzj420TUW5kQL1Y/Jo0C7u0NqdZdrQlK98+dPxFSQvWWzH65xgjk0+6yOYLEmfsI/ksm29FeChowv7c89TDQ9mA1NcqfqUBn8q2f1sVfP3V+7r8AD+GtpboARRyO6cuTOVlzxp+vDFcaUUdoMugH7S61X5tWtCxgg6v3MBqFEazBkr9asF+T9BNRGWUSYjMvbVcfWP362ue9eHGtyu2YLTD+Cjwf+3oBSM/jyUJglwh3f0D1o1Xt541RM/HeFLGSxs6SmCln0QdWlGaMslFBki0I4Uo8uywfD2bYy8sKJF46e+a5Yml1eySf8cJcKXC9oHpE6ovRqrNgNmX76eBg5ctoadEiI6tuKvTrVzjZAx+BJlSIJNivKxGImmJ5GzpClHpnadga4XLdTadC938cvSEYeIZjifC6jpnSOr/F2pezhq2Q0BApy30QlMPKwILSLO+1Du0bw00/dGxWphFEnEldvPzkUnAFP+xKlYVIQ/FOMcRtUSM9S/4/wb0kbDdR2C7qZmh1Hn9l87UG14/kVbpgMWnMxfgDiLX7RlK4YSkj7gBm0beXkYImGc2fvKIAbO/vNwPFrrEbMDoOVEktxkaLfY7sUoAB9QYPCdeEr2vxjmcJvdVRDgucGhzGiuF3Iz2dno2EjYzsZFvFOUtTrfjNKkKo5hFRc2A9i+HNgpe2bNgXs489Zo0xji620V/zOfZFIffcH4qQVzlgQsBqxfEEFbehM+fVL/ISNtutrvMA/6MnLyZvZ4oa/g1wkhKbbTYrWks35NnpT3Qwuv4E5NpGgNDGhaBFDJIYF2nAdc8px/MOCzQS8uYTufwGDEzEn93ovvZdTTRAARsF0Qn+aux9wIMqf6+mEjj770EaXu/mDEiFU59x3EAoZ4dHsN/ETFqrMvO1jqz8lbX+Qd5UBymVoIq+m4jKhCY5IvoPQr5NOrXo2MILvGWNdgW0Ipt6POyoaI51yBFa0noGWHKhyanujoRgMDvRFQ4K0xt2bk4QB80vthb/YS44qhth4o4n4OF58l/Jr9x2N0+MeUe1T5L+LE0t0adT65ucMOY3kvJPXzHBkaXqLDj9ltzS6yc3SrNZsJqYNWze6BfZgPGVKwHgfewD7a9pKPMFSkxv7dSM0G4UcF7APP58mXq60/Q1VBwABiT4jdqczcM2gOEhNItAMJnA2E4h8VNkUlNWhlx2sRWTv3HsK+F7T2mwdjZ8qxsVDPXqCmMquhsUDJlA2zHkXjgi0aDodAvXeHnLU9BclcIdJijSm/eVVetfvBeKDEhujX4X7H5QthcrB/0mGPyVhs7k6J33cUh0tyKQHHaSmbX4j3XOAaYBhLSh5y5Rr2fMdpqxy7IlmCg9qeU/YGpb8T4Hf5a/2abMd+IAYMXjJptG+AyBp1quQCEwKoaRfLRYcD0ONfytsIqrtRml8XdF+Evvt13XL2zFrxywH+BZgAjjH6v0ZYS7Zlu3oOhJv5jHaVFOIEsQhO7R0UdBXhxHf0A3Qirsm8V7R/QZUW+4RB5Jd1c3WnKiW4BQOLYDrvBlkIIQ6nyk4et2ZN12mCJLliP4Eyc9RBcTr/kXFwIeEGyIxFAeb8RNc3Ulx/2gFx4iCiTellQ8lSGvH9w6rR9Jw8jU6mWQD9G8Wy4ZPDZ98eA1tjJzSk3pJk8if9Mn1CUHhxMvpxX3lRO9+Je9xDEblzxUs5Eu1RZqFkCmmdKr+J38LIJP9QGKPApqe6S4TjhkBYlataSjzHfeSBPdwLclTKzD/UqpvfTyI0RyienEcZ506gRMx+CDutcSqn/2KA7uAtSF0t4CzzoPc82RWvnrTxjKpHM5QarU6RlEVyrWQ8/ucfBdbsRi5s/ImL/dvf1BuEgG7MSXillq7SjX1U0mAHxLvixvEErk6wOralSpJMYBfj8krcKdXiYpYWtbfiYXsndsx43mpv8hE3tdg2IDvx9FBOL/IXxrOn4yesfGY4qsMWyt2RTaf0gk3Axp/ps752LgVRABmBxyJDgKjsq6JmBVVJ5nf2gny33lUBXxV81uxD52UoyAzS+ELPuWadcCASvuFIN57FA8Bfujn1tAjMDa6vxp1sVQ3HbYtWOSTXkyElKw7T/1tpgp/hza0+5cxzTdcw4jQLaApQAAJ5iC4E8fep428+O/Ibii+bytRjO4g8+mT0b7HDeuwzuqoTe/K69M0Lj6iszv6ZOuC+9DeLJcUaU8dXWpycYMGXlN/iawEdf3cVi/BwO8tQvVHWtE9rQebm7KkO8m0Af8ar/WQ3DLWgDrrcf5svlMJiRo3MyF8wcKAuDkrBN8ImwIFEhefo1WctwU6aAiALONvw5N5cDLV7toR8tKhmpt2t8IxwunpufvMUTZxx187nE22bPUOequgme7IlaeD3kvo+6lf2ROk/9DXDfMGjT3sSMLLXqjX8XqlISwmqcOjQo/puQQSnd+6lO09D08sWT2A8BsQYWjVUgBbSpp2LJnCG1KY8cKvVqSKaTFNZO7LUPuLgLvWis66kh+xK4qV/V8UqdgN3SHJmUedcYhJ12E1N8dGwigFfjk4UlBiYJ8CpqxH56p1mIVMnnqBvUKCPP2JvKEg85U3ZKDkEegzw/YMHCztFPhgnNFGzoTShUkTni2/tRk0Z5n8AD8poBoUZdbRXh5LPySojg4e47a5csJKucwtH22XBBh6I2drJsQVeeTMnSUKHdifWPeqqBhoim9Ww4wCK7jRwIjU1RZYGAUD9nixitjFvE+gYvlGmMBahbcbPEa1IGPmn9XepYfvYUUCsaqVqhlBweyf+KA2cDW1Fy5SNqm/ERSrUaGQnxE0Nugn4wl2DpfyqNhWrnuHNvBoIJshrnr3U6lDijeZUDI7k2H3hSQ48W5AdU8v18IpCp34XiwinNZpt/12VHdrHA9IJdLTNJAY2FQASMk18NYNzzhCFrZ/NVme69NVXC/X9xu0Cgw08JNpQLGvpyVGmWd3Td/Cew0mf0Kr8r6TBFX2ThLkSB0E9DdDPqxKc0klskJz5ZxSj6Bl99CQcQLiPsqJ6HhuHkdH17+COSSPTltN/JvZvh0jRGxz1e4h1wV9rztgjiPlXgk3wDo5UUSK44Dfk/dJnjLi1oDN5g4EJr5QFVH9UUhP9ytfo/r4E7h54ZyoVwcLtJjdr1i+dxn1jlGmtFVttm4cisjink4oZtuCQD9ooAKRfI4Rx+Tns3MMDtDm36+2ITgMzbFHESezniHmZbCfrD6OtnhPsxsXXW/I0qisnKTe+QgvLHa1rnliWmqRCGj0rOkCLzvkXJEos1Dmoe5cfsDpA3H0qAjbYjNMDIaxvq6bA5ZJUrsxg30VG8Bezv1iLGrK2pVcWp+E2XlJVokK04ASAjGNqKRU1qJRvmBj/EV2inKAwZ4WQRY11/AY6Bo2kGEIRAHrEXXeBjV1wO3lfYMCXIiHeUG4mp4+u9aofo8VsyPx8Mq6Evo4du3TOAOtrpFSPjSp78GAVBvSJS5NXORsulLPvYtduKgq8Mpb49anlWPwaaBV/wRrBXdbckJem84Ong21yxLCzg3bS3wxyKGyJgFOyY5dZ1YcVjFP8fo73Cqcygb1EN4UyGs0wW0z4SYY6le0QlB0jQAESJEMgCrOCQgiwG2AUKsfK86X2gApDQzlrx2hiD5b2sbyIukYmKkLv18fyWf2htC/PNFoPJ8BOuR8JtN6e9u6BVgVNkpiNK6G/5oWA7gBOAkGtMptlLSFyUMXtTnxWdjYTwuIQ98vFsua73KtD6x2bWrwIDsWgiWvuKcOr4U2evPB6Jk5Gju15WaqtW5J3KLnVG+7K4rgmsg3+2zf1+HAM4X5d7FP4vZMe6S/lGD1aLzB8OcGlKGXjUeSEQ3natHFzwcFwkboNokvbibAFz+siVwkWU58WFwomKM/7mcoNRGuhZNUHfMYGoLAM9HVNKerHR/iiKq23maZYFgSzYqI9f9bRqyvpbCTRkl5yy1sSITgh43iDVKczWqUzIOyGh/dqRhX0ok5J+XByTKq+ZP+VqXa8V4qbaeDDYZk8JSS4c6XlYf3c8eA57fGQN78stEzlyQykElqmn5S91t0GuVml1bEAAOKprce2swGuAuwHgvqN6icbuKkyKOZ6Eb/uZyUADw0IsoGvOuhVdBP97QC3fLIhiuviS5lGuUcVJaAOn9jVfKGPC7CCuc2sI2EfAZASlh1kNkFJ+OG2fp9/ukB9nCs2eVO6jXWL0wOPkDZ9GB/d2nsl05qn6udLq65TEeDFNtkC0AR23YLXjZTp3D4yrhGQkk6V5AeZrg4mM1n475YxYPRVZS8ObdqUhLgx+NM9LS57qBK5pru7N4NSk75TtFvjtNZIjpWYv39mfIXM3m+hp4JlgHWcg2MQG8iNHRZisVIrOl5Da99WrlF/q9+6igrtcky1feE8reF2wzgTMYHa0GAlz/epzGZrR2nBFoQuZYo/z2IfM+0T/7NKtv0ux3DCLkavw51gw/9X7Remqkutlu1ASsEf51SmYxK9svgIwdvey+W94G7L/piLyAFMKen4uDRanYoiE9zIyaNnGejYTqzbLkfiNAh0X/HGNiSdkYRArVTZxXvqwCoYWt7gTGfmHQ5uBmSyIeyLQkQ0t5m9CnXkUgaSvCyRVivVlLJ/k19jIQ0W+j/fP2xcD77tI9PVlKhk7IIk0l1MG3EqO1tZxqxl8/PEyJiNfxYkCKpnpUhqSs23uukQv9WpwxrCzOixwl36wD0F188Dvuezr56zZCoFvjo4a5IUy1QL0qwlNpa7O0+ixT6CW91WPKouBOED0KPGa2ajw2rjNEheWb+4bhKBTjb78QGpNpCq5Y81WQ17CoemV9LDTCBCVIaezQZ5gJtAOf7WTbWv77Af+zeZhs1jALcNkY3befiIe6jRVAZx4EKly6XORx/gE6B7S1TLJ2MI5Tc3hol8+tfgADFIcHv4Xtmlw5wz9u/Z/4GdLra8vU+fz7ps9TfekyAvv/cuXfL+OM+RJ73uFgWpncmzGMgAIkTOaNvoJbtsHC6HIrrGpubXslhnUv50YNrmU7Q0qCPOqQ+cGTNQbupjbFMMM2WQ+8a7FjBT84FzG0SMROzq2DRxBhsxx5gRp7EkbcYuFs13F/ZrO3mFQ/SXhM7YUFJnTk+PuMZZ4I62kT1jRZnp46Lncki2cXSG4yCULwi6rqAZsBMsmug8FQWEiyA5SiPSGz0I/up50GEAYCMO3IzJf06zciTtTd6nSP2C5Hxe7BNiY0ipOe7x3sHb+qRIeNIVDAWHsaruujrHnGXC+UJ6BraiK6Iu9Y9kdVBMBXgrl0Xq4KO6F6AxmUHKI5N94Pbt3XX3G1pzPx9S9ZYguFJbKTBY/KLM8rItSd5OkijDlmxPqdGmFpUCDj/+ybOnZK4YkB5UYipWVQDipTGbKb24YScepWjRYW2qxKWhl3X1fWZs3FsjAnQOvVk384MHQrQ5xshHcTGcuNmEAIzc3/oiMWcYVGody0JN0PjuiTOel3H5JqS/YSmti0BdLO0gjg4ViYxmUBHSZ681UU9R5IabwhK6TRtary5iN8AnvbKjepoXdgh+K/07SRRdleK0h2UU2ygOT4RMyPyW0zbJPkF5MXzo3kxBTJjhmUV20ns6RrBJCp/bhmRDyL2/LoFDJsGonTAyYlQ6cpzBoj8oi/LCJgcc9EIa3G/9MtCanf9V9XUP8ZRqCl15GtUzy4kWP4uJTSbWc1ncBpqXGxARL3qrOTcVBH4RaUJM5KXJJGgmtf3JHcIVRZVsCJlbaun/yAWv8eQH3UcCyC8SlMjAsWTZ8sq7NO0D8cDnRCsQzJGPDvMHfwUdzMiRsAmjfdI6GNKDxv7mkNrdJt4l/LBIutr2Z/1CMi/X5dY3lyRM+GoZXwJ/lNralG1zKHL01Vjs7xG6OS68LntFP8U/74lQHIdpGQvLKFgCJKrf4U7pmqND0q11BapCkJwugVFNzgl21Q0MApuoidvkqeK1xjxIt4ctQXur78S8LZ4qymQHY/AXay48FZ5dwLlGgqSNWeBc5X5gy72vBVur6vDOWBqV3o2SnMtwrB804DfTBr9XXutwqJZtmCWyyzmPudqNBjU9siHEaqA5jOzP8vvUG3jbXy5+rKu8+cw3ug8iyVJHmXa2C3hLQYAErsWNIk7IhmEYCIyEt6VX5X0GDBLnvWkl0gKtCzGymwbcolMYIgAXvDF62ucHrb7fn1Hw4bi0FonnOPXUkk/QaPv5fc0ZDkGMC/nryefsqYqEwbu0m9KlHH3eUCHW1p6GdPID+xAb4lmIdV6GSBtEgsEhEIUWncBhbmJwpkUPPg8RJlKYD5SuyZ+goxki/NgkC9+8/QlRmbgchpds0ja5uYdnhyNWtAQyr8cNgQ8R4M/5vCaCzJFePAnR743DA/syOFvtyv/I245IYQ/S8htuFRd7ZRFskq2yNUqmO+sZDpCo+7kHfQLbnrGv5DhoFHe4zBBwrAKYu2zimXnFPH6rdZYP8crTqNIJavQN87BFXQO5SHwItQjGLn75ruYr7XuAB8MigNs76utN77IQpCzoxyQfgxRHDcJXYEaHYk9swxsWZcND4a+pqiNd8oaGC31c1G9niYAdSU8nvDl1P6pVe1ZiKdpAwyq9Wo60wWdYTXBy1lN2g4oLKVUt96LRUZD3EOscabCJh6MRnOT4xuNoMxZPaJNe20Bsb+1uq2Dbu4eZPlHvn5KsTKAmUxEriUO+DMQSV1iJq1GxRCN+jvEZftyGidzULaJLnUC6eTzSlb21D8cbwsFCHfb4So22oaIxmu21844+vpm8MKix7gEjow0ylPGu8okp+5Kop0B76WgcRsIJ/0PiyMS5YNYblLWMvSKhBvlaSHU1wiHQm+IJ28r8bf9Jjxbne3m0NDowjXVAwjRZ+irR14l78LFWSU9So8u7QYwEq4+97ooEJ6F6JRvytDw6JmNGfU3wyOyd98pdemPTRk3RWzETLrXnD05n4FG8EgOoFcKgonUaVhcixVqvAv1Bh+WPlYTFQ+OYtIcPfHjyOykmNWCXvSppK3/6sMEF0LiwwvhH7Gn6O21sz+Rgrjho8LcU452Kq5gIUBT9Kq8cPcJP5LhNNYizZ7r4m55cupCdG4imCAvCdgpSJ2wKkKaWyq3ynzITN7+n1SOhzuDJOOKkG1XptaPvcbHGWd2w4SK8VQgKdhAny7o0mzgNy0bC45Cba+yv3E870IOjClmb3XuZxdxBbnhe+e4EvQ3D/DbZGWOw5SICUKavIAjjidtr/1GveCuRXu1nVPSx5e8qo2SKCCQVtzmY4QDV0K9tr0vyNlb/ixWp/bxy95elfql/l5j+nE6/nCmKrthmclnCpdNs1tD47l4vcfka3oxddF62o+SYx8KreAEg8+d99jim1clyL6Mi7yij6AYtAWQ3sGt8pbDSQmpmBTSuMZzCTHAZx8HP8bwU4exX/uNYqh4Mv7NKEGxWoi8XjnXVZt8V+RK8pDkWD6sTptwlPmTDifF9EqoMOOI4sXMTBZCawTEXk5zphEpzty6ymeOE5f3QN0wmRKOWf9clTZO/R3OQv+MRQ1+0onfALS2sX+mPhv9Oexk0LUT1Q6nO7Igf/vJkaBAq0SFR4yErT0w863CdTUm7C/S6imVNv0cvyvtNM5x5WJv5uQAdlydSQSIY+aDVur7rhY7wJrlOJhwuShC6ddWvyEYvykmZfubmEkGVPlcf0lAPJ8u3Mn10QI/+kX3KTHbv5al+2No+TDetylCZlNjgMB/dCT3FioTKPN53y/LbL+mEjUgcd57xj40wH0MQwdqaxdZcvEDa2mj/C11O6jmDETFAalmx+O/Nm9Cf5WPwj1UXSwnuoR8osN/LmkXzd3AvXivuzj2U7RvoVjil37YLnN6YwpmcAkBxMcHs4KVvK5FPIgddWbmNEYiChqlkU5NfmOMifcZjGjAwVcna3Es+4eB4jZGe+od78xpzOSGPqJrqA02Mo0nVuqW7hqEDedIQSGhfQhPDGJ7LdnsFAv9e6rKBFYQhBlyRBZNK0i5qObRkzCp39c5Zm2gc/rj4NGt1HwCF0uZRpMRdg24zgWKwcoOQt52bpUI2J5MWaHKxJv9XK1SUl3qiy1QUqWJ/tzxnweAJ797IUysgms1du7wSlfDRZ90nZm7eabNiEbZYWlupCoWCtC5SZfoEeP0EfiTQqx1vTGTG6onIzMSz5SChTNyOEjIJY2YXQTb2wgVaqPmysfZX8I4a2Xo1hZVFM3+cWzLKMriU26YKK6hyVtruNVY5xNlKHvD8w7CgEblAYAtXczxJiwnOtM+pFNexsJ6spK76ADCrEA9dZjISe+lKpEdzzkx2shQWB4l/B2zcyMRZWEzFkhcNYQ1qB/i4f9GmUvi6cs196L+/lI/v6iiw1iS5Rk+qkT0Fho4QIGu/ofmmT3WyqT5qjtXiYulq3iycvhZGJLUyLQk7ZGG+nKtzKT/XircIqjS525J2wHh/3sqwbwVqbKGxU8p2tFNuFHUgIDTSemYpzHqVqWhwsNdOsxt80xsxry9MkmWvYGEnysSVRJKB50iBe6foL2pjITEXkEQ7ZDUVEZ0Pu/0YjVBBPJ8sdTK3QJvhmrH2dYwL2xrjmESleuMVme3pNaYzCvydfRuSKR5Q5UHgTVquJ8unHjIujtpXcTvEIz9JyzJqf73+DxMfHYBjiAQ0j8WcKDgOVBJBzjc5De0A9c13nBWjSI/ICP5O/KI/bOfBBOY7ovYFfx9zKvx5DLYwZY6sqBkpSGzfwBtp1+L1Lc27Lq3fLaGBfTwWV0tWxVVsOCJhFWEoaEi7LVS0DdG6DKqwC0c868ggVYLP5ejTxUaFwa3e9IPauDIOgZpntMI4dZNgO5fgSkLxBKrsTSU6LqEZ1p6l+i2XDy0qkcYZtnVNsmyVW4D+Dfi0l0o8AduphmmdOrTOQaUcp1nP2c5OX2zOkDu29sXl+rGnjstS5JT3N4KR61JYfhlNj5Y7Eni7Ep4ElPvqNOMNVhqFU8xLd5uttj8tvFk3GhxwGkGcBTMtwhTs1pPB4Knon2fdhrhBn2Oej/2Cbad1PvDmpkqdKE3ybnyKZkqro42Y9KxF5OpkqqfrAJF09iYoiIslZ/gX2MlJq/nseIWt1vbQGloQVv1GX1dtiA0GiP23TP5OJWz1NqEH0v/eTzCFuPp2xb+veuhV3UAm8jRlU7C3mhyqm048dwWV0DD6LOyb+PkTwrTtSp5/IEXo630o393dwcdzUjrlbhTYVsVTqfAdIiaSdVaonkfxAHGrzUfrUf5QciTgzt/IHkNOvdZ2pomVadSclXzzrg0Fu0BQPjU1p0eFpCN3LV322VmvQX2EU/5k1uWUjDk0GfTHheVS6tpTEe2ldriehhlSJrCuPSbTiMyneXwaD+Z6AVoxwiXQtDu4AVMlrMt1j4IsS5fnjV39HJgoro6TqH1LUQ1N6qGN/EO96E+Mb6IgO5FwaUR7WvDOFhaC9+ritn+Z1Ub6/TWJ52yDZJUxfP3BoYw8izH3LQQd4AApktgGK1R9OEgjgfixfd/suWZ9Q2aYYCwrtSgmpQjpIYUHreJicTFM53z3bFMfJKMXprwjhPtaq/0Pe3G4jQiLMnZuxcOtKVIz2VO9Ut1PvExEv26b4CyKlLW0RMHWtR3U84uJT1KCAcP9cYwYuUL5wj5aeRYNMxiHRBDV8oDWsP6WixaL6EVCGMrwTkpF0RgT80wdAdxRNzXh2Z4YG9vQPpSyrPPy6vi3fSdG0MWsWqXfagQK++R6vgeJeB5qGpH0jtG5D+4bwWMHb9HSKsZoQHJ97FijjPw73k56wiQ4egc6u4Tnm0bbXVC/wHe8N+WcMn4ItO+68ywvmZApH0lbEmWWu7n9cReizchlotV2dLzK61/6G1tyQotcRAjW5nZJ6+vy3ccRkUPKZyHXLK95FP36WBcAjn5CvyCY1Rzxf6wj+Hxwi0z/dGdK5GW26leXoD+s9ON6M/lFR8/j9fFnyNXxnvV/Zs5PYTejluAWRnyeIlDGkchllX3kHnybPEJYfTBEijnfg22FWv5hO1ezcis7rng6pzsC7mD9y0a88J9e7EilJU8+ryI9YGW/L70OZx1d2ZOD42I85G7QMes8M2JgKYQwJsZ44Dt3if3ARKWEKXcHFrz9lZVF8P2FtD0+rEa+lpjkc1zNQyc+LcsHuIhc87jPRuytBckj4w0cmQ/b3SruxJWFiVv9GH7S8MRiR69kf4/GHRdFJfOjqkhe8cYxXs4CWF7RRS+xU+vUtsjfEtjzIFk8m/DTmLYvm/zcY44BBOMMPsQEqEVqpXN/pxXd0VxgriwDeu4MH215jB71VM4oTMcQnzD7MAm1m0mQbytumOhSq9DtTSWqLYbLtVz0z/iWK5hBjY/KrQVOy2Q3oebuwC2Yl6ByzaLWkm+niXj3MYQj/gRchggsScjBKK1TBZlEJ/VKgTANNCv1pebj6+7qItZ3ILD99X3I5KsAlCy6ZenFgmPcy8xTnRPAj6WSZh6ZM3fKFoJdgacOf+PWQQPvSmXsSr9F0jDuD2jth44YZvV0bdJx3HgC7HcV8FyNYxAWnH+KvkqPLzRLFHbBaTMuFG68Ql+54A57kRcXsbI3LHTWRTFuElxSdZJ4QcgmV73REq4QYJ8F2oa0gWSwD7ceU5aPOZ7L/zqsn0C4tWs4n8Izkvbh6v5hBGCR0oTDTv98gRW7HBnxkW/8eMwKtn3+If5G1fWGbxiy4+DxQeTUfZ6tEMQfLfkDk7JERIe4NMxwG1KzC30Hh7gy0JlLTYnSxXZ6YREBcw5ttjjT4hp0tpEjwKqEp1PixtjwEQeUHF26a87HP0jE8lTjCKy/5qQgzh8kfPobUxpjdIC0F6NgiB9pIyeCBlZYdDCFFpll7TJ7fBCHokJVctln2DMk1Pin6zQR4Osq3HqCSKsyvb9gHnLcycG8wzDU9TnlC2CQHArHxQcnSR7vLziOmX5K0lbuoEqcL6s6lR/0/ZvAdZF5C8VQKjLchnSzkdJL8LwVEhm9Awr840Tycl0ZpfpYAIa2L4dNKWqEp27hFZrRmBA8YkxNshQf/vTGwO1QlTHeTHS65F9tBmd3A7OFCXWM1NufiAH3mgdyXvJNIeiQNwZJpCkDfy7dypaapx9dBsNcgp8WENz5Ds87192a9osAZ/hsJUYMQxxxDT4r+g/oQ0dROJmGqxiJVw1pGfvkP3RMFbyuAL/WcPO8wJ2b9J3kzeGjdQcNfed+l+8giW5r1YS375+kQVPakCL4s7FBFSUXCHVU0mA6KJCJjMGcNwgmnm9BuwyzJgQz/6VUDZNSk7ndY45Zte5GF8flJMfR5Nrclo6O4TAz80wnMtzaUOww5X94o+OnNUaC3cFHm8s8d/WP5yYWKa+jQVueDbPNRyUUoQnAd9ewMozkkb6ai6HoTcHkbsLY6lbBJCzv11KvQ9Hemmuu0gWI8BCOKhT0LvmO1CXRLW06ltrIgjLS/JNKYv9mXh4JVhX+io3KTYXwb4Z/ALRtwv5xSm0FouD9R8QSziYNEv2ZdY2i4Cc4CobCIPAX/lIaACTAu77s4UFV9qR01y3nMOl176wxS+0u4LaVTzFe+q6Nz8rEldyefPuEoIY13MSzrRqTuoEs6c5UPQfPeINTYNdDP9qJIw/ofTfWsriisqzN6dC9F90Yp1XpzmztDC1DhnicC/J9fnKL3mV3G9GstN0SqeoUOUMbytS9CR7CpyywaEwIhwUp0RwQHuuUiRaBwbtlaMUSBQa1ed0IJziDQqqiaxyfypPA3F4hqMwWay14jLfajnLYqUbGl372S5ItzEtjsyiPIyhbI86SdehBFtdl1z+TVd8ozQCnfm2f/lyCMDUhQDg7Gk1+YrQA0lmJ4ZsctQ5FGb23pF0R7jeXFPmBzya/Qrx5O8BG/o+VD3lvJLz93BiSO8kXEraHDkw2jiK8TQsbJ20WOX9fLgU1Ei6R8zIIFgkmv0CQmb/Xn64+RT/LitFHKuaJ5LiSGxAl1edUAkjAxc1SMm5pVDgn0/o3xzIXdk8U2vyzhiamUUq2YqzLgysWDexaLmTV/7FjgMPrshfYk8yd7XlBXNzGafDJP1uDZsd4DH+ZFBFaDed43zapTFw5uE6vyV6fmgGIV6C1tGNGMCqRTCGnoj7OgVJMBQ/noY5EBn1jrFn47FqZwJ7bj0qMklMApDfz2pXz1QIxj12c7W+Nv8XKZ+FsUmynhLGOHvjt227y6Ew7LJhR7YLaTzH5Y24cdz39NxBspRpj8m35xOk0NKrFa0bPIsJAQ1+Tz7T6rVgJbDVIW5Gs1zrJkycRPw81R63+eUK4ZiGRpjx1rKQTNZBBuzr0StHq2OsMjFgrNhUpy8X6r6bDl9DOlbqeuQyewMePeHwF0okRIwv62ypMmbdqsAUBcuiXf1lLUfo2sWXlzz5Po77420UrRKgO4S0QWncFzB5d/LPF+q/2tBsqCs9//030WD6KXWeOibSAxa/osEcCqN4sdgwAzuZc34jficNamuhMIbhRkqjTaMFXUBknn9yhHpF45f4OfH2OLhpIpludYELY/zBjbcpqlD8QzPuCkpWqPE8vIV1HI+HqtEnOM3d3jO+vuIn0mMIjSu19eQZ/AcJNZujphF9y2WKIbQTwLf2NjKinWAqtnHt8ZnLspRWIci8mz6BXayALcHQIqEkT6JOB7oYqkckNc6rrsXYemFOmMMV/HlP33DaZ3tcvU0VKFgVWwzkVrAu2LMcdVWPoQzuobM+ZqHlfuRolJR5DKkRsL4sQO1oG0SVDXzPKkz0OkEUB7hBzjhAstnWd4ItFnDu7akuigGwaexaD4nsuypC8xtIH/ARbhZnkuSgQWLU7xQ/eiLf8Z2ZGkM0fuDTJ2vLhkzri6YOjoyzAVJiJ8NuKeB/zZKOlXJK21L90j/FcG/c5nnK2tNrISaKNuq3GHmNrzrg2V5t4zA</x:t>
  </x:si>
  <x:si>
    <x:t>Q7AhwQifqB9UpPT/0riKmhRtU9Eqi9ssBVAPd3pQUz82sasVx/kM3tNCEfo4ESeR9Mp1eJr8yIp6tZm8MMWUOGnbxKZzhu8C2LUpfmnykxjlUws7aK8Y3AYdcpY0fN37rnS0g9QNHaydUu1D0f7TBp8/xzH71OFC0wDb/BXd9117yxCcc1ptwDL0rqyM4gbnPWOy0437pSQswzNSnJ/WlYCXQv9yi22QQjdJSMtlqihQgzHWujHoKdwFYuv7jkHULWfOU+fFHMBW8fTe9LnhJEJkgRJiZ7efnuNNSiCLefTeiKZY9Cn5yBBoS6zwZ8HdXN8jsLqm5r3C0ipR8MjO8IXPG83irJWsHfmo65zmxKgt7fCIDJvRbuTiaQTjXKdzIbZFOXJgLPF5dPWaoA1p9HSgHCs7gyx95NJwCJgiRVQk+k2BxiH2mbePHrXe9JvIvQGmeePOkyndBgG8ReCpKVOoF6TGaaHf1MTj2S4JEsx4YJGVU3GgiuVj4p4D6lhhkEOdMDjNfvrPZJC11ZXyR/0oEltNTIjuB0FbXZCa08XT7imureTIYUQYplgK7goVqcQrjPnBgG9Vp3OYuuv3qdLAhela2PXWShs4DkIgUmZQSjVsm5nhu3HM2Y7LKPssI5+vw3BYW6M3dTRVKuatN8bcPDPA53e+mPbjE4QH6bxn7o+qYaYlgajBhoynAuBf+4+m6LPxs+VBO1VwS1SRPbeqnAu4OVPxO5oITJ88M/lEpnLC4DdLK53LinsgwpCZ9lfnJU2f+BoGNx2t+LRMOdwXPqDqHJREkNtbRi9/+aUZKCEZUctBz975xcVKIOM7ykT1Nf70zMCcKksd8Nw5WOhfRZFL/oOq3n4WlIxUFIpmcO3SZSQ1sekW5OIHgqBE0suA27KkescoHCEN3HZlY9z2IR8vl0BbR4cGckQ7I8bOUhzpnY2t8vk7EkvNtQ7cuBUfne8xTaTil9PwnHfIU/Z8ARK9RR2ia1vceyokddWQI/FgLYA2GqhbPfIFLyIGWdOPVUOWlQZMcJy8niTnl4uzQ+ublS1+RUXuL66C8lErYXcuOZG7rq2dUUvP4U83dbIRKtWM43pdLSwANUcRS73fXaZzs/HXADMluMpsedQgYrcuD/WuEythmjdQEqw7AAW7rBhV3OBXIRGTGRpLDWbVE4Empv9zmWhywRAKT6zRDh0cvoYYtR2k96B5aPaHwjcthaBW7C/nHcugWereR5pefHtwmlasTaeCdjL5FGwcFY8vbvb7xAVVcssipt3jVuYtfCFpcb+rkT1a/Zhg9Z/eYyx3i3hM2ZMahXELg9i3Fye5AZ7VlEl9usYpGATCQuZaCdy2etzZgDQJqrjPd/fqXq8nDxxLhghikxhI6AMDZ/abEGbWFJUCX4zf6boyOlM1T2CdO2ILywozFAjqa5nCTYIpIov3QBqtRIb5/UDs+P4xQ9DMbq0kwSWxM9pNchX9YaClk3/S0kp/gCo5DBVk+nvPJAJTsSWmlmfenXzRreHvefXrmNaVI2RZkwNhf4ngbLetLOYnFKNEhFpKJ96fCxVt16uFVAKUEzbbMqZGwwItql3u7RkMp+QDLn99Fb1TIW///2EKUuJ/7X29LSKIBfsVTpK7KOJPo4A1uKDToxHrsbhwfdt8AftdAzjTevpgCX6kyeiVR3fkeTyzt1ANceqVET4H051AGxLVi6YTrW9MoEiFCd7JttKVd4RP41gSZrIm8uiCDZIEUGQ/nGbAXmnRRdtLf/y9rF68EdVE1eqLBj3TTG1nOxlbbmLOgithmDZ8KME/R/6GQ2S0q6x7H++HAfj2KqDicaA7wJru6gspUAxL3hIun1fW3Dx4pXZU6KG03q6a83kRdm8vBc9kjXWEvtj0E0847IXHBrQmYJ3R+NXEsRAUdUHMMdOec3quPXWbxEEaWX1kEsU5TvYzw66j3pbOARt//INhpN2wWNqIlGRymEtZesM732JNAUs0xbaT8CRvQ6z3IXYOjVHuiknPTGWxB5J3tnWMK6G9iXiTtG7EmjnGNzHFnxhUtb+JPSaMiA6fzwiuMiv5+q5UVkvh6yUDvydwps4Hs4zmYjtrVbfZa5jjMaFJeOJWOYD7utH3Y3ErdPJTFLspWgKJly8blIBn+wXGLuHQpJ9UhBep6wSM/9ACK+W9wveTPQp5Eu/qs1Hhypz2QNzCrhjNoxH8l7DjJAesqxEdaoTK1of6SxVtMxcZmPc7UQqDkxjZsSKAOd5LRMpe+99uq0YXCDJsHsYKpPXU0TQdFsbgC+nIcNmkZbWG0np181ku3Hw36pnrN8tvAqEqGK00a2298NV+7/HPqgLw3/Nct38kD0Jt5ab7nFF0EpH/+U0UwDmuhdZq4iGetIeTvZFOx4OJ1ICJWCJ5YAqwDDnNw6CDb0RyAV+7O3OIZ9AuKeS3r5MrtHb8nbzo8y565hIZZMVWYndO4/IWDVJR06J1g8Og1Ysc/Tb4sKLECKLBkFO7bKAMu0HfFF0RYV3vgkkMn55HGaSIUeZssOwXbapKaU+pdxJx9AmZYbE9OTpc7NZVTXehx8JIxoxyxH0uodSHCm7eynIxE582l/CO/76zFvoMTm6P4tfpi1TyHFE29n3MjwIKKrAN+879sQi1qeuBqxSB4GEVA3Njf3pIzj8xacnGHCFnLHV0nfRG2Qgg5eRvMdQPAs+BaAEF59wM/q3lf83OHIo3nGYkmnDlN+gcftL+pBP+o00QO8uS4CSFFPhs+KWg0wb36hffdbQc9k1Uof8EiRO01to6lo4bS5nkEBooEAwYzigB/0gVJ8VITmit1OOqXessqRF6999Qvx4I5xv6jydEX4nuaW0nRqLs3lieLgFU/wKlZuTPFU5y312pItqZMw328Oh8jJCW8qngiXdoVqjOlBuEJLpbJberyqfk1bQ4rde5uLvmlzo0zaoUnz5sZE7CCQ+uTRyzuJDg+3PxsIiYfl3us6qvVIj3DJZMq3sT4wIF53fs5EAFBRw7EDLC4fTEfKfIPho1Goy+Ge9S3OHmsEvzWftjNKQzXkzDGmFRL2Gd2KD+lUTeeso1Rd4oWqvShBkR2p8ByVgiMDlFstJufWhqnhEC6pl+FFciGC/wSqvZ7V1LGevBA7OoT6fZ9VNUM8i6TiAIEukjhdWIE6RR3KEU97OuICBC/2xjBCBs+d+Gi8VniS5eBurM2G1ZaeCvu5R4K4BWkqJl0D43dYAXC8uVHU1wkMzZYbqSUzIFH0atIAXY7vp1n7DoQaM32ad3xADfDvy7sHYMBCwJGBn6EQHONgSCfwROaRTHhLs0LkdAoPEIPYMHVFBtduXNUDcKxJ1S+3aq+0nhoZSF7VLpiINPI6osFeF2GJEGF+mRba46y2Pmqwmrg0HBCLZWGWQTcKZ4ndTtvgQy+mYimArFofKfEjtw9hp1g5FiBNx/h2oB9obut0tB0wBcsfYX0ifU2G3/UtqQP9am0UsC9+kXA+UyI1fyp7G7fMwrBvFE4p2o53CB3SR5jSccWPRvm3TNWTdMkPW0ghuAhmC6QJqmp2BIYsugawB8kzH4NS7pTcvAe5KZvc2dq+t337+M8JasJmAk7JyWj82W2Gt4wum+/aHEae5rmnKh4mGWO7Lc4LxdlBfrZiorW6dy5HabMycORS3yn++EHuQN3kvfRTNXFJD2CJneRhKgigcNvVbcb2wOsRSCc2kIoUJrrT4Muqy90S5rFpyyaFGobNeDHp3RL+MIkiPD/qEe7Gx1oPGCjIRTJrfqFfrHPG/ysaznrvm9WRPInAOjhKNnFWbFhzR847Hlw9Ecsdv/VgmaV+a8yjWKAQH74pMW6PSPRoOuYhn3bKaD4VPeQ5zvw5sar5iC/u9jnzyUgCWN1WlhpKlieU8/abPhfGC1O1tHe31jVGeBmekk9TqIHGdAXFsqqIbVDYsL6gIL+eL6pXRbOrUEaFJ1jaYyT3GPJbLjIg8ZRNKOQ+gRt8MJaQLzJ12//HFVMEREFwSzA1WciwmB0QmYzfoQnPvAb/zdsqCOcYeRz3HhwbBeR/7HE6uHOWjqIj119iOfq6MLZ+fNWJ1gQYWOktGNP7Fkg5Y0rNbFmKrK2pM7nu/bkzcBnErEC/NUXLh5i1vJkZTWjlKZBntn/htQdNV2f4tVcTkaPp+SLLjIHIOyG1gtNDATVil87YsRJLA9PtIL6KSwRZkBkAlzDbgbRf1se9c9Nc1ZppKjFvaQiCWsO2d+8pOAScPR3i0UrNiY/Ums4/rb2CFjPnqNNez8PMxRmcFVFz2YoYSS3uSO6U+EErNOP2aTtoGRDo//+MALRCJzaSXZX5gYS+vSkWgVYu51DbByeZmdU4JxW2WaJCFcHc8AUSe/duBG2b8Z++ljIsfXPL3sJamBaH2CYmu8a/gxpD4oJx/SiHTsNyFvC+my7BwQ4ypiPoNPmjp6JPpqMPESIGmrkr6NNFr7XJMqISkmJV6LjLNYsKXwgaRKMUygJcpoxvoQkVdTzpO+n9SSztDuYobbN03KRvQUet6Wj+NRXCKeNyy+ee++Tpks7eQ86qSkHvWImNybNEZ2QUa336e/Tm2T2oBy0G1mFVc0CLihVWWkChXk+5n0RUuyR/OKI3K7V0j8NvCA5VQw9fR9JRFmAMu5+IWBabKdP0JyVqRGA8hiLfJE03pbGehyjj4VBjDBaKlPelBGAd9jKE63RdkgvcNR+h78tyIu2eQ6em/ixvlgsTdYhPQ+wjDDNrO8erzelqNmq7WDTAOQlUU8SXEHCx2jmMYwIzFzrslZ59erqr/vvooQx2ESFsJvZOuYH5rqwyGLVqp/WieEg1JWc4kvHLVh4SJzfHUMFPu/91ah2qL8N3goABMYFYBQKAeERxTppL0Voi2b2QZKQSfavMuOmCOQPG2ght3bb1VTAfTSuZMdvNUce5VCn2XB6EDsvPG0mYQ3jigAbITFqcaAUG/7tG803pnPE2hlUxMVVpiQmIQlmL1mOi84rCV29nFb24EJuK/qdN/xgZj/Xsyh8E9lKGx13rXH0XfLjTiJsyuUJ5cs9tto+tdu24WEWfY7ADcIbDO51E/MRrE0TOwBhhKXMpCgVP/R07KQ4+u7XxQVHyiZB5862WlIdMKWybFSO4C6QiXgwEhekDC6wl1xFXSo5yEiK4s/Sy7uehDh7eHb42LHfseVao3VCxynJStSFhRw+LLUBrjbsI2pAei6CjIo8NEmuwIEC6rqCTAsyUdH6nCO2CT7WDT3z+YWKkbiw0EH94MBnbGiJ+MINUw04pyhg6gZ8cMG3lsmpEWdxgl/7bq2+HUgiK5bQ5iN+gBtDlRrkXglSf8FbAT6c1j/OZTJjdB0rJw2dwM/m3/JOVIo/43zQboVoMEHBS7oT2Xo06uKlQNrDe4vT5ya3PMFBmK224HaPbqNraLF+PysHMmIjaVqD+CHrfOHXdPFs3dFbFpUjxHD6m5Gg4y+4CW5UX2IXIBvMQFBzS+aDKz1YSCayRuTN5dy1EdIjTwOfBsfbfC4IFVwe1/qUKeQrUWcmvxdpRFBaIkOuYMAUjqO3Xdp/Se7+9n8V/owPZjF0zRTVme112R1P2mMIAzpGk+ksiHbRLvxsRB7kUtVryHQnamsoZv5cvUkl1+GNj3I8dr7buUTuXXn1XzvSqZm9ToCZTUCRR6prD6zRM4JDjki2WH45nPi72YxGlg/FE+AXnMNJTX0dmL2AW7j71tXXIMuDOm+aBxkp+s8SlL7umPeTJeyFAIB+PDWNjaZi8hnRnItLAXp95SO6ILX1QMhG0vuKpwEb2OE6tkaYfB6Zws4QETeXJKv/0mb/B9459e/FrRblR700TgGAKvcLLfUPsHYCxN3tFdF4IVHxz8xEbmYiQV1UzeeUVwkVH+OyGcJWbddk1SU59y/AjJDVF81hdhbXQ8lS8N6oHbdv/mAa72pL0zq2PgE97thtHATy7AOLKfMQecyXlgFvF8Ip8VcNmpMqKJkM8/Ycr5lkhICZQ0FmnLdmDgB1EYm08RMj/mBiu5C+w58WaeVoLHqZCyGslKwqqrp1Qsz3dS8tflD0FGfV6uEXzopOvO71h6nyz+FRIW8V1AgnkfMtZdQ+X9XMgap1anZoOKv/NaQr+6w4Oiur9UNjtnWpg2/1pM3JCKHYE/D4DTQGgb55x5Q80lm//8EzziGFEqVvA9vYiKb8su4NaKzc8MX0UFGw+qSmowLFkmMrFzL82IPww4MRfafbHj8M8eFv1ovcxjqgR8gFOuadt0uU3uFjrePawfDErTZUuS7Z2i5b6nNt5K7QhXOuwweeWDXP+G8cDf8Bk0qMsUV2FI3m7Qm3GLNNPUi3oX8Y8mP1Gq/a8K7OaSnP/ZgGeC6Cx/hno5mkU0gI9D5eDlSRHGx48J6B9SKOcejCIuORJwfymff0EXh8LqRq/hZ+tEVuG4VpgJyeQmHkaYgwFHbwpzZOgJX1wNRGerOTDP5YQKdduLdX24WbpUmTnm4jZbFy1Fn7jmoCL8v0tS/8ta33fvxWfht2hg+dMLP2/VIE8AdZsmU1Y81BWXEWff6lSXC1XbnqOgUxOZqdugHpiHztC99K37CWEd/49QA4fn6miMg+EzyiYaZC49ij6lDbgHB0OaeyPwqy0DIi60RBzMScP0BXUetwG6oXasjdYo1rt7nD4MlBlnYpOI3Xl7tyHC+Mg4s4Wt8mQRn8AmjZEmG+UXUZMQfWi0kLgy7e+Vv1HWPwHfRbwt9nCX5EAvlyTHpKaaHc6322jTZSLPmlP9UJPYjoKrQT93ZhXsprn26NZOrPPhTRXQjAFdUF92ZZHiJQaDrlsu7LcyiVmMfxnsheqt/3Y/77fKydU8YZJodo2aK6o3lWSNKlrr2ejYWcC25AWoijkHIVeF2nRVqNYpVG9qVrlgBh7Nyt/GuXGj3dIsJducCdS2NT8i8svhIDiqrHxO6r++bJNWu9VYaTgn1Lsb4qo/XrOT2vGgFQj87qt/QaWYixm1sscHAZ/m4wfQaa03rUoKde8lxfuRrDpaXJoCBFcVEaXuHtchc0zY60Slsj16VUMdf/VOuPrlYxYj7urDAc2BBgiLbuQnzWyURNglRaJlCkM0E+vTGzUCby9oTQf9oY5PjyuO2M3RuQqbe1vCHPLmpgOydsqSqt68uqM7YjLOLrDLpQZYw21D6vqyplIF6zrHNrEbEkz5SLYJHmbDni92CEWQg4jxucGzVvvB+qnVWQNs9LhRUVCWOnCwNbQh9gyNefzRHLIFQYhPj6yo5zw/52wGAgle0wbm50S/ttIPjlLo26sB/z0SDAulJCVNwpIoT9zFdtwJJF0u+mREjBZRk7YCh2AfJdzslnJGc3uc68gcphnEVTZ1Z7Vrbid09PHy9rT0SKxBNwH0E49zgjpdg70Uhmcil2iG6TCOTcXcLsyo/t1b/ELI0/NWGMskdN2HemQ9w52D5Z2F/kYprnH4zSimVp+OtmL5jME958VsxoybqqY4kuE8jvAD7A7f0ymC/kaqhQbOy5NkOwELhjQ5yRDWa+qLqnmWhOzSIEHfo5NbGFBRPTnecG3bClUZQe3nXKl/0A4VsS9nS7jU/F7Bhj/w/b7Z6WMRG/ppGJJL95wVTXnVl/mw74gUOdx9zNfADMRmuCsILBhbw8b/JJCilbt9kfjn1y2e+AtjDrHww8EIL7jY323IIscEpJZx4ODea8HRSKz7gEPixdWa07v2O9Js4qKEdXmM2SXR9tLF+vkHcPUATiJKkcdYm76j04c48QNXvpl33jh64HOhIfDA+GqkHtRAT3sUdzyYkz1cfoESUaj67Q5YqDmJcW6qx0xLb6cC+Qfo86IG0ScqQrOrMU8edj2n0v14EEDNmTBiHxpBWQa/uswiG5/138/cGxQiHxInd/lSzbV78s1dWvbGJZVsT/PhqbIIk2DL5qAvbT/gxP6fPXtSpJBkzPDByz8rS66q2zDM5Ufc5fnv+pY7vP9kCpLdmYv0BWxHIaPpAZ4eusG0R0CQEF925IRDZm5OT+lnsgKLmWDA2ra7KOJSIR+UmfS4uuixohCc9y4wtrt9OQHuaPEJi44m+TxY2VCsW7jxsC1xmB4CnI3ZjYtspMjTKTB24xBu2y8ffp1Vx1SZO730KH6NReWg78zff/To9XUm73IEl8vWLd06ixPfXDMhTWmBHNEL24rlYcva+p8sMOKZ0p7Rd1Z0ZvrKd19gFvyCzgZBhGDSIvhHPd+DaT9vv57zRKYqaIM7U+VW12icNy+YayNmGR04/1AovVS/z1t34T/ciSJ5eFBGEm/2PuWvt6ZlfgMglqC4ZONJcMqkI/aX/6EZHqi8HAiZPKIdB75u7qvHItJA+s5adn/+Xe4SS0EZ3/IC3eUfGhTYbyWaRQgAgsGhm2eFN2deCIeOSnao7YeQk3s4iY4g44vpV26pZLluSKBhrk6AFu1hzBZAcDgXUxNx6WvldCfXHSlLPscFy1L4a12LKvSjk2DHz06K/BgID4EPzC+9b99WGg2T41ydjLkYHq1seosogsutKO/zp/+bgkWMdHPGWGxmAfotb0crbK4K95hkSR1MTwIZEa+vw6b5B1lN0esQ2OAUwgY4Bs9qm9UGP/R4GIh4WWKWqAnVNRcE/2PV0zXi1ZwfRJ1peVE8PlkF1zTIWFj1sjQIiPIdb9HA46ygIc4m0b4r4gXo/T27n53wEEhRMYrp4Ea02Bg8oHkfA1BbrKRTgGqhqXy+kQL/71FJmBl6YAjT/S7h5dIgxPt1M87QXMobM87xAzPK/bjzHUNj5feedKsLbPTPxq8ghJ5w5tl8jwRXmrei6m4WdveX+SM2uf01E0Cy6ccqG0rQx0z6cnVPpmwwAfhQskURNkQzeNCRhXclhXUt/fwK51KD/uGKfv2SoNHNI6MPjSxSS4RvQOJY4jv+9eS8Cy+kZJlCi+1An9K2rt6cOatzzLUr+pl3VjjJ9TNjwQksM71P6+gZSlUvG4W0aZXXk9X7EIVgjVLrpomjHHay33XhNjFTP+wxUbjL/7z1WM4qAmCyYc/Tonyw+1K6GW/ILTYScuMMXwecvQxrKon7K0DFp2T5Z+fY2ku1LMc0dUYBoQjgLxU4mQadfi5pDmbdDyGgr+Gi+QWlvJCFuTUfM5LBD+NWII2yr0KMnmNnY4ksx+hpBGvElq7PbgMo7xjim60WZ1J9efyFfApBdoyS/ss5MlcPxtnbGVbWcfTBs7kRDjWN2Yv13XdVNtvius9r/kIcNBjVJhebShtLqcp+ZFqIVT0lANwf7gHSdsIkMXyulH1LV984+kF69YTnBdzLjMJi2960bKR0SsnDkSWLT704+GScno3HAnDHMIfRmS9stUStGv7c6Lh/jAUZ0hfZ03mltSk9wFdUCRKqVx7guy25FRZefBZbWvRGJMfHgD87rdZml2OlsrwLJ/1+dto2KOl1PE5MaDrFfxJ+PTd1Kv3MS+MZDzemWmogglwiz//b3ggqBkX2MiiOEdjqg/jXtYfxBOPpP4oYOKIvbuhgrABYPa10Ar5hgGOBEksamYdaPi8SB5i566f9hi41UiYaONaTcQM7RO+SaSwhSdkaoBbIXd7O/5t3jhwtkyR7+qgLw6PDd3dhjhiVv8OzxvdDfP2ZtDkr9anuv9LFjwg9HoKJNJqlCo128jYsEOfovNiVbn3xOjWkzOjPKf7YcYJhcTqcxy4vRBNAGZ3gcO+R8h3sZEVkI9bRRkKC8H1X7duGOESBRVdJK5jwJGcYH7L2f9iXrLzZkWJEV2wim6BAS8L1La/rNwRMn6Blr14NITP9CwI3H585xWHRiiFVHGS4EcmkjSsvb6hngZ6v4JB3QP0uVH/81M/iJMcfq36ynHCMP6CN6PxQclQWQazjqQWOwuo/19rwFaj+mtjiX5Kgby6oaz3Hmw8CPbfa/gsTvWGHt2GuGjoOPXNlL2lRGIRWH+w49W19R7+Q9IsQMZluxVXsFRz4hqWjIBUg2Kt0qUmiMFEe1FuLqHDTpsv/g0UFKTUq0VYuQFy7dc1E8om0xIZXV97tLTqMzisDbUr7M1gjashZEDdGgoS0728A6KChjN99cy/dsfd+Bpsipr/IaIaQ9aUsvOFJJ3F8KiEdrwq86/QzrP/DPIOLnWQRh6EPQr3PTAL8heO0PaZxOJxOIq52Z2ke0KVbL9n1puvRmG8gJUVx3DN8nPckrX+5Z2Q/qFFyHwq252jwSr5hjO1yDcqeEX848kE1eot/Ad0ogvZ78LuNMUeaoelkyfTbnhZ76LU2vQ8soj3XkBBCHAumn5ulM+dBTPRUN0NtbQntiXP00RXOZk7Id/nau9VZFwfTqfL9rH5JsD5vufroUPlEodWrM7HEo+XYjyVZOAT/oThUYejXTtnVrFiHeRL+wINSRFf4RT+/5L9smF7ZHjZYx8DpM1/jby1zMOrLjnF5+RfdEItE8SDIkN/7Af33zwc0+OWg4ItQA5aN8by9bbhYFJPNFMwMaA8XU+N/eupwxzBO4yrkrw1G3FN6St+JStFrdX9VhEp9++3t9ro/S4+LzmtVI3PP2BYcT27jq6KFzO6pnnLhTY96eGFEJcMD0zB5UmLdxnI6k5Dl9vLF5IaTEs4x3UKNmyDYlUtGmaTos1aC13dEx3aC8sNPZJLKQb1tPZgkjt4x0OGHeSiwTdRRKy71HP+2OOo0gT0q0l/6jkINP5RfojAtqtCCKkorAwRms/B6XBqR1VCKKSECwY9jVIiGTqeYSXD1BAwRLEmCclBXhD6vgQ3zqD0Xwdu/JjJKW2IUuFbh+EZffvcEsiAZCwfq1k1Tg0hZXreYIqR6138x7MxtDnGscUKEij2F6bF4qFVpiJzdvJldg1//TXgHSNJpVwsmsH535uymg6LndpXAWxTikn5F4/sWNRR0MJCIEfGy/P78FUteqDX2N9E6f9aEKxuAKzK6nUtxHLG0pOC1tSeo3njGdwdxiRbJEnMsgJr7Fb8is4+mxiy8WpGRoVEGYh4hEGCQF1tuWKm/IO9tu5kTzxf/MB9ouf11BX805vCzP+HOHKW/4plGZJtOZonfOJNq/xr5gAC7Hff4GzOOVmzP06LvtbRYuMCQIFfNHy8yI7vFfou2rWB3m5ES+ulaTqYH5i0SO4LBsrTGoT9DSyXqDNhN5fdc8ANvBMLm3OcUu/PRlGcbjMIGGXydxRAH5miWJzd4WPoB15YBAHlKST3XZgPt/mRaBiTTRFMc/S1lox9j5M/p+pF0myVZDJZ1Nw0+hirLq150zd9zAhFY1eZDcK4znTYRIqb6b5dZmYR8tfY6NjBJ+KnHMymTwJ0kBITgZie5Rdf+gXeFkhr+C6t/GqdXkkLF05qdly44t4+kK3MVLCqivtfjPUUchYkwB+4teNFuqMrzlRgwRuXMbSE55CsBR6DsUqXj1XTbR1BYcGIQw1ibImdHLp+n4+rjN7A7noPtvrkKW7oQRxvYKKTy/Z37Lkor1epVCoZG6PaOyF5vd1AzdwGgjNJeW4LslkXnTboCzA6AAC9O1neqB9FUh0n1X12yte9Of0u8R9JejUfGzP+a5VyB6gLS4DW6Djj4g9gB9h1JlEoerK13RSBCnPcgRbKxNTv2HQ5q+87PcuIQNigG3ALj6c+0rH2X8EYYjLFpLmdVKCEfZtkIMupAawXfbEJNbqUXmGUSmVhSLX1bddL3Z2b6rbHnyUQCjoF4GprHmMpMSopOdDDYUpxNC7il4BEuPJBYQ7emZIqsIPqOHa4Dcz9jxApbAzlT/lDXwDlmUcla39JIOs6L3mwZkbLDgp32+Fx3plcBT46OgM5v6fuAW7BINU1negrjNqPDfsP4FpuNwB6wXpZr0MGi4vwJISXWjm14UB/9jAw1vHrJpyMu2Up7MJP2xaIGt3pDLJCVXSgzPYLPtAZu0n9mZKFNYwJKP9LxSGDNWmLGCfgWsO2o3zAzErmdRZOswgy394R9jf47BVyfVB36BcGli3B0mAlod0H2bMqtjNguq3Ic/zwlArxMQIbsc62RFGocBa8nKUgxSDjC8q1/OY7X5J8JO9Ioj7/I6BT/KcVkIZYuAn4ZnMlkpg+dZQbRfygVdxjMBVgueMSDJoen17J4oM5SYgHoJmRpxM0yb+e030/rYxT5eRqQdDnAyQvyU4YZlnT5o54K9q0n57VqeiZZiDh8qUqjvhwtRRWIw76HjfJrh4Jfss0C+IQl8Xsl2qkxU9v3vTAb4h5PPt/hacmsL+MgZ1M0uMHdTVGVeiJDEWE0ywfFfdTq6qYkffTLW9aLfjsNJXNGN/IOAww7/koKWegx+Hlnegixu/+PIhCrP/bPeS59t8NRFaBW/EuqS1x2WLIxJx/zbsdgPKCY//036iRQyfXbJMmM5c13xsy8wsRrP/TrkO2TJZlBlbcZYD/fAOHuV2vEokmmEWxaXOz2oxPucw5Y4NfBkL8evwcr3T6s5v2olGcaCY30wGWiOHWR2H7hvNCYu6smFk7/6OhaOD8aHh7x1ASWhVyFjUBfTE0PlaI03vjLMMAIXDQTlnKI8wcycO1UVseNdrx56d91cmEm3D9w0GcSr/AG4ieNT0qRta0L9EKj9UYHkAUcuoT0j67witeKX+luX+XFQthTTz8DSsIjYaJuhfdVVTya1/TCU3zxJkaoXCoA/f/zInWydi0Z3SXUDBdPLRqScxZCqeluRWU9vDw9l64uFtE0MGvk/a27eCJ962ov3nJXdelq1rypKFy0lYYCnoU5gPBJSRhG4P/0I/aUlLfvNeprMq65OTlK9WnNlpYONnwbQbnvij2FErlkqSLD2qARHz/o88k/12XoOYmqtxGW+y4EWrjGsKMF6Ilr4HFoMwWG8caO2weptBuwDJjB0Z6IN0mN7qbR/UgYIVo/XoKCDjXLZySg79aX7JtUGyKZlk0BbA8MOjfL4k+QpKOFQZ0DUB2/owYJ51qVS9LxbXEqDTo+USGlJMquFW6e5ByOjWMtFCF9x3mS2E84Upv0Tg6+oVzdc4ziHn2hXbhWP5EG4g6YrUv/rVR5YhIrSrdQxrJOV+mAJu5t9EKjgY4muHmwuIR28JxFfbI4d9lD2hLx6iFq1g3sAnVruci/MQb7Rzyjvhtas1qkml7kz4pvat7Jsav24C8wLXXRVZuuGN+Z9DXjKnqH1dofs1PROYvXRK6FFJxfLbLH4aVkYs7DX+lJ9wUpSusLO/0vohqlFGgqDlxBq0dj6N4T6EdcXu3OE0+yQVcQp9vuPyDgDafd7G9Mu/l0sOzODPW73ftkLrBa1Tq6sgHI7jTUulzIxV8Cqtd+vcUidMK67zfZ1D5sbQMQZjSxcGYWKBcOEwa3eDR4DKLG5129DKRB4Hd9ozzcE4ChhJLktOgbG5lGc1E8OJnWB73nSIDB+Sdg3EOirlr2+dVV7qsEcTD5MBO1Vfct9MI9V0rQ3/XIM6fUsofa3Uh2XC4CbPXpxDWw+oDW6yz4cPeluuVyhu7d2C7MiS/DXHAV2lGrgqhAMHPqUbl6Or/1t7DP3jRfVNEu/91K1EL6rq2vVBWrCQhITIUFSZPGmVitwVLm8zdTE7nxeBDWCURJJEmGGWdeh2yMgajMV2Oe/ozy/UP4i70n4/sEteMDTzYmQqxTc+YrsuUx5LNDc7k3WEkXwla7tz3CiwGB4Ch5cO89ZDETv+mcy0lIXnniiRVWGjdAW/3f3rtjZDOHJW940iUs6/7jcXs204Kx0OBFUehQ8WZRkzDyD2k7AJetPdipEjznxbR5YqoSNdoVxmk+5ZbToM/QaiFFtqWKGPWtaNowOd21RU4KO8kT98n0AnSQ92nX9h3RmQQq/2PtmHb15281V9Stx4ZjDpBEFjn9Sf0sfP5wGynIZp1Jatmde21i6uMBg4glXz6KFkoo5Qf1iGZlUiC5sVPSUM3QrP7+L/0vallZX0xVbHOTN7DGvqftYuA1Ssrny8+CMBZTNqYd8kfyzC/tB0Wq2AAdDcC2F6d8s4bJWC97iOVuvxxgGKZVasaOs+0YdONskEt/c1Ue8sXVXj0o2S6GB11vHLYNlevavrbAfubNi9NT09+9UVee3yiikTLs3YRAkkfm2qt5DZhxWYjolB0t20TjTl0OZsns1HOsxBbNYSARiz5LwMUYyGZXZYsgXPtvTQPErszqCuWz5ILqt88OY7O0BWoK1+3BgzlyVA1tbVN78bzyhDHq4l4eWnQzu81HALPNPI6e5lO24Dyb5MLdSLtTwnKDhitsFAa8HhJJMenmfQjSnwyog3tHcGacLQrnrKcxeXum8gDMQmCXVJ9TE3dRu7QXCFkS2LoHA14pyUW29RfYiOlLSfL2Cjsq0A5+zMrJ83GQOOp//+qeegfnQ8kGBMW+3szwJu6Cqyk7U2X9vO/Nx5PBQhttHPzWhdsCnonQBXAN5Ogc925hMfdEhgPbDDCIymNsdNHXx0BEKlFjMzcCrPz/Ya05gPOGwGzc2MR0I/LrkjUuzR5WKHHRpy6cjEIXFg9y0pQSj+qL9cuPqHdNA14gJIMyMc8bLQlUZlAd1tLtPOkMAG3yJXQfJ83sdVJBeGpfI0jo96OQVZE/cyDv69ZWgqIn8BIXLK27KRiJBaH1J7Z0LDxruUluhUNPgbYqJpZzqfOY/bEUbGNL00Q7BHkZyvwaSjAFOL0XYQYTGU5TvvzvPjqxIchplMad4zeNT2L1lwIfgnzO5BqEBJ6wkZ6dQnPOPujmmGLFci/Adtol+SXZG1OLNZnxq/asOZqfTXqd9g31AynWN9AOK+bpb+ePJQ52NJ0D/M4d7daoNdJwD/H91XAlt7/zcTo0SITfVw1PgmfLGHBPt8FOZS4fx39f8EVN9TDcb+aI4Bg5D9kPXt0dG8I7wSexnvdYKXkUBOgZEPP1/1cWI70hGIWCclnkIITXhDKYD9bLKRJorooeVmTHdyj9j4GdVLYAPMEkUsuLDi+v0Be2vVdplvXsmUkx/XvAJNRxfwIJDyCIY1k+aYmAKklUmL3G1Ca+ETQVpa2IXp1wUvkP8QFOqRMA4waV21kNf42w4fjyp3l0LAayY6mgnTJCH5ruM2LE8xCANpmkn35O/OWmfgR4gAwdl1vfAgPaUCQ/kMSi0AySNg1ch8yfvd5zH8vlaNFOFZ5XUG+j47XbI3VYFkPNybiWrsR/R5mZLnA18h+LRACVxuSKbLOZahBOkDqmqBhUQdkSmaygS0GOOcTNqfuAEBZ8Oy5gL53CE4lJI3G+eVOE+B8X8H/79O6cxtDEKI3lMGzDhCucgsWxUAGosFDKu9d/86GMiX71zOjJR4KKSch/ZJL2P2nmGmJ30alck+J07VO6V23q34QZl20ZjhPtfLYB2lEov8CM/Pcrqa9JAYHNg9n601IEfhLPqWmVvJ/q8E2cnQGGqC/THe7KUjVnpXfe80qCOjSIYjMXPNgwoFvb/8E/LyZkL8hEzAW5m3/hcAj3T47UWrCQDkSGOq5RtYLXxb/pMat8Z/vtEKXOhkRaDwPqgouKhWj9e/5yM7mKjnCdltoTrTC92TIQ/tvYWocs7q0prszs2qzcFyMPkZNOCpuGOBV3p34U6WcFoEUB3F+7db3fmsHbsirGRoUTCZ6rtV4EBKY33y60rHvT9Yw1kbLLjoxFaWlKCTVlTcILCOLz2PzWLgSb6MKjA8qktTPpG57QZq5eAYoSoNQw1/Hk3p+hbuqz38lCPWsrKdp7al7FjpJUhVew/7oUIA9CIoHHPH5beiC6eMxNXXBmik/RRS6YYbLTCRi6GCwE7y8JLkYEHAl4Juwo2AEX3Ibi0LMd8dFI4nYWSlZBvRyajZW4okTbnF7O7jqb/od7VQhY+zuek4RoPCFyxUHbf0k3FQyUagI+lxGgP1zAJeIx0JuoPQU6v7CQHiqjiHGrjs8+7tYQgehmLhgja4SqGB8j4CCLq9537hgguwUU/VYqfrdK9a1HB3eKKTnEASIL5xz4kf4Y0NW08K9CtWX4zlSzaZjeg+OnFmn2b0xIf3xK529lAvZq03UtkbUzThg9X6e5lmWo4M7xmPIl7zwKPryaIeuPabQuJiGX8VuJo7SsktLn3xHT1Rk2t0QQgoI7oTlo7NqZpgIJUlA2UURTTBgVTiRwyimoLQzAPl3pgP+MB9oKtzF1wyH9JxE9l1lG7BKvJPlzsvqQ0b5EqO2NMzT4LsGtW04cxL0ybpC2D7p9L/TM1gy7vy48/1Zf+yE/IHd9tNzHFsosBym0GigCEm8v9n1DRkwpLXS707aqlyCFd7UW/UYwE8SOOVoDAwupW3KvIPhI/K9RY4QGvyNLh8bmOKcdKwtnG3v9+QZ+9LH3epLCyBQAUA5f12YmQ4SuR4Jx6mCaGYibcE9vR5By7X8G7Fbfv0lkvNaiGvoVbTVUCgRoq69SG64OEmrImQVp4wE680DvjaVChUEZ0HeJ1rWEVBMHJSLSx7YE/RLo3yJDVnXFpqBPHrijN6sdO4jS42oOMb68rVtPjFZASjRsPrf8gc4Aq5qZ6ZXEVFo+4HzW7zowsd1uL6wkTez/dLtsOGM/8Tqo8cmpa/w/t0aAmz+GIrqPuAr0CQObeG3qceKHJWlFC2Wyf41q/sEpweRsTt4cPQx7kTCZmiBuFNCPbVuYJl4rJooHUeHs51YjjXbQ7JftDV8ySl/T2DzZrNS07yKtg65gc5M4Bq3Mtr45QWTvPO4lIW3VOv9uX36bQiT9fUAZuRNx3MNAn9qRpngcbRJBJNtLVbQnGWPirU3uxz/i24KzpRMU0dbr32wxgHpMFR2Ib86M055I+9SMbSqEMQlisCtxEHERl6zN24Nn33DuqtDUB09/m2BVRigIuvDYKBoFUKG+1AfDOnDHQjx0Y4NpEKtngQfLMfFwK9Z+/TjYwntwL4Hd6faWXzGvmk1SWzNug918u1PHULmHZY3H5pbm8YNjah0VvAmL/p+t2RyQuaQ6TCU/wcPyTxygu+k/fU+ZJTUiBBKhc+1OcgOinr5dKZndayxcjnntOLrNjKtMU/kAqEdQ7wwEC4ejaVRyN9e4iRK9kngyYusQ/MwdNungjGNpXaf6RKMKilamuygJTbJAd+1cPhgm+GbWqrdmbHKaMvztX/Y0890jtBO1YmoDF9bJcLfLdjNyU7OdCP/oT3C+bEg2qc31gh8eNM4Guj6O+uSISNHaHzC/UylNwsNu6NaVbs3it2hiO8X37FbLILtzF40BhE73lWjbEoPZ4yhrCALFfq3sAKqRmP5IyiDHsl00gGeTM23WPBsXzVRZ3lu7EgyVvgw+2/J8tYA0lnxqhFmlzBLSfG4sE5/Shw/u8dXd7bxARP9Mfwcs+uHY09zFCEiJzqsfdBguIv3FLXoW3GTVgAQUyBc81CNzYfTFIkrbSuW07jt1fBApCV0Vog0/Q6W23BJ+ZHB66jKQunn3pTQy7YwDq8VsDHiX57Yg+xD1CW/Ci/U2q72cPEZSy7td4qv9fZs6SoIQdMLTDok6tkffNdkeV2hUxcX5UavaEZ5y4xuQj015kl4VLmsHQsbSWRXqBZDRCuiqgv1OIJwXmM7In5Fh0qlqBkFxFg/YxFUVicPNQmomb980EZOJu8h27sNxhEPMlFOidoNpxbbmWjUFDprUtVPz1gKtlWdffsrATLFboSyvIPTJzGwIJU7M9ZuEbS5g1mQFIFrWzutlwiu060VP48oyd+5VpY5IHhSNEMuLtqXM7Rw8uGkooElIhwiTQA6FtM5GkVHh+xyECiup02vEUmCwUAtobrxTxLWcuo6nHt+1GJKMb8MrEgSZbeqOOrgWr9PKSEVYqapRO2N9ylPXeJYKOetm10z3UDmJQUDKkLEQJm4cUM51TshntF9e+iZ6xxxmR+9fTEZAuuDK/i/7SRt4/3EROGMswjQ6YuRuY/g0eEXPURIBw8xw3flfdsjWwZDAOUFvHurLghVjmtJjx/GaZg3QPvoorzs5u7P+d4Q1CT5a/mcExOLYO5sSBSdDEfQktkSaoGPjYLVWhcgWSasurBG/sXXFs/4I6YYbGlDQDv5gb5B7aBm5EZBRBEPzu5h0mYTDqZ9Sd2HWwRK3yHp+cygu990T2ClZRcMaYILi76aagGS+5md2YHgsizLKsKwJbxFainwuet2aC0f4+C5nFOXpA76R5bknJQNpvoahwdYJqtnu4IFgPubHXrxhiijzKxTtEeIL0fMZt5ebYMEM6iwBDhJQ0TXdKb/awtpKYr9auenr38vJJkEfzWhSwGU110HxpSuc8W/Tn8SdxXXbbUkmPM60NTLrOZF67SOulz1ZS3P796Z+Pas5lAkzLt+TYh/SFRtKtkrDT0cSdutMtbTGa6k+y4UMg3E4LUU/0PpU20Zm4eg2mvgHZ7/ocNZbNCLXxq2vyVpXQ/f8WNK7e2yBy6+mtljLclSSn4KBAdu3ofrI13wz46wnSr5lS9IGIbEBGTV73dyHKx8Tgq/setpECqw9hu/vv+ld13FpWP85+T+3vetyd3IjkWg1cQiK/5fQjO2Bzq+mcc8x0wRhHuTNC+O2COFowOZP/URQ70FI3+Wy2CuXltiMtB7DoP9ccL2e3fjmT9mGAW+uxl4s1Y+a8arJzJK9Bqg9y9CB2elmp96S3iKf4Cvr/u+rjW/qyjYyOndkFFq3mAwiECEe+b4KfWIUgqG5UEff/Dn4pGFI7KnpYk2s+Qc9WY24na6zQBVbsO4IRA98uPTuaL4j0C1dnhdgdhV1SpnSWHjvwj2KWMoIck6ejpP1ol9rodYM+ockOOcYLcXB8wIWAg7Q+hqmKOg5o0G2a85m8D2RxBkdywEBSXYirkNvkn/FO+l5nrVTu9TeJWKa1naZo/rhsZCV/RfTr5QbMg5s9TpkodjlRXBAtlIvQnUhd2uS93cMgwKfS5KM2maE6WCglL/cfRyuioKxRNMnFYqlsXJ7T+Ve6NiZ5oh+mCXhsp5bNfbekRMfgSaQk9QHZCXwQM4LVStgJl0Mi1j88SVhMwQ4oYim9L1yEWv+PRgI7+37GS9LMGPoVU7XE6FCx34olbI8BMEPBUKHqLpKi9w6DwiuEQjEtAQOrCAxKmTD3wOP2FmNhGoS42HkCmDwQA9qZeNw6bU5K+lUlOVtr0xhgiiIp/IjK9qc3JeLJlMV1rphijR4QGyHDlDusUZEhMp6p0AMdE9fVCyomHfKW0gunjdu6M1TcGT6MPuq/4qwT/p2Gt3dRloptFofPyylzp+9EkkgTVsaQk7UfBYVrVb8qv87h3KzlqzZKk7EtDPQRv70gcpfZkZpso6wsMi5pBMtSa8zIFA/MQXmqoj2ymiLTMnIs/iYhFKrGvdPAY02VaTLy+17NW6BOlGL4rCp1w+T/FU9d29DymUs+eg12C3hhuMvkQVD7EHIlQMH7Aq66Qnng05K+nkUDQZ1haO1Ep3QEnU7Qnpr8Dn79xLoBj/iX9nj+ZKjspu9htW4IiZiYOvVAcYIsNeaXsORCPhc4IVnwQIz9jsW/yWBFRRKpZw0tA+zfggMGnM6yCJF2c0BxHkQ3Gn/9eKNQtu9b32LlQz/Ek9vN49JGb8VKPB0n7XraonHLgX+AOvZS15K+WmeZejGfniSxzQ9vvEcyVi4gu27kVo6v4dLV82Ntq7fCtu7M0iXeOUaPVJv/75sxdR86+52IhjzB3ZGVnoQiVnm2L0xD6ATPTH16BTJa++y+fEkdlePp2OVjRCCWitZ+SWf+UeFRvdnRIG/pCTwA/CuISI0U2nFHYO4vnx2pFdwCS99EPrwp9dE36x6eT7TS3G/Szay4kkTTGQy+gInEdx9xJkjDFdq8wp6L7Ffj+YNgO0SWGaD8XCjnigLAu5IoTnthIvvMpSfdKt8AOa+3p5Ep18TulmXsf1e6mwgH5JLszCwiV23PxE58xqED7Y2pm/KyKXvDNS9uSPSBCCApP2xcsBkxi+EyrDPljDlTi3ZcZer9ZCJtBjh5fEHqnzyv60FoSE3CnCCoeNOkZ2Tb3iJUh4Tf4ldHUPA/25Gxv6arZSMiqYNSsZUjiaY9p3xPsNPRbyFfi7qxsEwZBOwDvUOMc1hC+GHAOi2zovSL8up7SUoe+Xo2EGK/6UqzUOB+whjmfrI0fZR9csA94V3Sv5SvlR0Y3OWiwPxgpEZn1OVl6jejouKmXaB3YoCi1K8cC2/dULxSXpVY4ZxRa0wpY4JAHJMttnpeWQiO0b/q8zBJU3PzQLTDn31DqASkZBDmDdidJ+J3vVMeU1i+LKqqS+PFEdf6E8Sp+1TWFsey8OVZwUvCJAyCn4lzITD9N42GGAFWfO1SAZnN68G2UOOH2uhnkv06DMRm+3BL8vVInjj6vGpUH5fGjHGBFluet4WWjAoLN2SKvjMB95SCn+RElAKI7PS/DCRIAHxh2DfIWLkQtWB6gxhKUqjme68Ulu7Ft7BFY9d5WeQNJKNXzZXBsueJqhHvxaPJ3N9O3yDDEZ3M6oVCuVm9TRbD1cAb4M+m1EtLJEryuX5Cu0cp85TK7Ct7MJia7vnm2EHCnwPYLbi4bz4Ai6+OgbMnCs0E7hOTFTIMgg3f7GkxT2kQzl8o/Zy6xBHVHmOgWYbWzdTJFRLIjYBpmv0SEUynuJNWU/WO1s9D66938pVqKbY6ktmpAE3+fi94CN97MZ2sG9I5EOIXcc+NDhoPaoxNjFMq4nd21avUrbRbGXPRkcEUrlgUJwtqD5xjZFOLzXpBhsbyR1t6Nf//hJ5E0+oxQ8GC91v9S/ekoFFUOw/uyS1k4Rrz1e35OtfezIlKUql/4i5ZAiX13PrqGzaaBefzG1991iOZcdzazQG25wSasA/CAJQN6s3bZORPIUhIBUdvMghc/cwHCzzoGgwWtWl817+KXinwz9CrvYJUlKqlCgcg2SPqdm2GJqGzjVhHPrOxBt1BRnZGAUyLGp2OQ9r/1vZ08T3T6O70Zqm0XwM+59uxgdvLGVAHmftjCbhSMU35vbaoNu3J/GzuYS9ydcLwRMG1tzpaflLmbEsJ0K/InlzQD07ifXznrHB6q/BbaMbIWhtM0zJ3pAz4YzaSzhXzqYkk73DwYdogibPfdQzumnSq7HENbSaAtiAQ9FJia6YF1ck9Dz+iprIW7hA9Ism12r+VCJy2msbqqrwn8vT6zJZtpgGTJC3nxKyXxDZoT66JvGFoYyHS4MoFNbXCVnN8LESY6A6wDo0jXciwBLu+ieNIOvLZUKwfRdwZ3NYeakTLM6XzAFd9FLIZB8nY4Zu5+ya+r3Mntwmix5lovEhh0snUj/6NeV2pWhFs5ghzTICx+fuXG73DmaSMucmkBtcvFvLL144C0gSVvAvAiDd4pYDNrqc9lfPel/crEyVvYLk5jtL3PO7dzGx7hgdRJKe9AKva3L0yEuYg1HkMedIwValF8xrCujgf1ueJ57dMnl0GyoydtEIKS3nF3VHbhdGKMmxkbTSa4Uy9oIBeCbQMdH/vNn+PNh8p19se2CYzsNCTV2mZVHj1ZEw56DhEExccKkz4472OWr92AF6FHqw66/c1xYeRslIxjoplVqzWa0tMowgcuV1LS4BGgGeRFNybTyc890XAFAqF9XwVrnC9THCVBNPxcycxAxM0LRI/XrVuTox08c+UTnfqelbKEuXY0GjK6rDQIkf3+SwMBIuDXE352aDh5NTA+Xc/M8RL+IPRc5v/cKDk/mJdWzwSzaiSOJbxJAohD5wEMAn+ahxUX5svBJ4RVVa/w2+ErFjeoP01CPuIE1pFYBs23bJQvDSBmkG8kNejAWYWoZsMxkmtp8jozJs2zMiTtfeEmQmGPa5jFvMgyz8cfMZJ8+mYxcMcRUxsx5UcRtMSbcJr1A08i6nYHqOrsYPiKjdSfvsQXudOtQGTKdmmQSaR/n8Sm0Jcl75ZCKqdfeqDdomceqmfLQ3NMfkHtJ6vK7yy0gWKEXbBeJRBNc8or1L31BomRYCG2gzj2EUj6xcTXznYJF1qudbrkW8lHY3WXQkRhlyWKOV64pwL/8635sVA0/Acjkp4/aFs1ohl1LfJUb/gWQJt8FZHBsRBZA9ph8uolD97uyFW9blMkTOJumQDqjvW+/7ul1gTGKywNuJQVsbipbdi4uo4ZDPtzBcPIxTA4Z/rn6ZUQJIKo9fnulfy2eynF7oy1SvGgKaknwmLYUp+cJbmAz9jQ+ypB0b6t+WJo7In4O78yqMS8oGrCLYe6tHsX12VaUNwcByk8w32LdKhxgrmoVmG7reD5wu9gdY7o4tjwByzx2/PpiTp9MTpVceipVYaJHgpY3YO0iJjB26GTYQt7E28HgW5ikeX8YdKLDTYpIJ7pahJp4IYShweFZzcdhg6PotzncL/7Ni8Wfr/R1Ov+Yo4vWVNU4J1AgXlYLy7kWuTYriGM9tje5U+F4zVPTEiXd9oXbA6vqIL32XWuSWw/O1xDyQrf9adqbiNGlvRSCZqvdoJxBEiDpA45ZfALDY1RLA0lSLicNij7AjD1laVkiBiUhsYITT6E1MrOZRWb/stPW1prrbf/zTZNnwCGFmgHN7WMPPKvmKfiba1W5p7OTnxRSRbJA6nFCv6qLWAfMNuLyi0Wl09aaVY4+HbZufXezdEWHUdJq6YNsfxmDlVawJDbJwGA+muDIzTz2cDg4jbWovcxiXOxHvquhdBI81NzUVlPkEDRZp1USyQIFhys4+x94lhbO1kJCGP94wmTHX0qq501suxhCrruo4Ghoj+UUbUSkWpuH1ZmJ4QFr1VqFX6wO2isZXTfmAnJ8CerlQIr1I6WrxfvovO0hlrsyTumQCFIpj67EZav9i+R98FlqsusA6jPI79kvtQeQPSJLOCAbAuXYY53GgS9WaLWA4S6hVmUT3IvtFBhT4+rrrZf5zEl20BTVRicQREw24YoUO2egwKoQwaRjxkfXTg8nBEznBGNFHf+PVniRE1hOvHfHxHw65UAmCkUU4ckq/NlCu3TfQyVevQCINcdSuqY71f9HstFVTFEy17loK1rWFgr0TsdNJYAtzwzSJckizzRhlUexi+clkfFapfxIo9qnPqpYeVJk34pQ7AW7eDcxpfMr8jhnt2LDam7AqFfZ4ahIIGcvevsExFHnl4pr7CbKC2Y9CqYuBoYTT/rJdTZvcuRBC8HL4akyXhsZpD4ij5fq8pNFQ6FUL9xrAFeJKz2eTP9sqysvlJQY8ctn56zPcdDJfbWm68XfTVSX9CrFVEuZgJcmE2mgt2dkW7awXjxMOcCnIE+/YdTWjhx4PECDfOjHmmYPjUliMyTwgC7+3iDvgYPkCpDcddfBlbhS5vqQ5vJ5GqH2fE0u+D06B2KBSOYlHY1ziSuTPyTvYkwaJ3z9Ar6JHOpdBHPx3aMmEOlIMUCcoG9DVZAqHWvW1DfWnQrUQ1HOKKrO8nWqw2eWWOdKlxwbohJV3lCyIoVmutLi9GiVw06qKJgtTTbAwxOEJ8mXnUrxQCRai5HfngOa1GaUc7avno0drX9ZCoasPJnt+FCoMIaVXouTH5smqAXREDLh7ZDYzes9lW+Q48makYhVu6LIGx47oz3LNRCe449Cqe6K77re5etr3jfokWBNH5ERmRnwx1dILdsPu6pvpHIfCHAcV7qMkMeLaJ3KAPf69Bo2p4zu+CntmNI4FcXjYEmPqOaIafJTEzsEEFSqfK7SByLM2p/dv2geZIXm4YC3si2HWekVqGvS25N5SEyim1FOLeP/j8MFE/QsuT4l8yOGYFTygykZMtPOYtB8Gga2ieYSO4XZ3T3Bb3whEkEyB4I1mZmVBpwhyAM2JzwG2sxrNcLkQuwqQ3l8BWD3IIXUfsSwRym1wv1FIIAEbuV5g74xl7rlWxBXX/4o+w0ayoOyHkUPRPy6GOrA/ozUt3AvEOT68Zk3QT7w2DGjcPtSNqb0nc9779Hgt8CiYFHQGgYAdhnC01R0761fJHF9j/JfTM3m9JGwoktg5UB8r9e6T/LS6hL7e1Fd5L8cJTtB+6jb17QaLFa0y9CF6NBmII9wmmrhV99soP3tp0yZatd9tURCKZtbQhIlb4/2ulqE3nIYseFrZzzvrzlRSIeVd+mHyIzPUdUAhPUfO5aHoJoKF8pW0WOLSF0PeGKrkHa2/f7DqxvpJ6xvn90EUlFHOgZASlbmvsiquNpPWT+M7I6N4LvYZE8Z9Mxh2oIRQItV6F94QlGEMh2EEUp6ooyWbLxAje23J47bwspTKtVfBP9nVNXWqPa7UH+D6EYochxymLuOnPbWs/lIUcTD+BItsaNNgOH4s2hwMmWt7bOd57mbvDwtqc9CTmHyS3DeUvqsIDrmkBqCXUSjP9IGe6nVohiAOqI8AKe5E3XIVOursnvZrQh59qIDRWQLFYMGsRTnZQpDpqWZWYG+MM87DdovZtL/HoBdZKG9QZCb7XzHklBBhFPxaSCJoxUgHgmUmHDK9Ef5MVCA1sgU3C50v2P+V5j4BQAkVYwCtUYEv3o6DAJhmcJig+4POU9VHKSINt5HN14Q4/rJ7Vya02mpHuyfmkSQt8ISp3LGjzAFvjupEl29stgDdXKxBOOUJdwh/MSIeZ8yotkEwl/gPKo7hniDstBRb20ZuigAXS0aiGhhwRs4XZWeG149HT4LTMZFLO7G/ZdgzlepUEMGOeIrdxYmUkHHqEozR+dGcQgm8TLTivJoJlALtS6FflWyKpvz4+mDSOGcZDJ1YU1rdxVfehhfVxYkqPdSdiisqMINOC2RMtjLDFP3s0boouZrmo3Q0N4h8DIa7/4UXFOF/SgVuqTzqlAlcxXPrZeADkAjiZ7uA19N657tl55yJISYg5SYxur6j7X2/GGuDCoji1SWkkiamOvA2HDb7PNx0CBEeIjd9bbAq3HAqACGQ3MrxumdHvUNZsPJ277rQZwC2il93M/8p2DoWlC/eXlC13ya3dxgSQSF4bSoJYCzedJlHe0DgA8Z1J6CruDL5GVKUIkbkOojRPtbIRIb7GsObgQ4FNOAyxL6oEL0tq2kQMnmuDG1Z8RLL4LxHRO3NsqTpl5sJLyAJVZn3Ty+NhsEBPhFhSjlgKQXz/f0OlRsP7cAFcsjnCZIdG8zB6xYkgBM6zh4J9Xo3IiJZbY0TMKhLxQ+5QkmwOPVHHRknL6LeZdXgQPSsrPzdSQI5UYOGfAHNFoBnSNO0Smo80t2vyMIPwm8ZiU+w42nMqTnon4NGGvcNoSbKhY70VBH7kpJtCQSeZ4l9o2rvulLi4l2ALo1ix8MI1rBpk49C73+pP80s1ZOjNDBbaTUxyEn8o2+EVitHrXF6ixwNqy0ATxpaqpEi52PFdIyEv+9dyDckCMVdgeXiSE8rxUs91s0MEN9lHGpKt5o1vhUG+NKSeZZ0tGn1MbqIcb2e7G123bvT/ZbPaovM4IiN1ln4S3wd2Yf3p5ALNieaaZwadQFf270cnCgZsQcoAqJTnbeUEsNk0lillpSTFvIqlIrZJymKJEf0JpRrnAccwqf1tet1oDSDxGZuCUdBSXm/tuQ/XM/oWcX22R7fug5YaUiJblnJLE0Bhvwnp2j2x3S9nK9MD8uKlRFrq1iRGNESrXmndaSbfcPJ4+Bq++p/C4Wfe1ejVuSdLiIo1DOBtbUy0FUL2Ox6FqPYi2pFuFtwUx/hSyzwqLhhprLiz81XDziR7ITulHO8AwSE5WWgIgEmAJl6XaOyT43YSr8AeB5sQyiUXZTVMXafwq+QlFUO1e2We3kUyAjIhEs8zE3uRdefQJDMMVTe+aTGmvrGB650Npmor4AyTXXK/Pqnjc5s+ZxbIcnU5aOMk9wD7pCPiMNlt9EnnNPz+XDVV/OWChQfjcR4HWywLHF1pv5FvIF6YYS6GMCrgKtXtTpmuATUXijcnINqoum84Jp8cLjERppJJgXAw/TiHTITDx6lZoWPlXcwXJ4UJaqjvQb/RtJ1wKVc8H36jSniywArUDX93Ms9Xy98uhzCzFX8eIoswAnvwGLmkjTHEEXH2SxDp8OyLCneHbDdpBfTrAfJsz5Api3wlSmT1Jh7+EGXeFsTLKPW5s23q5MyhppKNGoDt5LJEH5R01lT5sxSxbaK/sjz0JZdo/VFelJvomGBpAt6a4jlymJ4MsRILshf3iPv9BU3xAICEdwRCxlM/af6rd+Do8a6OGM1B/vUkGkoAC7Ojn/v+hLMXDHwkU0HCNAjBlqW21hlpYVE+B/XI3TsyGcYJHHAQ92VEUiwR40G9fG3Ta8F56XaL2iGEtVVSRuqZVOwVgtXRIebP5hNNxxCWWChACbCd+p3mIFi33XrXlEsrlw/IHGOJB0ClqM4b31HkaFQCZSAxm5LQLPq54ZPj+E2zWHqKPxQEwa+bZ9hwuAEv0WyZXWTQ4m0sxeQTRbs9b7za4TFHa35swjobZNrFAWbK5Rkeo7MF5DByWTrqMDLRZ0gFgKwMmlNXIE/V/qYJbWSBNcbsBcrgbRau+nzykQ0X27PPeO7p1Ul5eR4KN1WlhifYuNDVsLMtIxQq3JUMmNGJajwLfflRGg+YRF2MHPyXE65n/r9TwRTREquEByPURaIwe8aR+/pRhDgLzyw095h4acXzMkCfmK9xZgVhdl/kQEwNe56dVbXaeVUp90i2/j76m1IlmL5hhNO9BHrUfVgZLkqe55szE7LCOPTEhTs3GAdAwHweo8wmgci4B4lJLVqk6zShs2VFY90JlchYzlwtlg9NNGbZyVQUrWrjkD2oDcKogbeT7pIhk0FHxgt/oRmlUIzU10rhQDbIGLTVK9efE95Mnmq4UDB+ZjYXwgKHgC3I7MJcjDfJy9NhQZLBLZOkNPpoA9mTlN6Zu18tsjnhPkq+Z9AWIlexli6LC47pDVer5oqJqpzxGvMn/LsqDBXz6eQhsqBD0GRX7phpCtrEIsPjo94q/bb6utnwosx7eTeeZ0+IHHoZWDIDhAToEWbbL9cA3h2qUSBd7pDuehBzX5oXQJTYAxN7amh6w6fjEuPpJ9GNiEdl/ugKTe8tZtOr1U/n5EM0nliPybAKd6LOyg45Rnvh5vNdcWrr6m/WzyeTisiAqNqJtuhJoukujNUFn4phh/jbr/hUGGwquYQ39/+NP/MtDfuqvrYmnD7b9bApbnMxq3X3zm7zYM0RWv6N2Xq8gKZFC6pLjLZ+S4ecUt4bGvf1yf2Gserx2N1p/ApBjlHtYAehZMvViYgwBI9XkSsvgkNLPDToGbKq58t9Usqub1sxZPW60N/H1iUbCve0fQxUEWLlYghOQqlBrJARyZS/FOAT4XgmusZlM9u/WHYxlXCDV6a6Rqg5XF4nb9bkv8iOpA3oKqMWwf989IGoCQ15WeWY7fZRxwk3jUY+nGXvy7IZc3N+jREfJkC0o5QSO2sFM5dG3unrDxXAjHY0gPgcjjtUrg5EbBVydiX/IRBKe24JmNByJmiPZH2CMsa8LNfh4/vwuOTf72FGsPnJxhFYDPbAojPnm8wrYk7y0ES5XXsNia2L3svqDd7079sgcMc9LPBvEZDP1l2PyQAKmippMX+Mycn/mzeuC6GNY2C2z3Ms1rxa3nZ2ec10YI8pqgMMiSEhtueS1tEiB4WfMfAHT9D/aJd3VME1K0+998Nr9AXiU1z+34iHn+FlGLESpsDhlgib7CdoytVEaskM4rGCWV2m/Yyavt59ukj2rQrYzRvgIbFFf9BRxHf7yGsKbTXn+1DV7PEcLpW3bEnkpZyvbPB1YCrSpMJfonkr+h6dNzVVxqTePGXJ0fYG9lPjRmOHqbE/tb4uLvSLM59Iq6RwV0Dok+ggLsQK+oEkqYqmZZiWenIbvr7hMp8bdIXB9KIxHpFwclbLxnaiyMKLo8gPA4Jn8UfONjf0W3BkpY5pCgskrMeflzDPnH0S/1NCbhzW0KYfh1SQfOoN5bsdLOptW76eENj9soqZAMIIWe9+gmobYlOkNFy0pC4Lt93R8L67wouzencoqDAwUD8SubcIi8HB9T+9r4frDwHl2BfGt3R6MlouLbLIRKlDy9bvzZi/RlncGQbsoD3GdvTC+eTiOm1TVsDmyjtURR/Dsl0kXZPVZxNgUimYZWq7PborajVGpbzXwHwx6ss8qxNDa9sDOE1KWd9+j5w19KD7zdfNk5wMonLuXaYkVlXOjCJXyiHvxg4a3L3HkeT57ILXoi8L6bChKXd+O6glzQQKzF1n6gSw49MQOwDHhtbdmvQGb6hr5v6ZXOYbbyzdOesDf+lGscpZfYyvkcjaQL7Cr84nNqlKAxhpZSKdH+XAj42eL66oxLmwME5H6yYgvspknQrv3ofajgq+ujhEHZgy5vI/QHSxpOnEYEPb0rKISRE7K6IXrgP4hkQQUVoNUKmX/ElPuMCpfLR+4d6sAsRo4FwWQcsFpVb5XF3c7JM0mywuQ+8FK4WkXIwZ35D6nTeZ42Comk8r2PmEKJ9hqXUPyyEXustO7cwELP65NL2ioZ89AWtDjucelNNuhom/OCeQismX3zdqxWiDZP5wWVsyuR07yoNB+zvojSwUJGKseeJey8UR9OShCKK4LhttRamjXADJg/vn//6sN86rIoBnIcf5V7V/Vb9IuV3xB3LDrawE/DHxGgxJnvD4TCCQLGIKNI+vXlnkMlBusy8+Wxv96LpvhFl7Gl4Wd0Qa2X9yGWQTK/0hZ44HZ5ugeXnar8tg+154YftdD/T6CRFkaij8CcH3WCUwwBf71rXVhE2kY3xXeMw/dhG8uncrvj2SlNXpcPBbaInESkP7leDuMFDvDy+Mjxv2YxugkrFlphWPxpscjJFlwWSFUOrg4AUxriLrn3DwO5aA97DHCNtbkegnhnMz3jBVLLd2wWRvV0tH9DLw7IfNVHN/6Whz9vDWR+0M0NeJdBBdbbsU8XQMA0EQXuF9gxKY7IKdO5aYTD/JdxYaJ0EE1gPTM3+IJZYKFMFGjEuaCwtCDhl3oy3xCX+RSXEDfEyYWrKWBECIbKhHoyHtHyToiycr8VYk+u0qPtFQ9n57k9P/q8Maw0+W2V/mrgseq2Pjb9Xepz4tk6SweiWSaViYFnGVXhz6kHAUMju6iu9yFKa6SzhCso/ZEHiZ5T6VxZsPdQq6IhN5K8KNHprPrbBNo6/phJzdYB7b4uCKl5+NRdQLnrCKhb6IhJFH7JN37P+bQE2RNevAkDrim1OWCWAfZPO149+HQ+e+zDv836XzxPTbMzoD4YYIPMeKVxAsFAdKCPxW6q3fo2RIFZxibDFWa1K9dq0kD51iLiTfaNZgfT5nKBzgRn9vorW05OwADRUtzj9pMs9ekgFDrrQlkUjGbANf5R/tcNPac+hugz0ZkQ0UuD05XeAhMyrFmswv6pNibND8QG2zbkGB5VocrVNly5MoerGDh41YFW/1pe/q/zwBVTOVIJSG4HK0jJUktWy7hrha0nVZksNQzyo7ol+KVracC4NDQcIlW8HmL4TWY5/c51eMWDgjwswkdw1jt0k/i4eNJonh40LJa3ozrURkhIOtfukiwqCO6Pnhwxm1+jcdvYfkdiz/NZyjeA11X2E/kMREj757iBDcqnv/FjxPMqb66EvSLKJ2I2y/MZDeEXVOGcu8Pr2YeU1VYSCb0mJbLh6yhDDr0Su8sYbg5dxRa5HbWoKdfjt+qMOiiuSD4AF5VXYWeZCRtvp0OBTlUlZ5O64cTKp1eKifjbPNTkT3dHykHOe6Bh8cX6SbjX7qRFx2T4oNEcSZom3CkcRiWikt3r6X827h425V5mxmeBYYHoKOSiLHRMpXy+rqirz7vORulQBq60WLcyYnqCEdW73jHTZhnCE8mG4Nigx+XXflO5Q4eRB6hQhg55unzW/1AC2jZcCCS0m7jps+cueRQhsdIeaU522bEPP7uezBpPHSfy+al9Zy7IY3BJP8t1hxctG7fTQKsm+q/R8bvsb7CmlZdT+ez/1wJkpld5nF3vjSIUwPkTWKp4uLTFOb8RpXjSub6i+32eFg3b1F2AOvBuhe017ux5JuPehhEna+JV346Tpo57Vio82wJ3L7VR0S1XnKu5gRGfWeSegrLueSXnIuG4Ybkg2Qb9mb0WkkF53xUBeuYiq7b/BrEVA4XJUIuAeUJB8BfJVuZk3b5SxXAwt+aLs/9/0XqeI4hrUPSt92hcDMr2g4LsC2QB7sD2rs2Hjnrcv8crg+EYC6RFOXur6zcALjbZcIPpJq1ky0AW6FzntceHXjxs2OBoVbH3FPMLOsEVtHjdoPVKLj0v4nDtBL8pqmT50c9Tbs9kys4VEnVRK0cPgtGa0Gm4pHadPTAgc1AT7024PmPNLRH4/LayOde7ba3bTE61mWQrH00s2uBqfK5Feex0WOvQA2GtTF+BS7eIgrtaf3EuZNaAFgYKIJe5fKhGS2QoMSQc92RgTVIplrEVhSgbiPJlrS4VxbU0xZOaWMFOikq12Si91HBQDISgYq2DXnnQJr4sN+YlQGxIjEk6H03EYb5vKLq8O04D8higLVmO1uRH2BnG9UirFN5K7CW2SuzX8C3fPrKdMCPN71FjMjJPdkEFz9QX5/Izebp3ceShdJq5n7nXmyAAkN/HhBBcjhdxH6PKjoAYprxTGhyTlYE+5QO9uL8swGdj3zKg/C+m1yDygU3LDFM6TetIYCPwB+oE2aAqpeRf1U2sdUMTT/N9AK2T00FZFLA0w0USMLg4Lae+zkIGXgI4mlCTIvPfoYzqFVkRrL6y8EFF0SvlnNuJBVwY3dSaXMgnvZEkikMAGhVmCzOyTjwMvSlB4WoRIz0E0y09+hOMMO4GqcNs82cnFVltdaiEpZK14Mbg/CtXYSTTONC0P/n+zkBfUjn+3vvCfS/llxhcuWwsvdX9M4D1qg/CiZ15UNYIw4BL8nfivhZCmVIeYtxBcHfGhgbO1M4/+odkCnGptx3l1VDQ4KWzWWme/w6ITd+7O0Lx7TieZLS2K6hCrpJfxw88NHnOB5gj4/baxyRek3Z5dmn/OEbe6LZJEJ+YgBbEFCuv54umuHElXJ/aX2KjxgaVHaHtUH3wmr0MW+TPh08II7q64Ao8zVsJZ6hkAAVfedoRPyuhDq3gwefXzDgJXoiviZxAbHMm6bfCly9xcD2EsFOemzLxADDUrQ7pBp6zohDiypA3Uhv1GowCeRh50pNiY/F8VXGcxeUDfJ7Idu996Ugicodi0Sw4CteVBJtyohNahCDxBonIivkN/DlgvVyLiOHuzmCtyHseqB7qVhKZWtcmxKlHvgwWG/GWh70eswqGuLC4UuVJQpnP3K/6K+24wiMK1FDsN5IKrWszxPJIAW4hBceeT6JHLQdfJDhXeDH3fGhzSrnQak8CGn/Z4uR9Z25vbKH3UkgpZoLC9Np6IYlao4q43aZLhoVEAwLHD9YzZ7K0JoI8/QgMjdQ3u+1kie3JI8OyrR08HNPH3m5dy08lC2dQG/nIaygDXIhC1RD3ihKhA5ffYAcIWkd++J8sEdIa1eNKoM076tKNRUFZyuR7NBj/71Uis37NV+Nusb9lDXgLS1sD2b3P9gZd+UV7y4HlJwT/zgCBl+AMUXHkkGfXw40pnO/yM7W8CPqeLIEW1BYEa7wtZXLtJrY1HhYE0FS3VHthaYPnVwGS+gPxbEtpd9cl55tb50jqOTJPx12ExMjQiuUvmP1SL8NmXsuGac1h38BAssNWWH22lU3VRe67x+LkrJyoHbdb+RdeiZgZGH7rKQvO429L/Le5giKVwkKimDJWKou9OD4jNR8HAsJxAjEF80nUDcW8Q65i0X0y/sdFEt84bOECTdqw9G4vmG0Ye1tt5Ju+Hq7MAdciqD/o5q6xwsMG4egR0toN/Wi9cSgSOHicevZf8/I+3FRh/ogY7gu/XsopamC+Sxik87i44hZ2FNNfusMZYivG31HI8P+O05XUij7FZnvQm9GQK+QkGzwsXqLqE8UK/vZ942J3m5OHR+M8wbuhjUhI13Cmfk6mVWMWYR4TOJ1MeUOMONvh+KtpDILy7fePIacKFVi/wkEqWfQIZeKkWSeZLgMby1K4XnS1iFm0FdgpBhA54HCvnKowdwBsMO5OkrzHI+6esY</x:t>
  </x:si>
  <x:si>
    <x:t>DYJp/0GARxz2hiXp627V6lcmEY0AFhCFkXhZfKBZjXrG0wwUXbaeFgVWgNYwyibVUsvOONoI8izc7EFlide/6SGzUlNeS9qJ64r+YGwg/hundezCKXvh1b0MRkr4JUkoxe8SQlfJMqG8+9qsMT/bNNRTBt30sAH72PFBErsLjV2ea0SkUMfjUd+ygSI/wmZJ23Q9TcwS5S6X0+oEotLroKuOSuXv5Yg3I8uIxsDkSG8fyUQYfwR+GAZjHtEsxif0mmCSen/MkSGpEfH4xCYNYPelJ0y/O7btJ9+n0tBoK6MsT620uhC5p2yvB9/WkBblVvDz5j4YP7L34uU3BxRU5qZ/234GpYblpc3q4Jej8vwit+Bu0HqhMbBvDQPSYLWYvjfgTjdWIQ/93avAAhmNVxtQTw+hxf/hUPRcv7GgyBBJ6B37ZT6+pDPsdPaEm4Ot2ICYY9Vly+xS093PW1Gub/wXAAfkZii2dLe+D80ewDaUOdgAEW42Cb7OokUVlFMr94UZBRmCDcvLRwxtw3UnNHPn+B+ns9Yz7N4Wb60Y5cjaIRE31a6pAXKalCd2LnfYeY4muSeKSg6w/b0gbof5cEJyVDr4j+7zLsWKol49AXpwHtsuDCRSJrxh3GKGVjhbkgQqIid2IdpnEG94H63dpMAC5+/5C0con7WZllEYqDYbXkZ2Dx8K+VYboZ7IbTSIFxI885oVvIE0eBnerWO3UxvQpPPbeGbo8NO7Q6GfLtFLZQi/hvTBUQidPQZoMPr5cDFa1/TpOeyzPIMv4NL8AGuPdSdC1pIv30t3CMruYWGEzCHP5lImz0ca0d0pU2/SiaqeyltOoBUtLlArp0UXUu2N0MKc06FtVLZvuUsrdytMVPQxN9R6Z1bpGc3QGBREH3sEuIl40r9+dZMr8YocQcLBuJh/FG7LXygooVDAseUL/mur5+2ZkUgEfh1u9uhV6RN7VBzKYpLxgfJr+rpYmkJipUZXK2JjAhrmTyvVBbknm2fAWw6uHnaZM7KuVPmiOOSX57fCB6bySpf5I9X6v1+/8ZjllJ7qfxzzkD9LkV8U1MVZwLyhBoe1ao5lwjHOF8l9YMl4P42fgworUzZzn/h1jS8ATr2/r8S37hSLMQ11on+ZPswOWzZoXwLnxmBwxxvZuxM46NILLueL2bzNBZVaYqIdOzI1BHQhBNFAQqUrP2ulczQF+uVT1VVKNy6SBkPi+9iTWEQBnoxmpQkxNxSBXTa9L9maeolhc0L6m6wqE2GsAb4t7wupqYxWqhWlLmR7UNZMzqWsG86cT8tqO73f/KQ0ozm1NbOov5eIjZmvuHlYed8CcdJ+fBSHbTBZ9nuMsV0wgampyVrH0f3nOXraRPdm/8cIp2Kzaf5+xosQDrMqnY5eJjKc0vB5xwEgYjtbrhpuvBywfYJlWXFyAZSJsD6quC8G/W9qPK2i1DHHSQYh2tQbRsXON8IrFtCHg+hm/hVivBzMDELON03akSfiLrVZ5QKX9vAZgtjbWGOcPIOhS1sqdaWjdt/d7umAQ9aqrFmoa+5hRlzZCv+/aRgRxxLuHjLCerytqF3wvi1BO4iVKA2jcVEd56utwUgvZOEUKetT/qB7mfHsAeFyosoNSG3uA4I9AU42z70qmrU0TkQo89lXdGWiu34dRsWChJaltxzZujjnXzYk6J5kWi8ML8Tjhy9V5mKwRwmuWJWfG9gkjke+8AjRpq60cBxhxunlGVWB7NQfCgb+PVpEKcwpGl0NKYDl8Na70tSRvxs/aaj0Nk0cBCjq3QHeLAB/cxY6MH8QptMGHsxX03R/NnwjehKgbudTwJ5XZVLPqycgKIRZTZqHVok3IuZgWR44woCrcUj8/L2VbStgTdksPr/sOCO35hm8sjLnPCBFpX/4sU1ZdZXSuBN/0MFgCqlGyBFIXcYmdORf7Iv7/0G5L60xje9P7lbxS2O2VfndALkvLjIGqJREP07dVebHw+YDPUCgKjiP5Sq2kl/8DPFvi2zuBBnWf2nUCmf3oyzy6kOz/9kdO8iCyNI3x1e8mNCRFsxIFZlcykDn9J8en2EAjvRZi+30GxJt1LEUw35XbbPRNQIP72GM8O0xsxlilotZi2jEpVERziVriOEwiUmEzTvrWZ8Xbq2BeBr45jyXqBW0R+cDkLktIx77mgF1nmMm3EkE+q2laxKFyzvSUjmuQfQDDkUW6VLN6eFBI/3LW08BiF8x8FTHlrhLZubcTmz2f24a3Q4aIW7Kq4kGJ+MnH8VdoKJPUapnrjODg0WWUnCXU9bSKiJX/CVFRYgp9P+TYzgpyXsgW/ivZcwLxH/L/fSmBeFB+sAM7+EFaRFxjTWtaYrNq1iMm7D4xvKc671oOhT4H6624iG8zP7gMCktuVGYI4XvRMYwbIBb82GViSE5s8r5QaPjRmEw5/nKWN9kZaJ4Y1j6Q2dmnGCMiEKmQLlyUm4LA4Lb6MjuLUG9ZVgzDtakFJQkpxXAIC1gmIf+EyRJtYbFLu1Qy5ZMuqurQkc4hkg+XVRVCcICXsiz4zxuS5XQQugtGpp6VPFS/4zqrkVvYDLw6xknzJGZSUr5vrMyd3LZG/TKHqnMJXfM71kQkV6QPbs4+iq58YIN7Nsgf54plWAvXvffo5KMxrm25Lza2HXkfsFo5koCMBx9gG7XL95JYwff91FASIesuZGT8WF1+cvZg5FUir/k21sCFaAc/N4N8Lu7v1/NlMsanSpiSB2gWbsorjNahIlnUQ+sNyqV2+LcbzfW3yVMeWPgDEbS1o8ehKgY5KWABqmZ7Nv+IHau3DgSqAX9Prc4D9xelLioWljuF89XCHD3uM1dH6NPY9bU8maWk8PlqDafrgk8Lp3gt1VwZj9wiCG5sdPZb5Egy+lvbRhC9nrcShFZVcRglWSXGQoVV1Yu4NiNYAhG178zAIVtV4kf2W73D6NJhSSS2J9JyXzRXyAJvizaKXklhafj+2WSeET+KpqYdgULGHrT5RzpO0fYWJoF13JMxVnBzj6n1fOYXLew6by3cAy+DKwk+SoLcEWbbdQibj+928SEIjOsmHx6AEmb36Q8alXIJKOs8pM7EPaf9vNI9MsjjDWw0hoAV+LpbGUrLR8rNkgP0vRSeVFGNKz8We2KoQY/sBmunVSHIxjbVwM6szbgsAOUMUEAiA5qF79PcZhqT2LwSnXIS3rS/0QCrKp9Uez9Vo+199hU4frcyIrvveAmAQ4iOamN/2YGViPmV7Z0zROTiLRjpOR1HKiQLbKNLczh7ixBUQfZzHrIMrrZCSBIcuvGRsGGafs4zTEWeJlKA6CCLuhEEN9016M0zFX/t+dYdkbCm5ibxXmy8e3WU+C63ohoZPgb2AXy5krww5XhqKG+7CWZ4lRaZhNiN25hXzCBBBKTssdI2hOQ8U6clFywi6xaMv9IajX5lDimQVmsp5ulWuSFN4chgygqjTXbRY3FcwZBCygsMtOyoaicveHTw/HYRee0/UuNeBGQyy+xrNTX5gJ098LU8dGCNYLr8Z5JNMMvBONIHQqV65RjOs7LX8pPoqPhDze19ih6qJzcWW/KrPQGiMhGvjjqaQRMsrFhDlnLAXdOnYB8UqCzAoVzDCchCEWFlk/nN4xJMnn4W6EJhRkYag7yLNxTeudSXjS7fzox5jCAvAl1tvYh94mazT2yclso0yfTpOphtlQPEOlAReu8dmVzV4pq6s0aDivJ5A7Y3brcosKTQQH6l1GdcFoHfOYo5I9iNllgLqO6b+8jXgeKXnIct0Tri6O7tgLQo36Frp3cVco9PRtk/LcSWWYCdIA+OEce3AxJ8Qm+qcRFI3B32/vzNyRCBEGJGTaf8QsFDp3PmP8HMR1njLPa97YJOflEeIPOt7p0l418K5Oe/71Oiml62X9exysQs1JYSFDeuK46gQR/oGmz0PXI8Gu+JaQ56YKkjFRS9sBZ5KO8lPAR2Sjw5s1FxMTrCvvH2DQmJDxR3uiRu8wnZktr6QG3ucMEmoEHCXO5mFPwYDQZVSX7F/U6xyzMCYGm0XBK9wYJc3rbKb/45z1xIlZw5OE7ttj0m8cjw/aZ9e+T6C10U/fc8sJUSO6jyvoko96Tw4Z4rJaudGPUhqdhQHUtdktDnWDa7gojOrypsWx2CjdVCOKAh4djTQbUCRsxqH4QJoDGaiIoeyisIc/iu/36bQ57Sg8dT7QzHrZcPTUO7j0c9Is3VsCoUUriaWI/dZ+RKHZtahmiJ8EfoYL4uIHUItbA4/moqiAVNKglTJMjD7xI3QIBD/CPnx0ovY3h30caHba+zHUsqlDPOfPQJmQWlnAt+Cskq/xA0B8t5dHJfcvUe2ariaW2aTZz0PSRV6yVf+kWtQHSa9TLi+TdUcI/vZCndiDW+LjyyR0aTYXdBdK01nPvEI6IfdKadYw5OuS8dn3y0o0KsE0xkIIXh4nlXSOX83Z1RFlAhW5FBHdeRyb99habfWafkh8lyqKYNpF4MGX/HinX4f6TRqqGi6JrRMZOQdrkr/so0r8vB2kxNrjQTu7sHWMHU9bY2naWGnaS3HAhbnq6Yc0JA6wWlsN1IdKkL5WcLIfSUmf4XzVnH0RaQRhcvEs/dpgZluBgJSvMm0Jod63JOlQ8CGMbrmrJMt9A9b2LArBMXeVfbKiWv6ni05GVjkZpLGhmCWmZ5dlSf+5567ndloppnv241w/8A8FcVNIs5BnKANmKzWtF7ahXVHq4M3Z2X84emtWiaWbzjaWOmScCGfex1NSA68jTxlzakwUhqI4umt5BOStvC5jdwfsht/a1VbgP04T+nqSRFdG2uq8q/R/xUInwil3GulwyFdFZGC+fyxNyV4MopCG2NunQ2sgCkB2YW6ec7EwG8GQo+k3HPmZjmivJBOS/1ugkukwqsayAgT4sBZQfRgBmKG+YVOW2dTM39VLZNHMgdyX6lICgZ82RotNjotcPd0g9NKgTVDraMZqPz6vPW5hXPeVK7ZNNLUY/OGwxHdX49NAX1fLXiGcHAHZ9nvLpMbCMgQ7XBZ7yc6+tTjA03kQ2ks48Qw+pu2Wqb5j1lKOdhSuf5wjUk1hA3qQaZ0/THACN7Kh8oBxSZDte7IBAgkNsERW+JY5re1nKC3WHZk7qyKSpUKQPcn8Cy0f0Gytadz3zXDfBDeBsmmvmY1P0YP7a0XV2d8vPd1iHkLWC54gADOZKwynjDLIxg780ii9kE5bs96MDFZFaoujR5tganAz3caljsEPMjguBTYwoZF8+zlnp0AyBPvrpfAZ6NyeFgcfiIuSGtw8pxSN3YAIZQZKljm4ky17oj1jo+Py2N+DnpzitBWSGBS2PvmGxHiMRY8BOAtqzTFviFgnV4PpRuX5d2ZBG4YAnwnN18E0t4jaIpkfHje9DbgYwZR8vcNnUlZvUaNwMlOeJnIRYPBeByJ26kmZVqdp2Em3gh3qUUgnotmPJVtCvrGCWc5CR1/W5s/aPc3FrJ/YbD+uFocBMqOmWPjjrxtw5mQ7kgZPIGww1lB0O2dNwo2abRYp1YR8A3VVU8Y3ahmCRNbGRF8P/SkCsDcOnnyBFuaVAeDJESPoNsYzkl/tTrqEMyF8PpIKsmIucyYiB2XbSec0NGipSUt7vpzfIPz9eo68DKw9qOEZvdQXvLRz8rxpDYuAh1bNXXdvhBZDOxXOZT/b+MLVkZIQ4rugdFlJA5edjv79GEv5CEpz5J07EtBOiAvKfeD+QpRUYHoff+zbTH2CwgNgeaBSmbWfNDi+RkALqLDNUzbjcNWVvTEdy9/PueCUndjBC56Q6vHLmZOgKaGrn0ouVbhqaIvfFwg+y5y9fhvQbLGMoOBZO1jjOIiqoEN8zOxhq9FTOX+HuxO7fv3KAhxe0qnZPFFY6tQzG7m27EWx7mEbuaGaZM9KXTVHopYjZZTtl8OUm/zAiR/1wceKUuvZ8BU+jT/ZjPtF6m9E2A5SmT+bNhbh+sLfeEJcgUvR8cfx1P3ZChmwV6agMz0f9XVLR96be5pZuNPG3JQIX624p99XSZYrnozj2fXmVsBATiTMb+WpSqHVsD6AR0OYZbZ3MMSVxAvjwKiG2GQ1m+vwQSKRS1rdbmnD9xowShavDX0AoAq0n6NkANoD4jHpZLo/mQccve1BtGBHireGrHZGwQAfsQdHwIYGrGBRM1Db8qjlurspK3FePlyqAlYJdx+lPKN9ukQGR1SldsrZozf5C07zvQncnu6ae4Gs1uRpkl9Zh6VO7semA+RGeO2LxBRysces3xVme1fRw//ejogk3mkD8UI1pUDW2Crh82rqkDOXsFAR4oaBt282wT4tp8jRN1crQT7erxbzkurXmadb6L4YKINwyOPTQOw9uFhzlmeb7qSGC4fPRk3/+KhbejAYZTCbFZ9W2xBr8YPvvfdjwNc3vGEy5jAiuLaD+pQsIndttL87sytGViTmPGtKH8Jw4hhx5E5leS6A49f0FNFGdbhMR8o8PAy1gvnm+zqqRi1DWsTuVaw0BoLBlbu5IIGQAQmA5PuxwlkCjS5LyY8JWWmtfqwSfw4el6lm2cPyBGLT2yAO7eBuqa4ouD0Uk2qMhq3FOsl/cQEdfFZj861EDfgQg6wEaXXTzDobQygmYw6ak8UQ4ayAgvtU9/8n0vAcG+gsti0Tl123fcO9BvREDFM0+ZswoY+RV41iL+GkX3PTIZ2xwGneeNrxISmyPfX+mcaS7zqvVWtNMac6dVNEa0rS9iP6pH9ZQZgaTSRr9xCE0o0KLAxWlkiIaKeq1fdAZGwMNeUCUJIikHD1H+sncidxmmVcEZyvhG4gU81wteSTYMxuq2o+f/rW4Yr36+aVcxoITstXc5Us+e9M0HlGDeAr0dSvhov38n15X+j78L8UJcgSAS0ms7PxZqEbvTNC1mDQtVR90wWkxBrXPvEVgQB7nsJjy30X3M41M/bpmoiHIDDWEmhjtnxISXmV8SxsjsVJyyPnuC/fYaK/yngubIV/dMH+dw/DN5SOh3zy85/5R6smkyUyHY2MJat7haiuTeluj+rNC8pfxKiM1cseA5smulI54eYcaifQw0eNTa77RMOHnnKoSDFu1RtLVlZn46C3E2jZ4YzkXzh/7dBqkO8duhzED7axcOZqrqqvgsVlr5U8naulFbCMDZIOZZJLSut7oW698/qdGJbH096uWPpIMX7j+Lmuqi2i8KHakPmNIfkgVB8z/OIzPOCge8oFKmQfm6lo3P0dCM1m/1K+yD7uvTVtduOh47upKWJUahbLLTAaLFYq5kwdSvBQ/JS2FqxuZdbHgYc8ypsBOXWXUW7+kO9Ht+agMn34Obn2rL9Vl9ndfwFaEOhMpxycIICH7g9M6pEWANy0YwD6UVSACkFaGCYVi9Db+wo51CKpG+gKXqfLm5AHbhIklCX73Rn/ERZjjemHmu9nBvW8R74VrZLHAcIGX9k53nOfKY41t4O9Ivrs0wMLZ9ymgc3dYBXup16VomumYzaLRSiSVfoqmSnWl8En1iTteYZx8TRLG2/n34VzuG0PMCoUF1WALTtLfd0u5k2FBxAl7xmJSJ5Rvvap5QiWkDGPoBekMVeGwivsT6rfgA6627bJeMur++iQt+3yq+xfeMTSoDnR+d4qDgU9wouhs85HcqE33KGkzL6ePCM1CKqJc35/18NAZvMf5qI3SUfkQMxTe+C0iHYetnorqya1T27zPVk0BZ3h7N0WPZXtPrUhNEpDuHmJZkT+1sp7zZjFQ+Zn37tpyIqRqHcimpQ8m6iDEzSd2JbcCp9Z14A1tXLnc9h5u+LQb/2Qnxzllfc6ibWg51p3KjJbOE5/kaf6tN9Uy7SCUPAsHNAkIZRYyjTbNuDTwJUbc59TMA8xfKQK67o5BKmjMQufKFmNTkwUHf0k69xgrsEXzNFFj5MQfBz8+uk02XozEx+H7KCUS0wlik2en+cidVhLS8IMn2GQl946xHaaIJvCo4H2KiQXbnd7y84dualIhGD2lwvdeyXBi3Pbb2fR4BdG3xNARvixD27qIZ+yhiJotS+Ijf4ZCqE1vCtAClvDYOvR0pn6Or4md0ZbotN8SOsrjh6OboCGol30zq+PD5TZ4ZgFCfjZEHRQB/VU7f8+6vW/sFJlZrQt/04LwFX0I/DTbcsVNZb3JiZqOJMKRkuYNGBQ0yTKYoEdRi6nhdHScxLbAtSnNUn1EXyzO+cpXJVj3EL9jkvZNoKm20ucV/cFWQRHujKueux+YeuwcAO80AL+uAGFn6gQu3WIovZgVjYFvTZ46KX2pOb78K76uIqQNYFUh2t3dSDKemrZ8Zbx9iwRd3laJvV4lSeBh65Frrm0Uaz599gpxufXkuiVjZu7CEkfeTI7jjs/r38KrJ7/AInWvi7kTVOyuV3DpUdVavZ2KmDPdbu2yzeor1vPzmY04m7Z3tawoYHhtyT7B53Tti5EfL8LrGrftJah/D+30O0aqqGiQmcTFNa5iajpq/hEpJrSrw615l+TlYXufWoOF4mfM7OxFOifx3Ffr1tJpWLKgFx1YFHjOf9rwv8OeoowAm2ZojgTPNR70PwOOXqqN0DQcZSC5Dm9Q96Outbsfe2M3x3edNEHwPckYUzVrzVxr35PBaXj99NsqYn1kjVMKqXcgPh5h8mpirl3ymtKOJs/YAiwcHPr13hdUeb/ghew3egfGqGUOONEZDNDQmD9Kv3NS6Jd/HT/WYqb1tmQXkhGbdWsUI3OA6TlU5MJMeQnylQwMXr4NB2K1vZSEj/AG67f4qvnGIXsTgS0c2HA6Mftwsb/AFOe+L6tPZmh6lOqLFyYpzMRXAstzAnODIP+nW5+SXhWw1oR7swVm5oLChY4EAk2Sv796vzKaEHKA72xG8qpGugz8hL2+fnXB81ehZXrK+SWzULw8Hl1poJHe7czZAOqH4qyBcl1DY7gGEKBX+Lhb6K096eDDCfhy9rvaMYUJzKzkzvutVgUY4ZiON4PwmI8QP9HYWbn/hwWmvkT9tmx8FXx1Ier8kL+ZsBIWmawjbUYY0489qIg8mRuZAhPFyPeaDMf2X5p9IgVvO553fBgKjlo1MPr83F1qP4HOIXciZWdelENcTUE75XtOEcAFpeYzCmCOLZZc5cXqxvCiu5LAsxqPoKv7q0cMP4XRowJ2BdAeUGgFARdX8JdhK13fqReBioGEjdICgwusxIxA7VLgDeTj0KTaB3IGOQcHBb4gvOLpylme6VB7eRnMCqMTrUcTniaJJrI3XEirT7p/NjzAwp/OxqPntP4HA5uSqiFcPYXsSXRa0B2LmE/uOFncrZu+IHizRTtEPvONAPfc/OXdYgKdJWno3Ai85LCVPUzMNm8mN42nmQgXwCOR6ujaIwVDs0O4t631ixL1PqBrPMbi5ec7gR2OXFSn88zH/5HD68Sq0HMAV95D5rfE5LXPc09IyOUvTjueA1B+lALL6V7M/449MZLEPkp+lrduNv8jd9kTYVanEUd+7GP+W0pDLtDRE2jLqWbYKkiq8xM8YpKYydhIjuzrOMmCKdUPzo4RoVEop7L8FnnF+R2AnS+lRYm2DoqGEpKcVI1wilxoczQKgqZfqg1rKPiPvpFXqM/de+N7nf/3lmu7OexptaSeTC2A6y7KNm2bGao9k36t3CVugf2w/lZw7beCWWGslfeD903j6KbXJHVVS078iX2k3CD0d90jGvwPMCDEH8tZ8CvUNm8LPiUmISN0qPV90PnVWqVvDI+lHNMaFnW2zxNsnQ5rvYHmvBsuXRthxQWOFDd7/FVNGuhxB7ET2LVuzYj9Z8sZaz/CrntgAbWMdwF9mfXBuBj4jgyY6l+BfNF1PstX3J0OEl/b0z734i4WN04wLc6YSWrt8Qun54Qx6/lNxfBKoAoSHjthwTVen3q49Nb34EpIUf2GvAtGKog3GkWanLwZyOQSeJH/77PgqIfOdBujcUfLX7Zi9VYLmLmcwI7xQKm+Nvu3FI/K9dLLl+mGiRRX+XPyF7nCiA+NZNCWmGWT+lOCm+p/b7iTBbmGApZtADegcR/QkfSf/L2jEyC7wW9Yqug5w0SzUe1Soeq16W6bYDFOSLhgYb8omhEWBl3tgVJggpFoRt7tyMjdjWFHgo/KIScdFazgduUdssnyWRasCX12mvNyIXrWcyGSloqNoOIZdZMgsFG1FBZcKkT4M2Nl3AKYHG1eTs9B65eYATdAsDrJGmjYKmokEJALmF3Eta1ivFNge42kGTB8EkcC/pAIGOCYFQILi0+ObS9hkikZwAp5bLly8RKNfqNpFT/JMKrS7e+ttZtZUShILx+dun/AcHS/94b/s+/pcnn1E8AJziC0AGUMP+RcapkYy6bNxkfq7FKXNlcDrAmGv+YPZUDrAWFj43zJZ9+2ya7kWLrOgFkEb+js/kQhvE0lHwyIwqB69Ay9t3tvpAjdQlJvFHJLSkLoWpyDGhJP06MZ6rwtw1ZNKu8OtOwfAAfkIth6V/dMaG7GFki5BvIxDK95KyfgBrvpfgXNaV0WGejztP5rZlhII/xglqcoWBgKBlZY82jrlw/2WfIkCwxobyNsZxb2xaqNUWY4M9iJRDREAFK1fVq9Q3F3R6+W/VHU9jP/uWxmOt8go4cGpU/xGth9Ij1ZyTOkJLaimE63ZDrLBev5ein0jv1A0VkJze9mv9F1/v54FRIlZqsqaew0hbFAojq76qpIhBAJKi9EQN55juUp7AUElNuNZn2NrluOq/zFwquJhPQV0q8iXAAJpzQcUEW3usZp7EfhlcTzy4SlvLtk65nVshCQVO88N1K0nt8gVcHlu96+BPonLBlL6RmU7Zov5qjUM/J/DmVwzpb0f8yz67E3pnNNmzJXNlmSPiPgjispsw/U00m2zjdIh+E4n4Zd+j+WP6NTgIIfs+NJGX55+u8Bv4WLZ8F/qwpjcBvsFIQXvwrlb036YkVOoK9TWqewmvCu1M7A+iTh5bCkrHhv4DCgJOf9lBg4BX+2/uQHxw5fr7snuy9cMg18vgSD5RkwyrLy5m8xdL4FcjrdEsd5AGZl+gTyLRlYmKwk/H/36bsGgUwqKxQIyVqRFfNN6NnTf5EXG7nFlXVzZwE1Dd8AUvRwnb/cU/lJlXxFIeeJDSKPz8dxTdqtq9Ol9vwoeWEiVLbXJvddaNFrnIqFS0nl1RB3LtSpQUv8uBTpzSLjSHyGwOIt5LKgVujrA/hlvR42b01al2go38+Yd0rlyV+WO5O9Vg0gKHolX59vZbW37AxOoTHEVaN05roXM+laaDYG0lKrQqniGUog8phDkNkJOUWTQVifm0Ly/j3OT0rgYi4ABNY8zTPlv++NpPeCy2QLn7/XRVpuxvDBOZZaSxwj5CLAWQ1x/XbDcnIVlUMsdpordweu/V2izQMWwyZykOss2xEKNVm/wJDB5moncPp90sci74VwODW1ccVHefa9fal8BhzgBva9qQRSyd2DVLjV1zDtBLLpldfGg+FwKoqgdgIAGK+Ph/MthGQmRZkvy5EKyyyV56ppznifV6w2yS23mDu36C+E+xdXY3vsejwcPpNw6I+lADi5IoybXNelBeCBcYAxmBNYdVyEyO0WA5RrFJ9ZOn+vc/ekJWfRDsftqT9d2ag3zP/UyOC1HOZRrHsf4cIXOe4xIoV7jjMjoUPs84tnp9yy45Ca9oKFxhQwm2VMe1mSvAK1DPRpW7Ik6AxcxeD6ax9rjftICnZWaM3wNxRa3qDr7ontjsNcSsW9GUT+s973D/3EvDtDnKOhGwH5BJBBmMS51JqmEySOKoN2E1T5IHoNdTosp8fTC5sZViNltWcUFvuYMUQ9DIO4lgnNDkIkGFdPMZBz6/KVIfnkEhHQNmZT4RMmsbqJU6r0wZnvNTy6oBDngqGDsGPvnV2Hce574tIGt/tXPb3zKIMuSJT1uGqkmEAOQ1GPJ/1egrtob8F5oUYjAjQBJHHyUBs9vn+W4goWEg6QL1vVthwEGZx406dnDCuP+Z4JQrWFvflAGoAZxCoshyz4j+ia7FE//rcVFnrPXtSu5E4d9lA/Iy8K5AVEjXbM+t0iq/KAZmi8MQaS3ibOhmVrZhy9R4s4/rMJrVhZJhqvfQLPZMxlRepwBoCy8AGm4whA/otMaDFLHlX5bAkzzM2GQGiyMVEi3jwZRfykiYa4/qrzg0tGGlzrLQyHFirYQFrjkgUZVpOgeECQls0bESzQw/AYEVhyHYk8UOPb0Sx9g9t9HWCuJJhAh8zlxBlyNlCXziomw5Cmp0QY+rc8iQ+phdZCbMCOBr100e0OcGDio1Y/L406MrSt3s18PIVqH9hU+KvAuKYlY8rPJ9Oe1Tc+w0pJMg0hLKW/+zXfGpl0bwy+NXLEmL/g+Z8EAb+6JAHi/grjPCTzOZ+ktChqn5GGIz9tbCX877pzBodys7RsmtPmnUZiChZ61YPIqKXfe3+M4r6l1x6abTyXEgwzlZ6M+j1qJ/Gc7HsHyK9va8rEnSAoE6MWbGfIJdBCu5dD25YrwRDgUzrKTTRVKbK6YT9NDj9A+XFWbPBPybd2vVZKgDh3UvEuB9WJyzdamYtxYZ09/rATLcitBx/rdETxJK+0UUAayZUlX+Rq5zZqAaMI4Drvx4KerbKtaczYBoXh4VtxuuzbjPoXCplwEOxAlq62ktWJHfDegaARPrOj0d0KY5G7v8Qs2RH4r08xtRSk4d7CKg9jJDfJEJVA7ANukxvEZIU+KAo30PvttdT5jviQf1L5ddpfJq6OYAxoOSfhh4LUQnQ5/KAi5Bdf9NdHlOoucZ1tsVcJSnXIu/Q0ZqZJyS+ZemH3I3BKYlr1c/ibQu7RhoXJ0S/9fMhpN3/Qo4oaMuwr7D3f+IUnvyWB/W2u/RlE1dm9VbsV/cl+tF2ULFBkevJjawaVexo4RwRcJbNGLyp/uELnHuyZW29Tm/xF3B0rx/FZg+LMp6aUJbEMJx/EVzjNOClyd9YEtZTzD5fWkNxCTpKrtkLFTvoe5YNLVusGHPxm9XPMo5afZwD3aPRKVUCK4isCw07fQWk/jpwRWCqm60WQVpfY70m7xRaweKnkO+/5XgCagxh/sIahr6ppIBnUwsZoB/GxFmWVjUpb0WM84rkAIwde/8oWNxP6PppWngBx3mrJ7bZpwtqyU7Uonm+6cxUg69jFoWwz4OlrEEBOMiwWeWJD0APpiydxyQ2yHmw515pFYqtrB4E+CSR9pfArIuRLsRzBrUyoNYJUXL0hIgcbKdcaA46adIVR/n3qJ221L4urfMbifhCdVdq+wfwSvdjw23VK9+Ia1c0JqUp/R4hALiQbOlhTEnnY5IYZBTwVsXJy/Wu14pU5JuSxfeplHKcIc+bkktUsCeXIOXQlDhh3o0u6IRRCYBOHUYG2wu76KVBnZi6EhoGOk4QB6scQYQQGXGx3zSJC2lgvcSgEfjEEizNCnHC4/TqT1BeVpyT8NJOjL1oWC5zHsdPLLK80pu69ZXvOI7RdZ3aAtso2x0uxDw/7cNj/6kz8FUzPnOajDqQX1yq5neJ4HKAvj/U3/KtD6+eBB9t7tYK9TSk4ufcIx4puWb3KE70okmhw6119myD+ZaPyQjSsuzT2n/DSP5jKzcuMdV/TRo41QcDZtxadWsbrJ5oHX4rc9SYA1IA1ozGa+v41jI6lhkTkNsjTKjyVF+E5E4flpxLcnacpYq2OxJT9D8Y8TcrQ6VEO8sYSD93sGSOlohiF07KAkf0AONUa3aVsbbFWACl7jYowM7fBb+xXK78s6HWpgqMQbnnj8QTdJavAzIt3nsTKwlXxKzeZglBBVZ6idRrrt6XHU8OrlNJzA544Y13oin5E0N2zn7J7PXWKrNglaaCzP5YoHEzSqlESVE44+51ipikZsZgrA5dPhWfsnGRbq5ViWDYi4ocMLuY6hO3gtSRX2R16E3J+8MhS1PPinSFbgbOAhpyheG1OnBWzXSuVEUSLCh+yDupuyNuXiIVBM7r/BvgTBpVjWUQQZTtg23EplHdqlDx3UB9iutOWHvKBWSiPgNPlcsKUB89nrUG1PTiD4BgOv3i8e5gU4GDNl6t27LUlbvIscjhirihSeIYGD9fs80tOQTaD5JSfaUep6VlIJRJkoqJ/fw01pwb8jqRi/9EeVoykyjedQddNf/HDyDoWf6ehd+CSSBnWRW0tQKDFcH664RVV8FsBNl65lQLAEBpjxDYiwi4wcORmz47Se1Cv4d+fK1+XSjCh+SWhKxUByFcOhSiXAvhwFQA2v06asy/Qdgk9oI/oDC6uAjXReU2YhDBW9WoXgJqwSaShFmabexrm00CpmtNZvlz5BqqstcbhH8VDpqKHYWp944BA7JM8VyUWQUPKY2/PyeEQBeeAlwDx9vS9Gg3/1fwjeNrCyyqt6UiixoNxzEmNBxGk0sxNr33FHxFCiKRWVlnAszP645L561y/ro1rHnYFWVt1522V5uv4KP+RAmogq5j92S1HUV8dsD/riX07bq6mDR9SCD9ZWzBRydC79n2iE7gBp7gL09NozZNX9FnfS8CbHFFf6COM/nXD6TtEO3L+ievGN9JHPLD58NWqqns5JDaCNUXcGXUuhui2X9b/++Ln53iNHvKpFtmodEGElniFnN5GzBcjQFjqno9j4oc0bm1ghz2PtIldk26U45OAZz81Rd43IaW47jDz6OGbhUIzfRkSD1qBeDOZegiCseYzDGfR+fknJ32Px5SygLo3pU3B3UwOUBclNsm5VtUWEWNOch9u16HzV8rRf6xkHgdndUIlTeoa3avWM6wih0FTKA1O7uOdrQk2K3u8U20dh2Wu4GdEh2OnEYjwRgL/MXYQYRcI+9yavTw9ZPUZwV1ufjlB9LHvvaroxituJW9LG3RHUKx6uuhOrDSGIHiBcPxc+bkZNJvw18ZH+PYV7ygt7lc5WLoth8UB2TN+zJCfIikgwlpeBBUKumFpUlYvkxOyPK/4Y0BFI6ZgLMoz+cuz/WbvYjzkF9UENC229hXv05fi/54Pf5XhhAhEOzkTY1SVN9MqKUvv+BEKp53juRmiAKwsddFUUDLRnK2arwaoACWgGlq6m8V4RY2nShPT0M2jK4RboyJL7XbC0ysLDoEFluZ9FkvImoQU6b12RXhUbWG8i40H8z0XEPiG25Per8m8eI9RbI3C3Ys2TeBx5WLJe2zeNMOJVZPWJO6mtWtxZCkWmOscL/SIwQXAMbnJwh2OJk2P/l5WysL2kjGVMZWYuN/vanb9d+0aCv0229wukgNrG2Od1469Wvb/Xv2bwAHNxdZ0/ub225v/I7WaqdeHxhS6e/JhYw9DNQOu9xhhZ2Lr6Lh/cEb4CJn9/shyjlTY92BWjBJ1JFrLf51LBkKjmCbnRjCFBhtFugJRQMQAt6Sf8AEQj8xlpHfNSeE05TBfSQaoYKPtyf1jkQWjpsqsDJz2RZWkCmqx8ZdBW1cBsnYMS7lvZ8rsYoJ2LEGHaNjoLGJiJEunVwS2NmaKurSs9L2HrWiGn1CTDtcmhLlXEuJyJnVxFU3Z2NQlG5XuFUocIIELwRxF0ABmP7rKsnZa8+tZC692/HN0uDgKl4ezlsemhpcxx6jSQSyGTj5ktteAUKf1rZYpIYbixLvi+MqG44lR8H19YD7nNRTETQgsKy4HwECut0+QbtS5iVckfiVUVbrLtzTWNrNfMrpyTWONOH24lFRUOdVW2cnB+eVf852FhsCTUCx9uCadJyOy9ZHht/oZhxbjiybhNzwN1xYzgpEVxm8LDWSUkyXG/sRly2okdyaZS8I/V26yufLq0PMUkwOFK6LGBCR8bOj22RxGlPU76EjkoF2QlL44tnkg8pn8gmBLDyoYjQgp6YQthRGpNp07IujtYyfqH0FkZ6V831kokEO28nbyzHo/Th/DseJCyOalVMthkxJuK85XtzU+SVoY6PzUPGdpdM86WXxy+u9ewSiGVek+lY2ZDUSK81r/E+sczD0+Oij2pPI/hk6GAFAVlPYd2ur0Lg12fcCekT+/clyBT2aZy7zGR54qgExFRL+bEF7azHAnyFmBtxKO5aQaowHN5Zs7YcD5zDxfS8e2pgQokjPSC72OGJQW+Te+j2H97sgwnW1T41u+XY4nExiFSpTbyrRgF0DmAFfiSuXwBH3TqNRNIvhCKmE1V6zClUhVHtXrTAhn7G+CuBUTJFYfq9cckk7lG0jOjHeC9T0UD5hWjE3aHViEOYaFhSXviPyl8Wo4of2nWlLkWRflrE5LxtB25dFRGSomEqMd4b/VdW74v1JazyhEnoAJAZtjt3prVLlg5GJ/tZW3FueWdBVC1D9or60UHJw37om3qkhVSG1ViuSvAk+tGf2jcDKKZEzXCJxiIcznBInv41MdWyJUPof87ohxERx1tHcSJRq4RhhDgiWardKrEmMsRmNm7paYspj/oz6fWF8/XijikcJr5uTPs5hhMORLPNQETzcTe3j1wrxWllBqn+Qp6a3Ge060+fMF0UcTXiVC5E7DZl7orb2GoVvecqzfoD0vBS1sB6QcIOYepLebZ0/TQmLZfZrmDvEUPCW3o3PTBztSYJ82dGJf5282amyxCsUAtcTkRAOaSXdd5mUQODYW8lunQs2G5hb9hPHJwtzP2+6v1abekQXZFGqpkSxDRC4m9ELxcsHKsX9RtGXYH04N0IieY9Tppg1J7YiRzixwSQ5dlNxYiE4/KRi5XPYMayrhnK5TgFcnJtEkAmG8NIWudGdDCxnD+QUJmyAEz6lurEG/0LCr35/E1BtU/tzckbGxAwWWEUEPXu+lr6MxqKkElfVjqbvWLXDFYIMvtudu8jzMAw8y2LjI5yTEOevriQ7Oh+FkbGVaSUe43o7kpxRIw7/LNpJAuDHjCL6X8LKegCNpUY4lx9OvPkqkItPD2mQAhHyvhXvpWWIf5ygO0wJWtrylXIh7L/svSYSTEWhupbuHX7Yxlmg8/XBq00LQ6AG7FE6hQx2sDciIJRU/k6f27y78O2E7tsL1sm/2SfJSiP9lvPaPqkm9O/V0MfbEnk5bGb6RCj544Z7jLrEnkXcrOFMEQ995QCxjIF2sugpyf0613nQV2Xjm0IsRMZ03aqyaRGj0df0zQzzurg6dUqzNV+ijsEnRSmnOaFhAJd2jYAppnJY2ZkDr13etZY6Vo7OFEv+YjLu4kKRhOd6cMtOvncUIPodo84Nbv79mHEGTRk5NK8e9m6DDONxeeeOpW1DsYGRl6CXgnaWFkvEBvBmhcQqq4nlyoalqncEQ0LTO4qtTU/HrlZg6Zs3OzFgmbnAuF7RT/a6zzuDsY2r99ZjVNqkyMVzV2WHm5VgG5RnoWtDaW6vgnGi7fX77e0wvKaFE1rmFI9nbjJ7/y+MwK5o31y/n2i6rEnMHq/wuvhU6QG35XFkwoOSLeFdzUGiW8pV1dMvcKNXmDg5WkxIGwKZ4FqpkIFIoPi8SeO590Oj/wWiiXz6Bv1GCkJup4MiHvAnow5iN9VHiVr1PbVcFp3LMzoz9oLCxEUpqXwchjU2zVsO8Cp16V0X0aSEbniYUnA73WitECA7PC9PRhPw10hAqQ9nAcJjwm+gnK3w/sKDb9nKV6lvEiFHKwsr3nEsZSZ3UmqHyDSU182VVOG7/BACLRHOiq4T/u4Kz2A0e0yNfgrfjHpvDbxb7YcixypcNiKqbBke9A5Mk1Q9dQZrajR83k5k5MuSfdEmNIgMoBxy4lWJqnAT/dq3YQMdJqev9c/RzyrCI6Y9HOXWuGvbE3dsEIaf5tkWlLUrHIMY+TofmMZX0v2YBsUMPMRxm1/In9RuFYxCuh+pSeuMBA2XYXtczIuMz5h29Q9kRZhiXpKQVXu6CLHM26zV0rz2cCWHS1AW9bWKQK1IFUd4GCs7XCVGVwS7kUAPYR6i/jV/YdpKU9T82TYZ9S844EflyZy6vwAJksJAULbaOqmyOkZrSWiwRJX/0CG8KZJgTJRgrz+u/ayhGe3kU0aZLi4G4G4q5xEQhCoZ3FrlsgGioM+62bkdK2nn108IstbUjx/bTxUSaEKfxTsVWUJaDMFpXyloPY72WBZTatcRn/CEFRA3OzkCf9CshcbuCC+WTFyxLv2ZyoalSmceivlpomfdTpRaoZGn4cDS1D+Gju89mXFHV3WRMsHpOuoPWkdXKnJSjWKGTQuSjuUTOm3OIMJwK3rrqYEwgvK/MiIV2pqFUoMrGfgJG2ykhZde/lXE1QzWyvgxx55tnPlqv3WGLoTBKBR3ojCWg/NS65TXLLkGGaTDB1tQ6gPGX5DKqQ67AlBvUEOQz0+ttJZV14OW6HBxw96zbigrNVCreFRks7dHkIX9/vBJzIP6JLOsucBLnhZdHZqPtff6XD9AfssJJMH3hlrcOW/it+LnIQuEn5BF85+q5V3Bf2moLwhA+cabEagaZFG8ueB36d+m4MzUvKdo5pjaD9F2dVj5Ci0exmSi8fV5ydyZNVlpf59KzeToQUBC8XmuOerVnSeMbVDNAsnNyux259C3waNUE4ITaur/AQN0QYEKOeXqFuftpyMI/5Q0WHKPEUXUMbTdMd7wJcRpUKhUE9X7iuzQ94Sdj176ZAGegPdz+LwUEl9ro3F9zW2pJmXObZYYKgDMVpGo8G97MeaS6GzyZk77FMfTQGeHHbH8iSCdFMVbJCDtN8uYBVfjNhMXlX8TWOMfZ0bR4rheWcxiMQ/GtBpm6waf4d5SXbpLdfrvgi8WcT/ana62d4EFHEl6bMZLMaD+EzRaKw0LhFHx72QeJ3fKkixI2f2RoMnKDxRL45iLFHbNhOHrBaca5LHFB1jwu5jorLmLpp4VfyhDxiIZdMP+/JqPsQ7KOsje8xTLyVYnIQnPrEJyUvfNWb8fDJt8ZZQLZfAAqj84KnTNd4RPb+uzVq9F3KpxsXofbo7llK+h/Ut2efVm+gbLHLQs0NJ7aYgFAiuOYEW2+bLfF3+iqLqjps/EOmPDDAg81eM+IqEHem/qivGbxubnFD/yaPNH4L2cf1LgWG8bznd5JbP2p2uuAwntpVKxBtMCSgXPsm9v5WIJ7R//+CCV5Rh5mR6cRAsKBN6iwVERJB7t2pNAorw07RhphBq9QuN4ga2oJ13w7JnBuir5A/t3GsspCz1juDDJz3Vn5VsGJm+mk0Sob5z1zi3p/zOz1l7yC9nwHm6qR++tiYGlohv6jOpvNV1KSpupxgN/Qem59DNhrVXs41a7fSLFRZ9s4w2txMFqfVBR4mGZvJ9+fQdrGpGvm6ank8/kyvEM8IyFsUpu3hB88lPqfh++abEDTw28et+Tc87YRGi3vyrTpZNnM/nU7K9WBvWc7qMbyQgwj8nxl+IMCIUgAvUUgFF/6zVBkhTujmkPTgirjXCj3uVCVSLux9KAKsbKlvirZIsXjlzIUUAkM45GcpsORxxeIU9kyYLnkvCkyjy43AQiOvzCjVpLdOoSkwJmpKz0AuxsLCidzQL0mt5YIQUzexrw4aIYKdCglAgFj1xcmo/CQotaPgL5tTYpT8rB4DjVolZbYfNnkjt9xZPahX7uvEi8/utCKRme2CGVP2auhkgvZOVx4na2asO5LwXldZSG1/TuTWzq4TIeO4ul0+3SmFNmlD4ROZUxzrClX/E9OdvmdYB0WKCh/kItgu84maLyXOZgPp71c13RJzGgNMohZtt4Qij38Tl63vZYkSS7bmcheFQezB/CTEJ2UNOqwEhNvPVLaMHw0AzyuRvouG7k8i1Ku5mt8VWQttsedgd2mTos1GSLqtqD/rAU3OnP3ytoC4WHDxP6r/pjno1P61cRfRPr8mDBmB+G/pkxhvaUHglVc+nVc/LvLyBiXOWeteylCOD/bYI8srlad8aDbfCh/e1PheCSS56fQrSsADIMzPP/wSYXC8F1yCDfqwcYF+kUYwnxe7qeo6xaMwuxxOGA1QNF2I7MhTDqsVlRTlTUNyxs15BNLVDseuUIV+pPVVL92iolHJWgqlkg21Yd6hUxBLYqMJ8N3G7ybVFa+pN8DNGkph3g8OXXQRFRSCvn7YM509aW1xGDGGoLhTv+ptq3FhEXJzRDJAh0R9DolX54T5799A+RdJJKd3a7z2xbo/aiBe8SSu2EYxE3OuxYJpohYbHJyIIakOnzIiwrNtVR8nCwbG4zKbWkwRs1/Q2YM/CcaaP1CPW9QAIzLvbWqDfRVwpAyALRddxG60JrCQDYu0UxIS2PouWJj7a1QB+1CLezEdchWzGA4PVCAZ0jJbaxqXPTdsk4Ij6tFdLYRwgk8KGiYsjhQypd8/2wtTfNvkSTgZB/inlrybBecavqTZCjn+epWpFOHpTNtAde85vo0uyRgrEWU3zeNEaFHrZ+QZy0Ny9CV3ygyK2ynR6IuTzTFlV8KmXbZ7jn86RRCXFE+BWmLguqpf1VahaFl3XJqjumdJNUxVmfjyiVH9rcqa95jxJM6/Cf205TyEV83y3iL5WjDTBZ9y0srCCEHI0vZwFhbEXTno4natUH8lK5c0vc9VVyz8V0Wqsh0+X3JDjZyykhIl+pjqKsx1AFORvdu5764JypMTWKegaDI7ahq6ftNJYvJhTfuyNwIuRDRpN0ARJq/hrF91ftm+BobliFo+TAqrY+gUYlxND+5EYF9f9MC1K6gl7CchFqon5BZ7ae+9yqHRc5OabgDFkDW/w0b66v25J7R+GTePEnYurIaurP6rqo6DymMpJOh7rpaGQcMuEtyerhREFj29viS/BNWnXYei6aL5HyXqm48fdTuKdXhPZyrlI/I4Yc30z2YBlo9fgLnf93SlmDv8STC9OzQ9zdW6Ybp9lkUawpgyiMeOF11mueQwDYSQzPSdSJWNoRFseFZKN4DNoS+fqkCvoHiBHKKebM3KFz6/XgQOgGKJ92KZujR+mm/mH1oYIICr0otU1a3pSKSwlJOeUPVUV2KAfzmHgnpDQ/k5yyEKdjKXAGsyD6OeDNEemXDtq06qAr13VYskedsIXnqnML4XdMKJdjaaU8/qm0Cpclw+l/+ii1MarO+LvdtByRpr1JpbHSN714itOpQFeHKi/YmpANGYpmKR0R9uWaJ/Onz3AV81A1Jkw0NztN/o3GzDBSniIRcl/OlmEE36LcoTPrhDwy8OPMUPSL53dRNl3BxTYNeXOWxtJN4EG5kg66EN99bkisQnSQ8tvs0zjomj/RQGXPHWCb8+QlAikg5Bf8ZljJzqBQ/FOl1vO8iunSTcttXjEQ28QDb05A3mf1DOIIRprJ+wkKZe3G6j3v8HUukn0RXHNiAMK5XKXqAmuppGZJGMcWbz+fxuhBCXSEvawGujQRTdF8BUMoeaFpKzdgPU8ojt5j7LtnXuJs3zpusjjOco5K78+MLra9vh9tQFCOVAwoae6F0A9h6SC9O3BAiDah+LU4a1icfXObr9JLHo/LfkK2Gn0TD0f3dD5jBvfb2u/4w8ePXQQ3ZeoEYSU6OmrW9BQslRKxhwou09IzDEnOZ1XI00u56NoxI/GJf9qUp4z4dimPRBt7/jaKLyjTSuz+ejOtzUyGcZQ+6QqGpCS3R88KHJ2v7n6Icpn0vKJXqhGLBb0OwerEPhm+FHrUqkC6jXD0fSortbBGnQ380Nvo2NuUZpddDyC159/tqd56WjI3FiX6gnEmXgAVgg4Toa33ol4UR10UBOaEDHe1jDy50gZ1NMmSQ0LduFXB13kS3oAqrcjcb7R+k7MQqRXNZTObt2ZRsb/t16B5apHHag9cy0Q8xQEYWWzfzugSnuDU2EcrIkqXAoptTvM5REABdc8YaUW9MsgYTOH2bq7MCWCQZK0S8nXyNCe3wBAMu0cd7/PYAtUyIW2TepvCAuzsCv70/EQLE43dznbIY7C3Le+a0OFPFCWVhVQTse8hhYzgvh+kKaOmJ9CqKfALvwWYJt0YneDRWPVu+B92MJ/qiH59+1IMREFkOZUgux6Byr2BAPDW7j0Y955lI6warnbI5TjoWRhobZMi8MbHXu08Zcw6NjPHRzLK9Jv4RXfS89iQV/kEM0r7hb3Ya2HLXfrXoUPQQ008j3Rp/ND0s8GJ4AjbtfHC7ip1fFEdcjSP27l3prUQx9Cin2Bhh3MKFjd8L4EkE1ShS/18LPrgBZdt/8FoUyJuQj6E7XMD/uXhx0UHzPkoV+BrcQdV4RehpXhqVK1TH0SgkBfLmZ/n2UeW0/yJNsyHmFmNhrvqXt6UY4j2VSmGyQO97CA4vNDO7pplQv/2mHnvgCID27qCFcoXIq5lmuziVN8ybMJI4+PsrNSMcWKGblgnGs7ngjwLOtr2bMaVTqHqGkFVVBCNCUIXy4EEcuzxQlJ84J+1+adlfWKwfAhDKY1tOrHrMZZCLoEt2JQWWGBkG4UbsBvVJpafKgbJmnWMs6q3RhWgcjZmZXoehD+EGFwsNP5dGi+hoKnNxoA7IkCWKBhSLClIDXS5H2vSKu/cV2neCml8YcujBTO+5lVbbPCYc0bxEKJp0TIk2w0k9REB/X0F5KU5aB0CCvCTVYb1tnmKdJpb0NGpRqcbeXEWhMHgjLNzv+zHGYGNrHmFffjgMM2gVY+GNa+eEPRnPtGJZ4CvMbngslAtu4XnQmxEu4EP8ZI7myL1wwGZszW2P2xxDXg0o/eGcAalvOlmnoiBGmZae2xRNcWYE/09KXkE9AlS/izOJk9hDFLqOVv7oxvtDbh9CzfPkWyeW2fzjAL2RUMhKgGrkfg+GMjn+qjq0/+nS4SFuKO9FVlnMo1Ro/mIPdFdmjCLEmI61hxUT40yPmW6IW/TjCwfM12uxUJlWmJhDQG6TOdg/qb3Ugn2LIXNPm0MQzM4ENDkms8Qi3HAtc86+zb+ewIfvH906x9dH3C2LTyHNYaJe2iSJ7V3hM2m+KSpmSfU9dAkhCE2qiICXrugqjAZULpn04AMiWIhAtHqu5GDSbPLZBHsNspY1jOSNFzhCPsyMeyU2rHc2WdGplbjFkb5IaExYBxhcNDcchXD6wmTIKiadJ1fjmtYiHuxCAMPlUd7W+xmj+U9ciqduOqoDtXwmVhKI1eGuhCuX2g7oEOjboGpX7HMkfsvu7RhVj7WmuTsEc6gQgKbQOcoDFDzc5/fDRIzSmUxHT64j8xrItFynAekvTxemvR5l0XaDtIpzb+cDww9W9yXoLNt8uWTVWV7yIPRwW0kRKdCJFapoAs1me4tbIcjdlKrDRZrS4woIJ+3J9j16dmICmsCmX5fLjjnh1ym4Yh7W+bTJHthP/vQZ4crkoiUg2S9YmUQ5Cp0q8hziURAFzAHwpBgP6S3zlcW/YWyU0dUyJNuHsxMQAH3yCxo+9yECL8f35NuRW2nJRiFRqqu0FCe9S6ycZmP4lcixQrjXYXJYoj05BjkBcC/QbZe8Ry1UZox7iLfyd3u1ROL5pqsh4sstlju0YwIaEdXPOX08UBDcBqB24w79z51f7RUWpcuPKIGsIamysMRdq4y6mRUHVpdiPUEiehLydfTHfss6nCfI+HeqOh4u+lTW2S2fYvvmpInwXs+AOiN8HWK3fdoqyEqTZqOXefaYVOWWOrRAOS/9R+2VQ87i8kuXVG5jnMABvdcEB3wevGyw1epwCVTSB5YVdoI0W4QxUJpS9pOF+fEw1ZIwEoZRKwlcq4MDlhFQAunQHtq3lDPQeW29ZaGNSb9QP4t3Nlt5A27LV5WZn6nso8iWITAmFe8OhO+Ck9Xeo4y+Em7jj0QjAepIrH8yGmOtusNVku0a/2Qx4qEtGXhg+BVUCZHkgc7/oCWlm035aGFynM/AIP9WLV/bHdNquMmnowajBEzoTc/9VaVxTZl5KfGQsBjqyoKF4Pt0Qz6wsu4PhTyy51Q8CpQLre83UTRhMF2Lmg+pGyOHOwsId6gBOVCGkhFPhhk8OJAunF0csPzdU84MV+iJw7s1OR0OcXFmW+2d4GWe1WWPPyh6v0ZvC5nrzZX+Sv3UsilrR23lGTYX1Jn35ktsqcVVhatGAHaPzkpYrmUhnTVhRVrqRVovuqIc8l/HYNGm6ydeUFALbZlaB7h2vkb5MT2xQYxX+tuf5h6gEJ8Coqzxg1BV9pK+swNrRORP1hJS3FG1PTe6uDNL0ZtPM9DMW9EDFeCw6nYoAA09bM/9ZT/Il5t38+oqgBUhc/yt4uSOp5m7t7XcSK24DxNwnFQrld/ls5qeoZUERHH5Jvj7sWjdx0wA7CGdu1o9UgG7jxtY5dZNQywuBz6Qf4u+k3/Dd4TijLzFtYk3q3u/BgTqr8WVyAZhav/MxW8OhV4Qz24cqur8KA6afK2NxthWCeQO34FvsWWNOyn2QFCvJHrd93WfUV25igmuI5XKMq9t/euLOqerhYkwy0Gep/GhZHb83prjjdN32uUouDd2DZ8UjnsN/+lfFzrMyP8UbuxzpY5+7jVk93F8KyT4FzWaI7Wuo2cB9in27ZlilDVISfd3bVNs9PEgzeDjXXufCimEvuoHnff0V1YMpzBzVP5z5KL+v3WMzSzw0MjMQm736K6VBU0hxmcf4qcIX1kbHpoCfng7e2G5cBDxNM3k27DI7KKN9PiKTP8QGkNktneNDpy+OefZNqMKqa4pQT0nKXz6oCOvoqbw7GnRFijoj3MeyAO/F1OV/8H0JHGQfCN/Jy/0+OA5hK7V+r8kj/a31TxlEKTdz+6MqpmzU8cXmOAWvaH4TTSRh6mhqnFgv3z/fc/GwhTxPsHLVArHMRAqdGBBtKnGamZLmABWfdxMCmNtMqWW/4+DgHH6Qtk3ZkshHuw+eJ7AiNIoXa7pWbzP6BA+6M5bZG2D8ZZ625x4MRnrQhqVgH2jcI1pMrNVGHH+rVuOCYE7UK4y1JfxWhHScugWRQEhG7LiS/AVUAkfVt1wx5DQYK5yws33GL6Pirp4DXWZYSBQhtcc1xWvRLc4wtKAkk5pTkzavj5L0g00l/bIm/dIrT5p3FT+w7pTzFL7kdndKDqo8d2K8udCxOoWV9vgXBQcAqzxmh609cxm6+rzz7K7DpuaIvWFHPNE+sK7NUk41mEX59dFdw4tMuIRz/OSWopK3TQ7Bmp/5xD/HdjYSwep4SZNp5iDesR/ZSrGIwhPpZGihaUzZ6me6hAozwO/9m9tjoa9yz1Z3kmFpmbtSOOQ388mBocGOwhEPFRfpET/KM0QR3PgZgZ9mJojc45Dz4mGspzwwpCsO+/IGAE+OPXUjFF8ewhEvPa2kpo/1V8ooBDVfj5+U3GsOYQYd7cU0CxkAfTqZY9zEZ0HRZWh+7KSlycamrYkf/NcRnJZozuR29lPakh/FgD4/2nE+U4scEmfxmZh+9/igCAAfCZzG+QKKU+i47nh4w9QRGqfpX2YTI5qqzUnZhJO38nbQzVik1sfc5A/TIUdRVLY43LTvVQ4Ev/cFpql4MqEpdyO25jBFjTB9iZnaov8KcSorchF6IVkyi2TUuj2qNq8rYFP0m3O7baCuknia+eWJ0hQNImpx2faDR2v/+3oMPa2ucEZ0iJhk1RrMQlxa745GU62GhPnMScsep1tm5TXNJT8AIKS7FsjzClyK93N81Pc0mTZstjmcU/6GhUk2chIIqEo0h+YvFL9xxKMBRnvejEMpS//SA7SPvlxOvXGOOqiO5cksA5qEF077FJQkdWc2mvM5Rl24P68B97rXxrvtjB0zCBNMgj+3ZmThN2IFvIAM3MdW57DWQV3zdT1THZeKf/M7IyYe+/jSgde5ceFVJthAHrhaph2E+q2HhZ7kO31yuqysFZgYZK1z8F3zWLWkq9o7zMEhoTCHKGzkLLN32/WonulWHQCQrX+M39IxsANqqVIjln4B77kr2LSl/FZUHq0IxC4FEGnaqQ5//nEjeybYVcAF7m4kh2+zy11bQTJMSHRUC3aWaG5sNLBMxsHyrwzGu5E040at/XDCMt8nHgsoGz7Yfpb0vt/xeWlMdrI4OK2bkLl3vkHWrIVaCeb0+ygUYglT4UijA3d23GO1aIGlozeYCD/ksnXU/JBMgVuUzam9e6aPxRF8Hn3LNZUx9//vCv0+eEY69Jf4suWYSlMqGkBHVMe+7dIisbMQYMDFrPkdx+if1zKpbQkkx0A1nTf1+ciZ7PVmw7JQ2D9is48KW1TMxIUtFPcsjcVOvD/WJA2VbDi1kO+6+luEYcrSwMojcgpx22MiISGqY3DYhx3QJ6U7VO9ce4tx4+N+TF3uzUXUabJDtZtSUAPxi6kAXU/J6a2fS+OAFsAR+FdVKHInYy/am6DYbljK+ByMvSLUZBgBaGAuOY9WkC39qvro/uCLQcLiljg/cnpSYCSpAexVMUlO0yEWGFUn0pPA1uYOeLi5U9B8Nk8Cd9C2YeRAT0UYVMBJ1xHcwyP/jPS3vJC/kDBMEg+fOo79vqL4q/Z5JPFc6UGStB5BZ161bKq+OTRYIv3P0cmMtvmR3iz8YuG08TO3TTneDfm+XpI+s2DbgyxygNKa3yeYQWhyqWZKXAL4W0W24lTCWrhxAqRPuLVzeCEv+R+JeQltOR2+rg7CxK4EejNw9nfpwazR7UQpgfAuErNVVWNy6uWcAi/gzXNcP3LaUO7WvTSK7BWIiQgIRgcFRaY5SPsJVaYNhBgSBx/75BS40TLkll8LsW0ph4CKOmOKatx6Svw/PidNDiNbxVdZno9bLOcGf24klI5toEN9wu5oc/56EeYIMUiubF2jJi7Ybeyh75AtIuIREpMS8BH99JVuHTeQFoMqOatV5j+xYwlWY+mBpz/fanTOuAn9Y9AXSNBWF/brI89v3xV+TzSPhJTfTABnKL1/nRQmcssvUj5+HfYp1YyBbpsHmRLfsLrNp1cK3e6sAXh/8p6ZcXzfQBXfreoYedarWwB0dx5o01q2zBWdVrG6Ly8AHnNVGyfEN429qKwvSUSizG9XX93Ki2tYks1jDLrMjUD9hu3rE2HyNLRiz7QtCQBsr7aKzUh3p951PrwrZ224PUO9Q3SafS9YiJ5tWGMGrLrQ71YGg5GdQWHCu09MdyfyRj1E0Br2wCdho4mI4qNQVDAQVHDjnk1FZHwGZVdWeuUdvgRvnz7NcnWNXS+s7V9Izx058qaMe62c32zbM00TncKwxa4mTaEFHIdgIrSsKz/Zo9hiM/we47vvrxJNuf/QUK7DZt/bUVzPRyBQ+5nMBZ2Fyz+qBAsQXaTUsYxERinCr53N3I6z4X9H5c4WfTXMKe/3u1gPmLKwYdS99thIs73mlt7sX2xGBs3qh2gO2/gj21i6tDrq39zlOBcZQuDyl3Ivt89Qp5Dg6bY7b93b+Q5j3q3YhZalz7FqGKwNLgb69bMZm48FHlPTQmoCPNiXCXEOzNzIjvJpNs1U9fSp4xzsYtYTW6LEchZ9NUbvss81guN4TaE4Sv1T9zYZGfCxruiSRM1FIWf0/KNcbs1M4s1GjTbLBLKKJvwEH6Q/jOXmacsya0iw28rxZrmoap6N7Td5C7/HGN5m+JiN0c4A0BbzlYtQjRnhLtokGNcCgHPuV47bu4R5PEPEG32uRfd11F/cGFRQF5YJM3SLhSAOM2oEL/w2Z6+BCEsb2Vy7maRAKsO0r8IQsgEQo8PPof4NbXFV8ifWhTwf7LQDrQW8rzxP/FENWEvKXVgTZHb7kEB/hejupK03znUhmkc4RhF/ctXS/jQ4VIG5gPQ5q5OmPr0hh3iCH6SRLrPTC4pkKseITQn6FyhtmjC94k5mSTat+rZtxVOLiOru/XJkMvU4bQccUA0YM1Bv2khmYFdrO4lPnBeuJTHU8MSdd9NJLAa6hinN37a1lpXNSVEPaikECUb6TROhx8ZueVV9k8YSD/eA5gkIvN7mT2UHxIUIySSKFRCDLFfB5Kqf45Rh/2o1owp5EHFV5Cl3cM1uR1kvXNa/p3f9sgJOZP7oEL7q4A+20b2KNR1AriQtc5Y8DYYg5SZDhv7zw38zzd30CbYFOGUfCCNupRxAbtsUPMGyULHRObICzTr5CNk3YfHgNsxh8bJMcdf2omNOE1abZQ3N4Hou24tokrwGHDmQwS+KBeR6afFFE1vRYoK4Upqc9E+NW4BvN4liXTAhvI7olJyUE6go8g54NtQ8Iyg+GTvHaCjzZMS0pj1UoNIxESz4WZos6GYSRbbSA28vyzw5yJdAZHXqhYzanD3fGNj7fp0JGbEPg/9mET0CyYUU6Jx5NExkQv9NlYFf//CNuFBPE1wkAc4sZIBqNpPyBQt7WnlTJEam9eHF8PsoOB7uthqtSzmMBquW2J1rokwLXQrB50QB6uMvts7NVcZ2xsXxbWRKyqUWZ1xu0PH+y4lrL1ajfw0P7Qj3e3p0uTL+YEn/3kugbqtWtnwaPojQpv07SSSdojYBmaBbND8F7l+UjZAQ7VhPHvGvZu0bhqGM1/q2vt4v/Ebg0h/9QN9/Q54REzNETd26UMwwqP/r5HJDE7RFivUnsTtWMqrWUefyIEIAfHJhpsjly0p144w/oc0L/dfiAEOxeKtaJX/Jcxn6ypzl+72p7kLFWXlaW5ygzco+5z7gBMXu75vy0LWR+JL6/Y2N99tssfoJU6vV/C8jczZEoFLf2I3ccoB2hIlEA7vrA7Fc8pQlctDDdYeU65R/jIaAwm+4Phw1wb4862LWf8ddS1o1WhcxzmZbDylVFuZgpPxLWKFQQL6QdCO3ZlKZ2vj3kTTBh5SOm8+dIflQ+7PCgmzE1+gRTcfjx18/2RSCuuMnDeXET5XBUTbdanoPQlBA5f+b1qMplVOS9NoYagJlUozM5qcIHYpGgdG68DNIhspx1bQbwBMnh28rf+C2tJrXAmGWz4BUsURCPGZjaha0/BK25GkKLXpCO6uSR8wYBv7wb4skJt3MtCMOjXs2FUqjBCstsaLbReVbLacYEUsutiYqyqQTaDCKK+6G4rmR6va19ecKCQ+ZGodk9GNIBXD5vc+leqbkgImWo/jBJbx50QOzeXA+5Hj8xuqIM+F1oVmTKW3TLxwyPRevLgeKvlBl48y+hSL66r4mg6HQkaT/VHajM+P7OS4rCTjCUAaGx6MryR8YX/H3K6VsLcCrlGkp3qZEY17aSZeCOdprw0ggQtDEQyelcJhq8Gt/ZzcK54Wwtcmo8wox7pcegFXlUElq4Gh8QXBdqU7e6f8WkX9UCnXFzxKWPl2qBaG5p4lN8ltBWUgyHBNXZo5UmBDenPx1z7bvs0n4BSsh8FqzwlIXOIa3cv4uqMBV2QGGOYZh3XPRgLMARI7utrLffbmkiQ8/QKrbW3awBxrSI03OyOBcuCPXECqRLzrqUnW8exOIFU88G2BM5ukKBrX7/kAgLx0sfO9gCRrA3SURu8xe8tcRCLuLiIVufayHNx2dJ/bCguJajpXrAP2Z21jb8XgnSNa29ul7mUj0nEm74GeWvtaahIe74vOuNNw3Qep8lLD7itH1z3By3WAMDOKUuvsefzIcyoQ4RLX9eBhV/PsEShxFYp2L61ZmD0EWc2qwhDnPRtJG2B3+Zac4t7iMFzgBucCOJCZnEroVcrrIMJJytbqLcH7g4eF8n92TLljqxgf/5nCT4JCoPrrZkpFFzVftd6DhW6Fnu2K8/M8xQSqiZ+gYQh2CupYC5RAX74x8Iy6a4/Pv2W93uzwn1Fp2MKtv6UKDFG5u1M5iUyAjWmfxl/xuTNnrkgJYwpCf94ctgprXtwf5Nut3kf5/8+5TI9lJLpHMI0VH26cRgsP7DS9Kyz7e9bhO/kCoyJHvLzMXhO5ijFrY3No3d9rvDw1Ts8Vpkt5nsDcX44PxxyQ6WBdJMy6Gsm2D1tF5XsH9DA9fNEa+xEVXwxl8agEbvKGHG08rfTpJkvovIQx/EYPcnjzA0IlWsLwuRGNJ/POddUVwTWzWr98cHgam+/LZV7tNCZeXdvudf+jnbygXXD81p4AUUpEh0I+cas6lye8Ex6jjoUkQSn0sNJtPQenhxy1MpHTIP7H9v66OFV+FkU2/USWTbOv4j8jAgtomof5s/PcXvfQmH1Ty29IwIy1vhSGqPnJPux3NsPYv6jlZzX7R+hK96uiRUBnfAmRoU/MMmCICARyIgNsDFbwpaV6aSu50Lj6TNS9bcrjWvY7WzHYdmFlqqM1qUhThqLCHArZeF7O143MzXVauZVx+kjPdeVC5czB1o3esMbygvGaLDIfTLIGata/xhlRk6MYQdRCb8+sYBCdw66cueOXjbig2KgSuQ76Ibd3eJ/6fYR54tY1zf1YV0Q1zt34ltA1nhQJJi5ZzFmCyXdLUuitdCB7DumOKXNDQfVD3FEJnwunM/y3mnjdq66cGQabcKw4FKYIm9bADsSPPxdEsWhLw3foz001POZqECAa2gC78yTxIncKysgH/cj5JPIsUd7tAHdj3vbepmBrmYMda9KSDgGBXD2+YmEihwljRRx3XS1L5ErgzDGRmw0gO/ORUAVH1a4V7qp6cPLXP26TAnpoFg6YTogDRp2RqejNXNQt7KFGcJdwEE+QU6BG1RWxPwA+1wV8kd4aqEldlJY1JTiujoVupsxmmw+UpL+vvKoGYKc3hg1gQfGKMQN+EVCED5Oa02LM/gtAzE7HOpqRm1t5FYhgBNCCmmJ9P+5JS2LFIvkdmNl+meP6zm+3M888VysKLUvQ97prklDas5jERHkjMaVt0wUoOAIzsUu0VfCU7RFfeC8sGMXOPMDimT2edmZ/sjV/W4CD6tRxfLURYnjdUjl3MTDtyMWpg2jKrSdCp4YhU8m1Nrl7p3r7EJbx2vZdkq20YyTze+LkJSEc4wbKYYj/gCr6ZjsuFLMHSIWdSxoUQRPQmHogF9nEMHpKB4EotSUMtCsww+yLXFf0R/0psNtG9Rm494GZ3YeHRNiHVxVGj9pvB0DmxhWPwII6cvpNn//ouFFiLbU1TxjXQxgfPdjS34ysjtnkqtBHmpHEbp7uttyRT9K3/hNdoKoeji/ne2Z9h6Yf4dcFG+JAEiZP2cdou8QTdgJTzqGkSE0lA+azSLJywII2tKkv3AW2h725O2jolprrBTQxmKOZ+EIIJMSMn1rk+c4enYMIiCIey1gftNduG5HQkf66nJkcXUmSXAA7GTPxaaWZCWzHklZ8di2iYagNWjzTXko1dUfCxCYQzdS5ATGpjDWEOkhS6AjeyITKllvsdr3+xwVj0yC9WqSz5s6hOpBI9sSj7X8FkqHMRvyz1nntoUIjDvLYS6DQPJK48jbm9PFoXsGtSgdycg8jxmwIlzi+mzY1NeZwEpqCbCbfw0b602GLbbapSaotzIhh1DbPpFO7EPGGK7LjajdxjusmdRQYh1DOZ2HKxVZas4VLGaEdsgTYmyiluyxL+lLAbVEo7qniPxKJrT6jXADW7dFrhnwOxFvRGEsfKrrMq3rIfDfiSApYftYL4ezKQvLUjOZ7Ho1arp2+CZkUun6ZUk9X2mW6A2Edhm/L6QV2+MZpHqGBo2i1VmZNaF1LYCZgjXmQjoSLQfFhvMX46+RqYo/3LVXrbQUXpZJbAspJYXiY0Rm7U5PI+zSFrq4CbcJRxnH6g+4ASG4c/UZ5uW4AjpYYRF+vQpwe1jXvIg9JAKl1vfx/bKyynYxzRmRTaFEux6H2iD8b5UxrkIrVqtKcFV8bDZl2FxTM+3anp67ZfBGBB2eETp8u8NYs7AI0+mcrpNyZyTELrO3/JD94zxeSjB9FhdLwU84O0EGXWgabJ6A+THN4z4xECWLE9JLi4h669SsCCjCK3eO0JFhlTUg1Wo8mEqbC507uLdFYV/uwJCUIRSHie12QintK9W7u3jK5mAt569HPRfL6niR2AOdSCcHQiHhmEgQYPdiEZIwbYK79UzaZcJ4ZiJRrb7+JkosuGwnOi30nlYWwgV8taQ2F8LfpiGTTl0Z0R5dX577uhDfSCN+8n69/hi6C104JvK6uDMFCENE8OQFcaL1vfkARWZrWMEWchef5WtWX1yDUWGfi+0zRinG5POeIHUVtpVWKR76JQSg9ieWRImmBYDQ7wgLgeQEsYSDNQyOZQa2z2acH6yjHStGamRcAJOImPo8WtnjMgCLrc9jw3w2cE2g9wV2YgkPvxMr07IjFsZ0A</x:t>
  </x:si>
  <x:si>
    <x:t>TPkJsHK6jo9IPOXOwYi4VA2RnhgxQb2rHNJf/zBFhPiTqne0iIjWUs0gc7Gn8RHZ4Kaea6opea2hoGSk61Ib7pn0lNyKrTyaf3PbS5XIwfFOokq9Btnb6pYeE5wq1vVkgQDIlpmy7Z0DM6DxADzEBQYn28O4pOx4Ve43JxmgVOtwy78TqRvpCGsBotCHtd6+RONxJq/unlkAPjwxlCSE3P0OPjo7zYfBiAu4m8jLol+a3JVeHEqimX8FaRSwnukoSbn4GVfboMeUaTOQAJV+5ZYSvcVf3VGVLC4BjILvFBqK41aNjcVgV6flgUqdC1DaJF5hLUJN2kDdb/mInyTFrDhQh276onwvWDPW1n4vBpnbTcBoT1oFC6XNS3M4q4M9GopcU7XVmLlN6JpDPMjR6TYyl1K7JUaec7aFioDGFXwCyiWEvxeFlYwag4NKhi/RfHrNN7sPOChAeDJhb7JDWn7rFBgW7QKX21yFwsxQRkPyTCsKCzKKA5QjlsXgOZ0ZzDn+g/zCxq0YyyXgTmA/3SFS8/5syk7fYx3q/dFouATfQuOzR5wVTymRJusJapxRmkXO2EpKe0sxQ9skjtStmBzEABSPDY/rgx/n3GTNhOmuPeeAxxHrybYYn0shbJsZR1GaK79zsqrxIjzDSxAvQZnq3DgNYauTwmTIYiNF5O5XmetYD3+UEAIB6yfMUbqmjRJ05uDJGFye3phomVYOYubcVrU5rSQ4tDmZA0NlQovMjGprZNASer5yXtb1ohQh/QuHM9suREKWmKbAJqaGdaLvS1GQA2FO70J2vTFr9JArq8aI8y5osIlV3Rx29RWfDz8UzGLHhx2Mcw+cQ8V/YK1Xe8PBNI2TzTREK8rtoJEW8gcctKN/v19apRiTJUi1CuFXInhvT47iQPc7PtqPwrGsC7fjfpb+gpw+sDNWb7umtX10LnMHLHbsVy9RaYvgdUzcRVMzD0TkXkom9bJ9DglOrJWnsUNGKTK6N3Kb2iTcM4IHaRPuPJjDpE6CsSL1hg4/5Lql2/6UUr+BbbqRJYAvksd04W521sOTpM9kLjqvwXf5mobah+tgmKgv8rxUQvjRZb2ALRKEsRtB+mh83joqnHMYwr+H7zLPwCLVe2FrVjsh3hNJSQl4n/IIhY/VqA6omkn2CNaV2eZiT47XiCPmskihPN5rwm7HuDG0JZQDxtNmzsJojHp8KeknmAHCXYiy/8h1U54pef11w6aRMxQRw+ULkdZ7D3kYDls+iEuUTAeQNlDHv+qxJBVDmZLb0OCF2JScD1jQLwz9rERpgWa1+JvKVQDyiGI+uxR6viadsvIcnJ3hy0eAYUEin2XD5URgU7w3fYzJRP5ZNCjMvvSR84v1yaP+yfHuLXmpu8USQRfV7pePBEmIfc9ym42FJ9bPfQcUXPzdSeK/Hiky2v44YqnychVc4akiRJ+/n9QMp7QKZxXvJM9ImNhW0z514K0Nb/KwUytkdPgclBgK0azg4Uq3Mv0TsMsFeaMGpZMCdZaJCnqQ6OyX9hDyCqOyI5GoWFx6Lod9zl/KvUTKgFIO6/Hi5Bisen8CAURtknVPPqLC4pzAX33jehMIvSci4BoAp7IONx9+sTk1JcEVOzVMEble3gvpfYP2l7SH2m5PmpJ/mzS59TTqJKRbgla/FbbbFK/bM69lDEXnISeM13x7bkQhaFtauzgk0dpZnbR0rPxSx9eExb8fUppqvGA8GDP8y+JsDjXgjjLw4FFWK3nehgjh+uyzcF4krFo2OXmd7+VZCs77n7CKVd876E5icQY/QOaVMJyMhpRI+WRDUH/KF2+pp30t9jTAx7o9iRmp8eKK57HZ3C+q2AqXiyzUB4KJ2ZELvmEvFj+/66ZRjvffJY6x8FzjK6NS2T07h3nQjEa1ZH40custgzCtY2hqKXZkkEYf9ciW9GKo8Z/EbEt/DaC5yYr2SSkca8nv7hlWXNUExzq0P/ztgdY8u29TwIXsOrDb/LnylsTNjtDE7gWTyqluR043FhqK24uNPPcHq4sjGtoFdbrUeTwKc8jeNPan7zBD35CNfPgu7OAGZo5qc/b4agMAt3xtWWly/XnA0xG0avAh1x/zaL0yDwJ/K2w9LTG4utykqLebtYXLlmdXLYxVr5XMLmnaXYfBfx2m2WCoVhC2fGnBDUkmQreH+GPcvXhFkiOXpz8y+6P7eIhboOzudlmUhTF1YGxMTUOXhE4/4jIkresUn/eOUbXaYfY8BSTNgxylibSeta0SBZAvUXfy7rsysdqPl0qE8I1uZEUn7Dih9hrWkHAiSW+bH24rxv5LIp/OytLEuzKfc2+jhqo7zTG3lK0he9XeCJ5jg5rL6kWd7R0lY5pLEdxw9PHL9caUT0GCnjBipz8aVQQ/r98YQOzcW1n9TaJB4VrfWIscYCG/nNH4TAqF28M2HX92Or9zmGSDwq77myde3Wy7pskRB7dZqHWmkn2RTljt+pCtrffgOZrX9isipewmrf0JsFqJP7piwQ8SA+yo0SfPK9HjjeeaPqXtVfTwKGVFbgf+UngkAciS5GK0qERFUYnRkTBAyywYDNUEmWU63w/4XdOOSOjrogf/fbNZQZUetIkdD1fwrx7Q9BU6zAMOx4LGfwtSSlvOPtVfL/YFcOTwPi6JtStldRgxUr1a2JmankV6laIM8ijrHX+Aih7aoyMJUuwu1EgLIJhr2kLZadH4KIcAdC5cwXajobL7zz/QD/Tfs+o5FhdZ/bGlA6qjREAB3gP9W1ir73araR99tHBZECUAEkihflwDinIsT4yKCu5XG+jIdoYrs6P9aTblIRtq8LzQpQ4gboRP4n9twQGhJ2lqDrVn70vZUfNxv8uO7qmY1M1GiDPLi020Pb3WoIilesw6W8Blg5Yhgj8daAzgEvi+/hKMP6RPBKcBuMsTPxJav0pkovj/jWzKg0qWOi3tPP2wZqUcFWPB3fk4ouLiFxMkpa0xybecCOHxbdcHWKkAcDHdYX8Q2CmF6LtGf+My6sPInJg6n7XMaPigv6bMmUoIiAobaAISWCIi4/TuyTA9MpTg2AYpJYcLrc2P2oXt0V8Koua6nre/xkrrkWD/oVfgaPUCMYJVG+ygQhNBqNaSpgDVuJSCG7buX8HtUhWGwUrB6aFB8eafSl+cYzDXoNoAQtMbXAP/9MoXitBS3Iv1vDB310qoVpZtRZBkx8SwZtpsIz6Us6csqO5NLosGHVZzuqLcrjiyrFADoAGglhWv5voO7f1xcpNFDw5y9+d0rgUcaE17yzwAhWOeee0IpsOcX6ry7pZdj6ipN6Ws2iejY3Q0mCJUSqDTkbQyCIWY/ho2SoexizbQv5nIlj/32qEXS5ItE23tO1yf8u4EaWN1j2SE3AGi3qmLPml4lfR+seJNwhwfU2fuIWcgUeXERP5tb+U4r8s6+WnWE7PlzDXPfNSzVdXRnolm1aJ9kLVzh6XD6/89xRwA9rDHodvIDhAMgQf7Dvlwq8sppHMzxL1tBT7Z0o5/1hab7IucerVMnzyibTZBf6oEaXsgBKP93hQl40zoxSv9iAutkGdoQbA+A07yBcWK3GuIlfRlmfkIKxqs+Jbo8HSb6JSkMnLaTYdJ6RmQ1Ojg66pAM9AQ6XwwYKEz2Ac0hYTfmuk/tQITOWXiqfJKPd8FlsfRmZ6ZyTXRjNAUaH+CxIhJLObW+kjrTyoh3LqI+Oiu6eTzDn4V9d7wJqkOS4GEyye33kcgEPLJP55vETK0ydkHsK1sWKEdvYDzLg+EoyaPlyesuM5QNnyWClzYtnSPTDT2u3fkGbesDdqeO5l48RSqXJVXiO3L3beb4cYmqNRdQ/45Wk6xQv68BP3XxCSn05eRCCX3Yz4ADuDTwr8L+uPsBv1AnN0bD22LFovlWUepXb+B46BK6zbyz8w4qeBu9+GaCztNfwhDz5/r6hu2ABRX1IFUAlajHl8PSFGCx46Uqs6qkTfNL2OHf+3z7oRfhzZt9ZpPIltQZIJX7h5xq2TV+2WFD3FnLiev8fREy+JLn4iyZS5yO0AoHMw8wH/EAD4qON1Y8NfqFt1E+8eXlUyKhA0cL5+eOW1rwSg5rW3Kv3WZfzDRtpHHolQ06eYiAzeM2Uw8zIZOWYtjPk/j1VvsnDSPhXP3CZOzRdBBCezSisS7H2NjVEkc0I+hpr94iZLXHb/NaKr7IEPb36XN/QWNeQnQBZBmzLWFEh6D9I+hH0ZGPNu4W4f9RcemnbsxjzYjKpq1MOklpCj1woT6ITqKcmVu9QLtkg3pip/a1cca7cnPFbS/7l3OPM/52Aw3kFXS71zwb51UdReW/jNEMpooPtX0IzYJZNYH2rciRI+XMO5vUdrKFfcPojIwecsohh93OVk4Rd/mAwtbaUNDL+4hS1iq4qPVI9g/CqOpHEAH05NJtPQnQS1uxF+7fSX1TxTyem8vjW03Ka9gAAXom8yGsizxaXcKYNzDsSVnWY14fDBXCE5bFCVYDNEqGNGeTzJvOeMr4FubqFbrb2TNmquxB+dmqNjRODP9DxJsEGEimhTjsxuClu9UMUu09gtp32MIFXsgowzwxGTp2qRWQAiDmMiraqKHgoySj4FeHceICWRCoBa0Oat6h0mLEn1W763qVp+DnIUmmFQfmFYu0ImcAtrtEvnru3kw6YJrHwbHEbSaWpsrrCt/8Bazvme7NobMVe2fBXZ0QU+ICzIzuuMfNg4YAyJZ34Z8va88iKKRhHgMhThDRTkSpYTjKDua9Xzvkzu5Cb0Pi6zd0kDOEsiQ4WJ4fT4VgA1l9TVDs5BwIp1BWs+7QFxYJUdUSW6Lf7k1/ek0TEmqvd2RQtpketnH8Kfc6UXzolx7oPrSqhoiazsAGUdgctHRLI76nxIDjHrjlcuNUzk6f3S5v4Bx49YVA4wxHFD4S9SHlIvrXGOGRRlkJL6+KUmZUD9v8WLrW1FzFVl27H/s27IcfdzkSQnHll82Xd2ZOhE7+xyq1flcrERt0gxrtMuuS/kwihfsHnJ5Am9hy5IXGdlbb5mTi4rE5UN6nIPskNMbmflLBJ31ujtLCdyOqnfmU+0B465wl7WawB168aj71LMAzYooh55MmKU+kfAYwi5WK8e9mfDENeOiOk/r43wtHihSwbYOGnSX88mLRgYOcYfNT5Fu9JpSbsWbC+DoPnL6GLo2FIUEv1LIpsIdcwCmDALjJzg0SJLGkxN/i/c/4SkdD4DZCP6iEclig5ztYySDXZwddZdsnZ8cUM4BGobkE/Wja0d2AvCkQFe14KhtxgWsQU1795NjOYG2bxV5IEzkPuRsX8/lNpO03HEqECssEN1UZjzb2Ouv26sFMQWtMreIUlOIpyfKOYDJNrXvP6d11yAyQ0cjVbXVEgzJ52GrDYV5lg/RmTLPHseAGSQl95mYHANsEWtd6yN4PeH6YyhxzNoUJSJeqHes1dE1+ZvDEvvGIeiV9NSXpwej4xjJhLSChbuFuLy9QxYIKWCZjrelRftvWjtn8EBrvzWg7CRzn19obrYW9GgKUxDp8i6cC+VLrb4sDCQO3sscdIDU8uSLBmY7IknCSX7gLxZfwEO2knsypNzJmutbYAaXmi9cgC+2JUnqxUepJQ9q281hrBk54DxPydc9DvQ2k0jEHSPNQItQKKRLwI4JHdpoBRfjfjhOtjP9B6tega/5ZlrL6jdjdwBDll9GVDnPNRmN8rj/YhkjG5hAPdwV9v+7gAj/UNUudiwp2Hbl17irvtli9bCyxZ597UKHh+rRCcK2CCMyCD9VE+aAr5Ll5FCeczPSXcEsoj03VACM05OzPyT5XulJeKSDM79yEI2c4R197MLt7n6FxjEKcS8XybGHiabS43epsHcXHy2MzmrHVUXE2FcFpaWyNre8ianH8QTNGJJ3n9p49k6g4eUAc+b2qxPiXR53BMifBcC5UkgTkQgyOFkx745KeRn8EuwOgMcDJbhKmVxQWqI/HwkBZD/3emGBKR8Hx3Fj1TuSqM6E+5CUWlMna2spYZnIZzB9q/ls8FuXxsh7ZX5Oz3tBAWsak70rIUeo7d7m/lh0AKqKGyMM0Xe7T0MEruVZjUK8uhPnzBOaBKVV0nCsF293kiIb8pEnSEXz3ocYRdIAEsMf0/kGzX1QONR/16W3H2WIhvCBGafS8mDqGFIG7inUEoo44kcQg5QDF4PXmbEPNRaoHApf7nGlUG4C79tWiUCPacHHHTteY5PL2Q19aOiOGACmDQIrkgFYT8QXdOFLJyiurnbhm5a6IjzqqxzDgCi/NoS7pm/GaYWLeEaNZhJ2hF4ul/26fLnWEiAsokw5FJwR4nbAYEWh+og7V2jKXjsUIHhWmSC7iRJnCFV+GB6u1Xws6HARDyOq8qBBNA7x2zbwWqSmCiMxTRR6RTovRhOA/xyEBD4qggevDOa0O8mlhHcEwl7bw7jPaZUyBnK2Wx4XZS5AZvDmvjGnTNiFFzh3AVKfI5Co/qYaJ5nJpCk9+EhgQehfENpEEr3PHtteMcqK3vZBRlUkz/Vs5CUodRD9fHkLqmiDL7AVxfwDGBBgFscLfobJF2BGxXFHxDi7g350F0+nd42enCvU0Cf15LRZguXO7jtJFgRRHYdQ5kvnBqqL1yuuBYaqvKtl7XmazjEOIQGO8RQvh5MVW98erIoFLDZ3sn07/OHsUP/I8FCJhK8asD4wfYeIkdlMndtO0mUDRKDXEpqmwmp26xZ68w7WwFBLMsgL+mjCSed+eoxIF4A5EZWvCSeVxxd9Iegke5V4rsqIhlNLTRw6+/EQsTKBLrAeLzk0sUywu4L4SQEaK6oRsRBi+F0QaVNjOhgiqS3sV72OZ7sL4IKZxltSY3KNLKbbqwRmUmt+UcrAQ5oM1a85Cnex6akT98e3zKw60vy6gCXaRPk1orRlZtZGbw0P+O17cHThcmf4j/6R8cmRJMmeQNrAp63pgTABYEQzMCw7zeAp5RTLGrVReZNazQvAu2H1eVtaDr+JMHtFq4m1UUR2rSLZUwj3NDJ5dA8av24TrJmGeF4r/8pE66S3rky55D0zjnq7/sbuBf/EN8p2zC2V4jolN7z+uxcG2mDNfu47qFMdLd9kJ7FWVbN2nA0CqlIcyIPbN1s8mCtnej8oX9bzg9JEGaHT60+exCkJw7/qS+lWymdfQTWrpFrVO3C9fS2zMo31wKsgLLpO0CfGB/dvxzl3XtIpu8FS6VuAz9RtawRAZml5jEiBlF+9AlmAFL4n1MTl7LznIz9zLXWpkAgKmcrtXbrUuC9vccGhtLD3LLExIZVK+odQJoUfaenuJVKauisOSHoFFae12VQTMBE9jQ4Qf/N/INgYSg5CC8EQtfjKuJgpzINvn6Tyoqr/FRH6pnpkSBD2D2RVkHJEOta/ReHqRf+4aTczYA3koJGw4BJ5T67gkrGu4Ip+4CbPTLt24yBwHPZIY8YC9icgX30LT2Ev5E3TqT+vtlWTHX64XP3YQM9WMv5QdFIPSZUXEesLYVMuyrL4eSD5mtMi2xxDjBvB1WYu4hKC/nWYFzTcYO4Xktb3iG02R6CF5+3/WDRA2sKespOtfuXk1HKmiNVh4uCMQ3EZtsWIRgO2L6PoWRw1R/oniyGR4KEvUFHcgWYMkMY9WdMgw+stX0QV+Yz9mbsxI7qpSrtiYrbVZGTBcv4smdgwsUfDZs8Mq/W3gMFzMihrXV6IDLWpk24GBzZTynCZBYnPbPaKOX2c4S/EXlgtoFCa863DhlgM4jzuIKvBBrqRzLrPUSvOqTPzLz6F35fYycc/fQ0P4DYNj83s1XwBLcew8Jy+dNmqQEyuiwNeMHzhmtqWI4jCRGqGwOCcg6LKRpDeYEf+6N2+jCpmkxJSoNCByHiE2R3+ZEBrWu+jweYe5uifQRlf0OsmihDQV8wgGVFFRkRbTLnz22Rw2vxSDNfPeJhgrSuh4do5FDhSKuNiC++yQM4KR7O3OIKzfKXRWY6FB+HCJICpFxwXR6qhcDXbqKvOmmOQhvZYVcqbhsf7wb5AIZVZwvgetWgjqL3tNIMA/RAcPKHbZ1j7wEoDuOQrn0KpeWvZg65ZEoh8kmXSkAzC3+9t386Fn6wz9alzol1MS2hTGNYE2/gWpzq+rOgqpvxK40xJ73IL2N2lFJKrC7P3KkV4pn0snbku1t7yaNwehP8MXmpy7el9B9oUbeJ9OIP3ZF7PToHKQhGoLcGNFZUjndMSXfoYV4LOq3ejHNbYfyqLND1K6ghKaf7oMYUeLe62o2wL+ljX8zkivXgxKmh3sCsws4A93Rs9hK5laz61ujSf6vrb4Razr9+S+xaBoFWEt20x5xopJrdujSDqoTkzvjhsak1WvNT0pR63kaFDPGLt+2eyRp6WvKyYPTqaB1zTuafTkLdEgCUh0OS7Gj4NUXyojtrrT5Qu/uO3K2PwUmz2fMVfXCgNR5CfJshClUtv56yI1yZwnZZz+REzZpm+1+lCX3g+Vt4GVyPP5t6dpMabOECjlycsF+0Pl8Iz1aqOmo66/3eihTMUvtePtwPDPTrjm/CYCZd+PxqMc7d//rArzxuGule9X7Quq8L+yRM2yB9wRLG1Zpa6DE7gO+hsnIrj25iPBa9YjKWXknNFrX30Gru0JeH2Zej8XEmXJCGIyuO4QB482ulyNz8v4WjJ0cy3UdWdsXsmLeh/CLB3NuW4Zr+jMVnF28XFj6vK1TXZuNfVXdDWVFS5/AHxZ4DeRNBYtxQxlz5uqwSJkv6TVzWXbP4jTODFiWsyHwmWUK5UjI8iLlR+ND+ibeXgdyjUKj+y9Q1bBnXLMT6F5DU2aTMRMQ8EMQYr0EhjJYUpAzg9MhZwpwKIMms79xfJ420AWryU+W2etR6p0TzM2hygDeVfr2mmWPZRsm98mApfFUOHJP/ZuqKPXYy4lDQYOkjIsLfOaRh/tvnJO4gUX1TPBNE0HiPWzGm7isoOpeepEIwbXTiUiR+2tKdlzkO5ano45a1rDwZV4XBShWWZldGDDqqkshXuYaU+lXEuUDVBntPZu88/bizvIc2oT3HsaLswa6faRgvtnir206GICd8sqeTiHfWx5r84uDX+R2JK6Zk3I7Po0QNK9ok/96iaD90iHqK3Sfp4t8oO3lLV3tmB1P/hkHyjLRwEUt6Of9R9jnIdGp95aQMXshsw3A8/OXQwMIokJ/B/k6fSKwO8h7CRd47hb9IeARA35McPqukcfjGJ382hi+uHSxMnyJ+W33NxqnX5OEFIz6hwpwUYWCDInillbcrZxp1+lz1te/HbA9lgx6OpEWexbfmwjawUqG2JWVfxkQ0nZ0XLlsyIgePslVNtZIUBInWmBSXmI3u/yJN9PouumUM2K9RSuXGqNSnCic/pxO4+B351nytuVw0lId7+wKAYvbdlgTJYHcDYm03n1PDrR0aGa4Dw/x90ohRCYXTaM0JVJVPDRsHn/gPhqaHqik8KMj/1+SufMOR6yERY56IzRqr58YWXZgWnpNRuWQfk5xNTSi429mq6JPbTwx4g7poYbmRS/gyHnUpsVqJAB618fexMLZN01hlkB/SiuCTh7vqCYN01/8Ezr3TAyoto8bNLKFAfuQ8WbXCpiWZ6Ek+pfsReAa8/jTX2/w6B+XUU+PK3q7SaHAV+Y0+mFGr+36KCFHhfyf047vcA5dbCPtfAxj8cyeVdOvSM92+OcgpVDf0QtdeO9s4IPbLTpMOy2d3CHMd2rctLBBRWukJ8AEGp8vLtgM08tJqVd+6VxFJ1ICNNG0h0H3Bp+7OuqDiLykU71snM2yGLRiE8//TOyd257ckAlfZYCYo+db5vIGC9fg5XpNjKKuNR6TBzIysC74gbcwDVqnMB8S0IAxWfjZgIzvEJcjfFCIC76hech0kNrzH1WEB8PyIz8eOXXFeS3igusz3DDzDiTfQpuF4TMdH4lNXKSTl1AvSaCZqRMNvZsNYO6fpb4iF78RRQK2wfCME7yfpglLx9+XrUvjaQEGhu2ydbCGauuEJ21DyfgrwK2gTca9ddtVB1pWnDefwU2Pl3H9lXsfDuRS8uNMyuzKS6vp8srEhpudKh8nMHKs1C4h7qX6VE1pRZoifYRILTligLuAcPX3rN3kq50PduFSBrzkUDm+VFQCH/hiXXC509ctUdTZhlYDlL0l735wVKXwq/4W4BI2VnpuCX1rWDK1ebkQ6Dvx9SEwcWfgru03jFNNUUG4d8lExFL5dbCqXVqZgVf+eOvK4wDVJ0XA5EiSlBa5c9U1Tir3vIr8Ovd5W450s0bramaXXh2el0Kz/XJ5fS98HbqYZKT71ummajkYTXCtgMnq4YvTqdylCf1KlBjzOP7RczroPmWqcm+z8CkfgR7kWrOJSrgL7pEn6zcceHwxXFnOon7hr1UfIn9E8ilQw5XLB6h2H1vX2q3mkqsE+qH2kg411MM59Z7Th/onK+WxoIkpcwXYAYUS+gpHMOqVfsNr2usX+92tcBqjICSnTK3IEao+1eQAmpic78Og+DtdZqOd1zebQCxs965ZOD2IXaEzl9rDoI1WUCnQWtAK9FLiwhKrDfwH25HfC2GIQlQ7ihUZyRKMMqD4BVXUE33w75dmOtXGnHzzvIrt8oTWtK3A+8rjNtxsEYb5YZVXfwaVpj1Kfv7aRm9yUqlnrEDKaw+14snVBbaDZR+mlVuDAEXu6h7p62r5M3Ju2uVUKVtoCh6MTEnA/hUgrS1PgswUxGPsYhqtd8Vlnw1RGBXuc1lSLhvsvYLaEV8+ESYIVVIZhZD20wGUYqpBFgsT9ciA4p+4b0WMPIpvAZtdYwtlIULMm6lIzHb7UjYo941mBlPoiNk3S+vdPnKReT2OEVIZABqjq1d0tpGNgwcyBC9kBW5Tn3sE9mozqet6u6kZr9/57KQP0BEvQJnHdipGyO6ark+tpvHNWtXGb+XHLV2zVD/+Ld79F+giyJizTa8KhNI3Z6WFF+ok2o+2dG/tFNC6fU+dj/YB/xgWnMjBxbsgagtcmyt/OnIMGPGuVBlTFND4A+MOSNOkj0juJAlXwvqvodL7cwlNaaLreekMT9T+SGtUT9wloM59bth1if7LNx0tXC+e1aTPak4k3sUVsGdyeS+p2aIuyo2LLKB6FCLLANsMLkAmCFFXZvPNPCSr0WA6dR7xx6aVgOpGoHCIbMGBVpumBeWt9rf7/l9qDIfLr2SKk0bUwMDgcblx3Nmgofz8rrmHhpWa3aace1gKcibknbzd8VVINFQ1JpxKMvRgSgTQrpRS+x8Tkp4tz8yDxbtOWSEf4YhVMOaDFLNrhGlGQFGQ8BxwfM85yFVCT3P3NogbbgKcGt6huQdNSiiE4wfQyMwREphPfoHTpCbNwkRaJfgOAI7b/RdJvrIMKtw8BH25F1jFZQzHe9XsXFenOKJXU65DzlbP18x5jh5Is//yKvrEvh6/uEuLpKNMX81sX5lZj9LzgVXLz0quBydrWbq7Q/FSBS08FdYziF/3iUZo2g1FjvgOTQGsd5oBTFOrOdKPDv0qc+/tvKERl0mJ+M8ejY9UXXRshvGsXw93b/OiT46eR6jISkfXPn0W3CWPYG8x8wQCpRaikxB60WceHQnRGl2MV7UfDAXm3PPG/maNddkkcqpYLqd6VdgbjkOQbTN0/k7i8bj0wQiEzNo5lkLf3VS3DukAw4bHNJAaKHtzNmk9SfDKx/YjLHdoAHw966B69PDzfxZ61iqGZoitTnbmVTZUZXTDWiasp1j40sA531WuReBGrSO3UprUsBrKGQW1ZFAirP1ipvJgyZdMgx+8KUcLulRqd1yPiGPFkUk75BpVontezLbiisMaDTrNyD6H7m5DHKGePttv8cfOfKrPCDLcK4i6cM3lJU7aYR2UgYHdDZ7q435hTOZTCUBAWZo5CqTOfxEpl2TNk+3skzKZKWuC01HUwjX/VsS49peUTX3htYqqdGGiVxdMxCcicqfZzgFLqev/7PWkfTEkYaNW8IEls2gYmRyKeb2TZaCq8WTkdhJP8/kASIShf6FSO2lMXmlatwB5R52y0TQ3htaGm3m5uyPt1311tk8dP55mp0OzAQhNZT0Cf6hq/ArrKHp536otw9cqRtOGVJx3Gn2PPL8IFLUmLYhp8hT9B8SmwedVJTimg+fgmc+mZ+IVkU0N8AqpRa8xoQ4oCgX4OY+cHM8DHckwiGUm4zlZYOarQnh+5Tm61tw4O4yfAxqyPTrtI/pPaKiUoqa0FntL3W4QqYPK0Q0LFUaDER3tQjy0H8vdXD6zuEzvNJ4CKFDOlJb0yJNTePiapf+eNN4mygZycVet6SCPWN9+tjX49eLKjYTPcmNXwMU1bu0sWjlE1SSjJDif9Ln61ABHAgcwHbeoscDeRBaKHCedzeIdZYm15nEvsuiS3sKxovrcv+YcMJ/FCgkSXkkRa+HtnpnFShB2gZKnpMAQ1iuS2FEp0dP6HyTiECEQBUEPuFr0pOIYd84xb0/fVDaRebLi+caYybdbR6xp71wTR6AyyaJvMzk0+W2dFrzUwmG4UPSti/5OdVcqDfz4/DNnmyU6xDb4gzoGdlmZ+HK2Cqen/SprajV37y6kzGfNzCCmQx1cFDm6JlkOvrZ9T0TLJXJuf+9JL5V6TePedCnuGTVcn+SwEMMeDd498v6UCBIAP15unQVxRUHhJqNEwhWpIuppjhsf7V+vHw8p7CxwrO+aczrMFya9JrbYTvTra373cN5m0iyPQ3FXOIJWZC4u3dXnooHgzF5KYhNpzzY2m686/BMWxHZ2f4xNI/foUnaqTleLzfL3OhDRvytZIc0ptwu8WYwH50sr6SoNw1vDIG3z7phGP9aIouynFhrR0F4B7kXKcY5yv18uvCosJ44auTycUZ+2Pp2j16A+YMw/PUUOLWCSflDzRcjqYO2YYq04egBncuLzBrM+6n7FNYqfcpsPpDHRgFWsrX+EZszJbT3tQx/U/CEhToPF7C5wOrj4ZDS7p5nzdN9PcW5WV4lVNDTqDsex9zZRMeqNi9Lkwmkt7WG8T3gijIHIiot31Kwq0hB8Rk93LPSHIwIKxUkKGDw3/gV9mwsH6MdMfvVvVrpFxlI0dRExr5CMU7yXDlMaHh/3y/6Wq21jNeswzBlkX+GHI24Se7ALq3ei0BiJCG3dYlAqZQAiIJI+dVhAunDjwE1gyzT6wriQCFSmjCaEDDINPx4RGSy6HlfhsxiE/a9pwpCHCIm/btBT2bXxhnzw3tiAZG1COvpmnzwjZPKCIJd6UlMFVsyttUf91KPJhPbpRbBfU7qBa434nwDFHl+J+8vhLVPX133vc2D41+hQ+hXZmzYJZGKPBleV9e8M2kgSQp9lZb4YCqAIXWHARle95IMLogtu/eMNxcLJtw7bGvmCbz9iPuBEJmLebgOwbYW1AxsQO11wcCc9Hpx81pCNckCeL4XE+2udN2jF8nBGNH5qGlk0XEq1iidRY6zltQIQRTucUeIiRkKdpLOKO3NW5PKrVsAWd7ojig/nGn22THgygAXJY0T4X7w4hxRgEODMhBks+jOHlpmrKlOnVKJ2ba3dMMn8K+Yv7qkbkfQUJ57hxVaVdGmCfyZuIMKxXLcmPXYvdw+yV/u+B0KPsop3rd49esqEbhkVdaQh4pLwWIazmERaog7zOTjIXNmPAVf7UbkoYblarIFbWRvylzhlVBi6ouGBJqPNiyN9zBmDaEVIF2G/vQ/IMyW61smxF1l+1A1qPYZwZwwzyWwRhFubnkEekRcyT5DUqukX8U79scQmEpgBPT4w+FVmfvHOaMRozx9ouo0kBsuniXMmjCTXhqNiMUkFImtEBY71lh3TST6LCifKXNID9hECgdFR1p2lLVN8v9d8Jt+RSur1+johkHUwGA4Ey0KNICxKg/pkzlrhGVtMsndxPG2ElauBhZu4Nf/UTDHKQ3Ny1NFwH8f3ZpW0ppteUpL2HcUivAxKNLNfq15E2S5HC3lyQl2By/UmuPd6GdnL5bTfQsfAxCOKm+BMs82Ofgw0yYOFK1YjHyRP8JKcJvDzaFwo0QjwNcEcOLQg0Lli3aR3H/JLTXQHfyEOtmJxdziM8FY/PDAyrF0LS+fJ9mclMiPPuz8VlPp5Ov7vl8HPJ1tTMQueLrPbPBX1hdBsVJ1B3ZNv/z4jynEZcuQFsnec4Fx7ZLpd0k1Hq5uv+eGdsUEil+32aw46Tz/uY8a+rID8Ms7kSGyG6hdk6lNWsrga75z7BAe0/EqoN9WA1G7aLWYopvItCRXAhtxPV+gDKV/Wj5lRdoJ6aaJGRH5+V9tgh1qpiP2wP7yw71kayEvByVfF54owvMsnylwfcCDhCJAGCjo/H+ZAy7aoye6XJu0fv5IYKLqm27VyGyllZi2TsUMQuFhiROJs6UUAtPl1QI4GkoIKODVS9QniiS/4fewNiu1B6jkGem7Klx5ChUXh0wroO9Gegydzv1ogDayzFIOu7wBY96MADj8FRPHGpyAMjKL/9nj9/0MfvJD5Jn27RY4vwUHWOyipw+9Or0l/nmB5QeatpG9uwMJvgNTP49FAdlWDLt809QzVKx2HiC8akaLe1EW9LIR+c6jVyueLcxxsWgMUTyv3D1f1hl9LaiHJYFa2flHOC1HF5uEST0Sl2V0tekoUYusd3bK7nERCs0K0d0YxMvMr2V04C693jbmzgjOn2s/WhsXRrB679kATMaCAFo+axDZwwahEralKejgmJYG2umLk0cw80RsmR8eoanWApzygmXQIh5kbJidi5SRCSOg87zKOtilS97jPVHY7ZGz0jpgsxwOjC0E8LEuf40f9fopAfz3ASOFNwzo9dzilfynprH+zfRwaH1sIGMgbC0wriPZaVFrouttpfg76rY6kisFEP1jTQhcZ+9++e/fQgaoGg44etP6kxwPmnZolBCrJMtLGBgwd1s+2oK0dw7ILzWGG9ZEMyMsTCUL72IxUf2uxjpwCN69DLVVl0FJqQEXsEPWrslwMAp3FdRQHVv1d0Js4g0MC5cOMqmJWQ7GUWmvEZun4TkwScPx4qEQbrzOOvDgFlDxOZYmV1Z45LZwN2E8TmvZoEqQGmvgGrdqiYW0HiAiyQDjcYWczVejLtUHRdCal2NgL+X1MoJ80Z0XAkTXZj8gsG712j2RkH8PXKbBW35Rh72av601b+snAlgmN1ZEpeWJsj6dpMmFNACBmFThSnZhUXp9FFSnE3VxOA2nLFaoFKPfBlp4xdpeTMVFCOPdN4YWbr4qJ3ehVoLF224kha/hpIap82Y9UVEa1Rw3d/o/vMrSPM96UuwbUjoax2TFXioOCqpWEtbKC5wnL/ewGlo4yEJIB3hafWpHhzhMNSRwZWRMS/kSxYtJ0DEajSzlwk8jsHD/VAtLL32JOe5HiIxeO1Lms5l4Vt8BF6ofphUCsLL6G0r+DPwiwOVA+zfB5hMuIYaB57IoVK9IbKun5Dxn5MYwAxo7RrnHZ1F39CMMjkk6YkSqDstUTfV06UfuwymQahKF95M0Wd+3Coim71rvsq7dalZURBBC19acWhyaimXdpMxwG9Wfa4j2ddvo12wemMihtJoQJI58pcalEDNgd5iCI6Xk3bPXTy/frsSzYVvvpWfgFyt1mJwruoqBFNU38LN5TCw/0N2157GDV47cDC55ey3gDSSTjgfPz7F4h+kaNpbbIo6wS7NtbOJY5KYEym8tMelUD4dUgEUczxIfHXeEyfjU6drUro2YaxP0PhM78ZbYBK7DRyB9FcOC9Kz1T/Zb3ykzdu2X87YP1QtGobHRBADEvflcK5x/DS8PYsBJIoiLZ1xDyq5bD4GrRl3hxvU9nluMlDVg87p8DKa4d0IkB7xYnZ5K2kl7XFw5ZNbxObj0aqYf42motq8iY/JZjZ7vLPl4QCupBfA58jMcsfXbtrDKQTpRDKxkkwVW3u+JB4xBWn+lGn/eB5u+q5LQlmuWzK5yNZf0n/ArJZ5gA7VjTIzxjoV4wEftOCzP+XoNsw/lnUspzkDpUNUXCD7Uh2G0z5Gll7m2lg2FaV/Uz4MSMfoAO9Rl4lPXKuwqXMaGhCfiCwKSSvGlBktBN1NeyjOhtzJIkFW1X/02RsvqxmdBBOJbMXOat+/ZCCb+0PqMg3dFpKu7ukvzd1/H8YnnckxIYcFYpciCyorOJHsuIO3MEFOw8ZCv6Vc4LqIo4qYGZtISw+3DwePw+K3hf3e544HN79vwd6EHKdUObB9qSojfV/M2Zhwzt/T9n4coumTBdNR2i/3prjy+oAn8t2JCxhuBOND9gnRxbiNP8qIp5GXzZUoRwh377zantIkZfLAeFZnGb3MdjsR0J2mQjfxtisz1KCkBN0pVlS1D/qxkYJegK7tKyX4kPGCNtO1k7uew9U1ya7dyTVDHK1GDRjt5BZj4lBlGkNev+pBGqcqxL53DCvQ0zUglaxUMU4LYiTSnNlkejRPpByoyBRB8RukbKP8cUdFT5eEk0vptPr65YVIi6Pyo6+H1PERYF7mx8m7Gi8HOi2e/a72MNYBbrNnSSHDDb7WvSqW57todoaGIUkaRSVHLw/WXzUKjKODhoWsC52uIx5a3M7pzYC5FaWv4asF21xxCaPPAAw8t12AmYbr2qH2D9MFJuqqt+x8yfhrHVjLkq375VXUN8hRBFPKYtumip99jPpNacdUr2L8OSdi37kE3iWDGLwz8WdMpVLhdkSHMEhlKHKoF4C2987t1k0CNY5f8kdMHzSNYXJsFS9Diz5wU8iB1jJveFzfJ3QsSYCevRdCPguu5Wjk5L9u5PLz4yxIpu/nxpBLRjWO0TWJXoydwC8gLSwvkEWyEX2nSL5hmR3ZmdGiIuvGaHx2IigPsSDLTCNP86eCBC2QZeyO8ylQ3o8pDJeTHhZ6brjf/GBP9eJQn9A0WLiyEhoeqN+ze7oV7T1lf+Erl5tj5knim6KIu9IBpXtKRdrpqcSyfDrFIQOU3rJhGMLY5/1lnDOr11zsDI4pH9lNRzrHKqT1QDn6gOc4jDxtIXtwXdkIQ85qUvut8yuiN9XbqupAmxW+aWNovtDf83rh86u5X162IU4hlOG3L2RhSOGPzENhq1WgHvedCaqf4kvdy9Y0na4Hfdm0AcZOmFqNnRHdB7aN+EQi628rmnY/fgaBU6FVgl/lmzDOjbNzuybGgHvcpqGSGi3sQ2PvrUPe8hWMSm3v3dqAadvL2KLhPK6S8JZtFPlqR3AlCkGttxtWcQb8gtveJRkvmjBsROwMt2xsb5aRff48U8xEGj4CVwLLMMv9J8r+f1sWkeE28Kp2RVxJJ+5c28kpNECsKx/r3/NJjF1HQjlFY1cJmpLz/dtcj1b7s3Hw8kKg0W90d6LRljbHzzW9dxSwKYzKkU5BtHKN2pYuAYR4n5hyWJw6UApHk4gFjFTOetTsTWEyQDCa4Wqlkge16OCiJOuLSkyt4jGc0Nd0cUK0rz3KU+W3wN1Ko+5hVA3qFHNSHYgSG0FtkTBm1qpS3G22l7UhbmHGNv41MlRCXF11So6IOk+8f/1MIosU8hvRkfXUpazcI6dT73sVcWHwPPapWPQZVlQ+pwO/ApSOYZnMpLMk3SBh4H2U2nxlQQkZyK8zi78SAWQK98HHs6AH7SJoqeFHHg8UKLdCgDiZaUfX8jntlBSksmjFcayTcFFCf102+SVwXhLryVrzKQj+MSfKQZMnCus6ht36ec6ykgf5x117VLJrpo+wanicqdnB8Ir9o4URJsvk0mEOrQ0iHOy0j57IRESxYJf7lwRolxe0gNZ0Wnp4i3gXbp+aLCn0ZElA8COZ7mfeVaGiZJxC5Wb9BUmfALIWhrLmXfOMpmPT0WJOaBGoXCIkvC6f0331nrec1c/FIX1ti8mg6lug8Vn08GdUQYVYUW7VFBmO/3MvDwDx5ImNqPEAbxW+UZuGCuPAJ6KR+4qvE2QAs+JP8EvIi0FQldePYmrZOfnO8uud8+vxsoeQbCneOsYC7TYumv34EdGkt5ZtBhlGNHg8Ol/VLZjL7kB6REjvpqqwNez8HGzGbzJnMC7hopUYbvaWDk1d65RxpXntrVJsG51CsBiOVYftetOBHcgsT5xUmzc1jFH+qAJjhpFX8C6XWSG1/s69g7gf4Ty1DMSC4u/6DLaHCjAM9QMtEmh9r3e5PL9sesNYXUtuddWAx0cKFY5S7/HCK/C+RejPpXn6syJptlH3sdS3VkWcZeJ7fDect1tWkKwmJQmYHR87D10x/y7v/M8fNZ6Om5OXlgwDf0VHw7po9amWgkgI5h1PINlw3gdpP212Qjj6WNwAOFsC1o3sKGm67E9TFlpJVacDClwU2U8TBIObp+d7c9Ql28kA1xNz4PR/XnspvDkLIZQ6iQzcp6stPOdoUHIzyefIdiVQhkU5EBon2irPy41scLoB1v3gc4PazhxkQ6tVTVvz5R9mE6UERa4Y3+oobHeO1Dcpd/BMkKnMC4lqPVF17FY1xvKl57XAMXoNAOOfqCx3QFezsTNgaOJZedC9Z2wok6hBZ6xXkrK4V9T4KSLKu4UPyioHPoluquGnwJ0i6O9uruKqgaxGaHnXUGyLZscK2sN5rTuClj1nIlBcrxJY8DyXTu9DJnXJWh6Lg2EF4wL5VxNtwCpiTFwWFCsWXUaKwtaf1NlIcgW7m7nkHSroSTP/lTwsxIqrNfJpSByQT4J43DZhYL7lVEf7rvbyb2dm43APhesnvTnEqWCr09tddsdoXDM1xgxtrDQXPb3KX2p0b/7U7SxoQbmb8wHUHlSlFuv7jKGKcz8+g95G85BMfdDg8FRjqif4dipZLHPrAZTKT4BT0Mamwqd85shHjhj8cUqHhQFdKPuBuPtF1bKgDf9NzvCDRuMJmZn/YZbYttRcnWEr+PEGlEnubx4K1BBF6KdjBhHLMyeUe5k3CiUyJOPElDj84XuVQlpWdREEoCfDYf02ymKz8tftfHBELMOPyDYxhc/x/f/lhPwzjtBBJQnApAdYnP6KMVvnEfBVKgtpkX98amuPuib3Yg7rwItd0P/1CxjNpp5pseWM7Dfn7aRdix0guup0BEJdl4EKPR4YMOhm3EiFFf+Ecal+0kyvnZBZta6HMv3MvdVcSL3YZgoq+FtJ4nZa2OSLDqpO3FY37xyia8Hi4drGZzDHxmOM0sIlOmpWtoQ5tp0UBuHbS8soa5SsOsMuq3PRHhzaB5lXiwpN+I7o11GtvFPW3pA1Nd8Wz3zs5Xr2ab3fVVVU6XPby0CelN5Cxxld5d623dXkXqNheWsv8he8OhdA0TGEq2RWtlxUnHRC8hQ4MbQhO0FMWBWb9SXAwmTmSpIEkgZwJSHjlg/fzyVz3iPwdIAea6QLaF2SqyooFsI7MYLyAAvdjeOP2vBOefDUImFnSiQeNIEGXuD6c6bEFWvF5nac437LH41iSlFO+q1zDWJ1hkruGLH+aIzSg7oWm9rQs3EgbjJURslxqsv/WM8xwK3Rtv1LRs1cEnjfqXs+KibDjrSFB6iHssXGiJ1vh7/a9Xsh7/cr2WVQOaUUJAknzgV+whi7KDcwfMjnOZObhOurVST/9zQh2uf4wcrJw2EYHeaokdVvLTTOtGy/zIMxmoQNhv3814Q2+SJOMvURbOI2EJFfaR6//IAQOwlNN0QxW8JSlNgVbxyukn4qHAZIlWce/eW3N97WJ9gIiwZ14L5SWy9IG5tD0zkZxLsCLtmQYCXvHy2scGkjJjSBrzhS+uZiyPQlewEga9oLf+OLNfPrNFjbcozXu2T0oQpMYV3YPgQjuoiNVwF94DV5R2+Ff/Hbt/J7XOT5N4IOD69nx3DK6rlS2WCHXY44ehFrEvCfEZlkoCwMxB9KYbyxP9XkAzwzbEAIlIg/E47QhnIklwcMrxFPipQUX8T5HrrzkJSdzPkkDXlAonWFw9ojCfuwey1SWwZKwL1YDApQAv8iYDhmBSeyF27FTZQ6MvngbsXtdbmc6C4Y4gWPKDQzrD81hLayzQxe2meoPcYnPsYfr93p/LFc3x2QxUVBqD6MAD7EufFBmux5Ex0eVsjmFgYfioh9Ni4gFi3hlVPUkYXT2LSh39PbZ29SaUv6Mjr3EfnQ3UY2gNR1GCrUNAAHIXm/rneJfMnd8Xh5gUAnuQyY/SKUXrw6dMfagWInb4z6xy9fDrD/GGmw9UyNcBtys5H3srO0f3p2ovwzQm0GCb0zurfBkN2CGf9ciEHFLFVztLntx7qp7COgfS/252sloXOeSGWTDG4bDu97f+DSs7tD1iuUoi75yNDeJdgB5hP3JskzZ0+7RPf1ImFjcQJyROo+2SFLQX4QSqL2t+ZN6Ll+mxQleqQNyeIxD4Ta/N9ctFthjB8lyX0iUfOf9YxGrrpIODAIFrDH8VfZFmvltsjaFILQDs7tVKmA8RN53H+Q4MBwrPGVjBAGduhI7YCuARehEZNcsDu/oQ0tE2IvAiQLkpkiD7o2CjosPILGcGrp70PZONUsOp0L7slJDyLDJ1q49qgmOYSH/j/lfwoUb4AdkX4KHjIhe5BcglXxyiVBmnNP8vsCnHimNmkm87UdvPqVKiEGTaydEhUolU/hnlyeNwhkPjp3MJKd4ZBqR4ujjbW0VJUNvNdjN6aUzcXko0JrM+NQugCwU9vIDJom4tO4sHoWJ+94CQDpo4Zh1sNYkD3VbL0iwY+vEGC3p2YA9cn290X69x8aXDnjxSIjRHK/oNJh5laBvMYXGZTA9phUgllFyALsFOer3N1e+7C85WAft2uwgOnALecBebikFSLjqYvr6TsDX/q1B6jSV3nBWa+UofXI9ru9pqnVTZXTVhvYXl00v6oZQKX+4nXXf2Voo/hWnoGAVWdahl+lBiFU6LBz21vebrZnc/sOAVhCyce/CmzwISDRQHiUvUFgxWYthwCT62O21SgcgvbgsRZJOfiusEmqLDwvH/7iq9rAlSqwpc6oBTfCmNGLTRv8O5vxle9h7rYj8Ct0XSKWxCcsRCuwmOlYxrno5PmB4zjjYYI1fORriqkNkaacvyOTFQGj9Baee4eX+/Ze9O5l/D8rmFGuGHEttvr3QrvQ/WqBv7wkglgzU9773XPAdlg71wk3EwBXtszB0PB15gMkZoolCHDhtwF8Xy4ke/XMbIKdEd7+VCVDSqVDiRunKrGNiXzwdZ/NRGqA9XFuFG24kPm+ouJKSjeAeBAp5ERrXHq1Phj+OdkrnDqILzYDJQO0R0Ha+v0jj4tYOmiXxX8lTcK7C8q0gjHByViYWGX0I2S+98HcJ/0gpJLOvaaQ25XltiksFAFQM1+v0pQ5eWOsBBDF7JKvbbJMzSAXhuHO3tc/EcStaZCEwIKIdRo+xuNtH5Gg+6igMkNLK0V/yd8VVeJixAHezIIEMdHJiY5pTCD7ya1CWZT995UqtbkK/N9xMkyroZhl53wQ2PZm0LUfk/5zZ+eZWbbaTwsxxnJSO2IHAYVQ5sZvqUmRLrPcGKvs6vguOJf85iAs0RmYvTNUNwdawltXMQ7kt80Cij29qALP+fL/iaaAKhSjDD3BsiVYKwHyIZDmtd+M3y6Tn3vPitsfIkg+iCtwGVt8oHyepRljO7/PGfTBsBF3u6Kkt1PL3cmoI3QworoJIpAHdcEDMoB0wyCU7Y030x96nrP8ZSxfj0S9XFetFRelcffWYKjCufzVnY+ag9i3NdojiRWl7UhWRT0B1YRr/QmUOIhQhmW8b9VUa6DBctl/VxeFk16r/xifzrcmIC6LSdVjMBYpksnko5MubWenEvn/G8AO1u4MIlpVp6GjAo9u/LkgIxL1BTnkJxJW5IPF7PpciLFhjp8KCp+hRURfzkBsZppbZZIbY1ahaXxcQQvfAADUuc+gw/AwfX5eJzEOGN5163Nmu6pSU4QGfEHqnOgaV41lkvdcRvBGlfQ1jzNougvu13hRrnXW6oskPipJcWVjKUTWLsO8HH6EWSyZ8kaqGBYESoYBBpq6XHVM9mKP3+18N9J+Y+Y2SQ1j0ZmmFmbUR/dTx8zNf6xDyKKuvrqrVE6XNi0IMXA6IMw5kIDoQ6rB/IWE+rMaOUj/Oue3sHQcgfffxzYLb21zgnToWsKYNh67DSwoMggZJEUs+7rKIErSPWdx2xFpvLEr1yQfVEJWXtVaQrlhXz6s+vOIskrIbKHnwGkCd5/TgG6zStm03Uc8Yb022Oy0hxxtaZe2dyH1kT0EJ3epEu1j4cvhtWMD1K3RovEvYBSgWawukX1aOPQzcx1keE+cN5MeLDNzMFHfL7hTpCL9Hxvuwhj0Oe63umcIf7lGlXKoundAj/DQmyO+zmehHwmgNwpjiodLhrJ0+b7mZMfuLUUAclVRJ3pKaOvsBhptqYLxsi+o4JacFz1jk08qCx1YedSMyTb9YNIb4kGU6yPje0Cwb6SpJ2Ul9RfvmHSZ235J3xmotKB4D4xq80k80nlY9crYJ6W2QcEpp8eIzsfKZZzWS8/dN8mtMxXMpi2TyRo6MrVBgXkT+V9G0Rqi0U9U5/2euavO3zr0m1j3d6PVZdkm/AKVyy1Lkr6alpnF52E0E5MlvRP4kr4SBwvANMEcny9oeIRMLAyNCoGzx5sOmqAo0BXWzTQo8I69fvQeKcE1ARAZEaE/DyGnuns9sIYfiALjFJRcAUKVB6pQRwyrcCZEmExOeM/A+71H9zvuUxRt/oJlJDdZW5baPW+GZa5sQ4IUUaM2uEtvV4/WVPf9m1cMgvilcxC4xatde1P+c4JX6CjFH0TZZZYByeGhNnjNc6Hu4SvX7XSUAqyip7YzgjW+KqUNYv6RPFssLfQ/iteiDyK5ut96NSMhNocdZuACheLDUsKp+MuG1I8kMzNUMwvm01pa2HVgolW5MzlsQut8mQpZy/g6JfSSsQPLo2LEbp4aEnWGrI9JEXfjLJR/74z3HmYQSRU+lqwVGCFi4VynAtv3aHI6/HQLNRWgrd2ZrXX1QIrbGK7wdTeYQz8sE/rj9fAs5AyjKaliHxn4wVMJJ8VjMk1jBxQY4lZAGFtTqw70bhhrGc4uetTPDp8L5T8OnreTqryXiOd59yaTSy1TPrE1RiCcmXaW1b96jPgm13izxqEbTvuMksgZZ+806C86MYXFkl42ZiNEMtJQ1SYO9aVQiR3OkACnihTAtWAcu3t6Z+PM6aP6Xk2h/FHwrPG200MsBuawqMI/0ESQeE29b2z8urVcIbBpZuL6ZxC08990BSJQ+5fxbXfG/jj9N454x53veWW29eG3Q3J6xnvcpeqrXv3/n5tkuTv2nMeJQoBZf45jOZtqHzcXGn5+S8r2WYZ1ztTmkeAP9AlKpFsLJknRQjTFpR1qJVidZ2tl+g27pUCzvzZsVl/4xB6wJbmbvm06M7e+4zICcrZMa9wSK/BXDpF2Ezo+TqucaMVEGrv0FwWRKXGM6eJMhxXQz1XhXmFTW8nZy5Nnz3AJpHmU/M4QbfauJPJR4YSGeJHtWrg75cPT509sV67MCQsL4CDUYXe+VZsLtYRTe/yhfRa4p5EwQN95wyOL3IPl7J9YgHoy1izmP0hS6OTKG28FN3MzinR6AiRRAN4E/IbdO7dWmbwfGsG/4miEPc9n7hBC2XMwt6JOOONnfp8U3utLHeJAVNhliuFCvMtECCZrLqNhUZzmkG+2ehRycUwXG5RSqEeSFlNfTjXiGkpTMRabTL9AslLJwyYgXfuTVpmlqN6ExgDkmFBQvfTxniOMe4Tf/x3w4OwwtrMq5fhGb3U6IHDVrCcn2rLnpO1nMsyAX2nQmCPR2ArQ7nKpm0ni86J6flQBIwAAL1iaCLrgXb43U599LkaMS3zMSRRLRzqvh3JZqkamEPtnoE2D8r5OqE21Bx7dhV1lFOBzwkhaBsIZMl/e7jlvlDTnlvU5XvJ+80Jk5qsnxHw1Zpqzmt1k5XmcED8MeDHaa9lLP3oo1/WR5epAGeZsjn8ywQ6qddecCap36pRM72soEw+XCgwQTVyD2eqAuuDWx9q9s4Wbj3GeUCyc5bxY4yIQbYe/1hF6TLuKJta+6x63Bjo31ovAa0TmBdUVOMnYgmJTo7Fd2jZpiA0qpRaZDS3I6Fmyukg1vF373rN+EpzPjbEV8OR+fMs7i7vOaozlbLdQu9TotGu5Mf3n461Jy1lOx8PfNBJDFatVlq1tK/OoTqdKXQxNXEc+62cTiv0rj+emB5FQRvqW49s9P1+c62YFi+g/Vl4vcv8aZwTZOI9oG0Vg+eC6yxjykOR4FPQBFH1vOTA3Q7D9Kt4pQ7oMYsPvBysJzTtQLqM1MkMzybjgAalkPDfyX+8Vd9YksAJRoHebS/bSVn7UENkBUKx6a2w+P2LjaaIEZjxf1Oy15+3a9Kb47bwpLK+dzppw+a2OL+pVrvRjVbcQBA1JFj1vKg4VSd1obvNPRRNMaHCoKDq/114moKNwrGbEUsntezS7wntGcm/JAVX/L6LXoUZIbgH/yStj2ZIfxpK2RNVnA5r8wB+BXXTVbD90ZEUQ2UOcVxjs66FY20d/bjToaVix2iK12vMd93CqOOcBljiUr10rDwip4zqI/Nd8fsbokNyJxa2/CmsKI5jXHYJxO3nTeGb/jgAQPvkBtOaKoDfnZlqSiyAJesGYSFw3tn5PQw9rb14VELgNfE1mvrEz6hbmMdO1VZiKetqc5NAIIxK2MUtE9TADUa+bx5jvZZ/rlLClv1bufrAdRACEhvinlFiF/UmbL8r6kcadtMTny12IaX0A22LNGtxo8gJeEbF4ha6nnPg7Mn0wEtYB5XWhOzQO9XNMiS3SS51kwhLNGhZtXXPL7gacTyeW6HcaiFlxIdoblwSaKLFEHwyiJiVq+kU4rEPjNzeiNcUHPRWoePmfKn4Cug59TKNuHSrCdfvwa3QgcahrdYBmJaQZFLY8D+8qjujUWod14ekQPhFT1Z2dSV8DmqXmrXCypmpM51Ees8w0CUeg/6x3XvapF823Z5/xVH0kq/UtP3cfmdnRmaxEDTgudGZeql1Hswp2GoPhc9dV1fPAvzX5ikNvv914pNTLDW/R6T09EyQNT2ASIDUgYJQbRs83n7v23U7Ba58B9WgPim5eSt77Av/0MmcPOBCYOBvT6DWCaXOeE2GKJOdqyL+su8lt+0h9bS/bP9+A7zu0yWayK+AAQ1KzzN0GR6YQmfqClec4o63TQNafkYi9PKdyj1A0taltLnpe6apz9x/z/dLooS6oUzHP1l3mvd9GEkUTEHBbELqUu60DiKiaDDIUPBKDhE55LTOqfGlntM+lb7mU4dSfTzV7HRP7LJIghR6OBHoYfkZI66SP6MWmThh1ApeFXXRKl98wjDFgkDDEqOHNIInDMrzKRNa0ovXesOqo5OIE6Yk/usZs+J/gGa1cJgE5DFvZ8GJo3CTx9PKuHpcHwZN+kApP5Jvt0QukrkajTXgYNDyXQRmxJIAIXkqS5thxHbmOWMoCWWKOQidO91rA4ZPs61nm400j+2mGc40DFMmwOMHO+Ig9VPiZnxIJkHuvg3lHJPaHs8WXCcIPCakvTKH2Uer+0ITTu6ADAk+E/xa0bbMjfak9p/dheX0mpqQ6GHg4/9y3wdrh8e2Oc4LIYMphQwJ5krdB6piNZ2ZcCzOSW/vohSBbkMtLPMXLK1bcjmG/bzjEMdQtcfzVA2WH1ZUCNpSlg5hjIHExpgSiVMqgCn7eyyYC0jjBKtpLSjXtiN97EAjqPLsNnit5FfjEmpkwN2p7avSuIKG5KRyYPB8sg2zGuWacILU+EWSqXn16d5uc2q6088w3htIAvqSTWBh+0P3CwlKrLqvfH908MDX9GcIlNFOq6wXuZDNEZ0Si935Il5zzfagXyDyckhz7lW4uTWLE1oWChzqy23XYWvRbqFvjZzlVI132EP2lhEtjzX6RMWybM/8Tlz2l3sz1ejp8L2eiIUidUsEO1y4S1y3FrUg9GcU6mekC2793Q0raGk8BBylyTARGGzq3K6g+szPs02HeC6n+WaSz+QG/wzugfWqJ3P5XV0S2ArjehFFlsj+f6oWuS0J8jCLi8phjhovakHanrFIhBO5alJ26+defCTvCnyVRJ/PjlLSyoj0UpwqagQt0a1+n6/VZaoDEJvBU8RJvs5iS+nkbSpl4Wf8C8K2GN07b4T3iHlVjN7bQzkw/8ECBGTJXGl7mx2hfQCtzhbGDix2O9fwO6cw8oVGe0oaaGgkmyHOVc0W9smUaQi5pZuYw0ZFXROXz7o8YVWCe2+bMQC8N/XGJjdQ82HzkFQYsIBVVlNBhPIsl33hgnS0MRpQRXuUHFjnkLtEpssZyiTXiA2CFrvIK14TAl/PIj4zCUT4BLGS2L+2slpOEv2tsd7sofEWvKSQ5V2SkJXUywQIGC20RJGevyz0bxwaqEyx2tPtjBkTz639JFz5bJ/SqlJWsrd+WfTFP5dA5XPfNXPOvppMDcDOYa9yBG2rkozD1MXkfNxrCuGN2juj3FiyewJ1otKFSgqmB8kjA0e1w/ZdP1yvqCYMZNiecLv7uOfuiekohzN5ltUVMFAGsPhsNUNakbQWhiepyaGNadg3F9S3nhIn73FdIyy50FmZNT1Qu2b4JTJWmAIVwQL/Wny4/3Np5DllZE1q5PJ18oDmsgzl3mqEc2BbqUpH+Z8MNEeejaCxlyLGFk4pOR9sHuRApO7nySL8Jq05UmTeaRSzqlv69IHsld4cDgc0GDg7USWy8MBT0Q9KAbJnJl9reaMU3QGgQpIn3iwen0EvUIUZ8pbNvKA2i7Y1AS1cKScssq6M67me7cbx+Gdw6WqTmjBKOASmqAa7Y2OavDrv6z4TAziCFQ938BA1mnTxt+OKKC8J3zUNbhDw7fCCeJtCITvh+KglrUNV+QZif9HSUuh1pCTFaFVKRAcCZkhuU/Yu3Z0sv3MZIqzbefHjKpwAXaoiz7ry1FxYmUYViC96H48g1ahlCE3soYi9Akh3tF1KUAHrpo7MC5pFGpSdcc5fACNemiYyhWu6LcgNwrOcZhsoC+gsCAyOcjhJjucQ9n7RF+LJhU8ajuE4d9BX1PPkxg23mOx0FDN4JBHRmZpywX1S3yezZvgVqEWaYTInV6o1WQUAXwlkgQzZDUPBk6rMpi4Ngq17O3J4UA1DZG8mjigeQP8j1ktAMqXqMfhfGMurgX1Zj1jwXaM4FpsGx3tW4t/04XLWU7FkNPVOKsEbz/4wDS1ZCzYrNrAwvmGv9WB9FsSgWXuIOwyX8QVRbml5MAYhdnNpK7yHwNx7HMMrnGQTHBGqqXWiWEy7B77i30Am5QE5oNxKq4jeRQPeUGji8AdD7xYmQhZUZ9lPL+QISX+/Z8g9m0yoIZPnLREIpYuOoIS7ffyk5i7kEUVhF3nQ+kTjYAKezbjv8bgLTKhCWmRF3rH+Ja93Dg5YE22tp56tpg+6N+ijQERql1Z2rVll/gQakgjAy1poHwv4xsGype0F1HThHv3Th4WngPXm2OIlFGapT9VwnnVG6mYxurcrhM2e1UGlzANtazJ351Sw07MZMPmEeNNY3V3B3i8TBSqyqKvw3ORTR/VTr24jCLTlaMaspVd3jdB91CzZyfh9ZFZ2kvPWj6RZhJBD1IIkmNUmsB23iDc4r4BDnwGHG83MUixu10tzy9aaQgpmiS7CCY1FfRSziBF7mYLlN2K1Qb0MyC9HXjBVULb7XcS8bMwKycqYa7EueMdlgegeN2kAJmygcFJvquxYaM77S7OyPzoB8R48vq3/4hNo6AJ2ZhWHfU5X44YxRDyvNLFTU9pTosw+a/you+4V64eNL77hx8Zj/fiKeB8YUgH/6lamuSzM1ArEHGQeYJvVp72SRBvoCqse1Fh6jqTKw2Wy+48qiqSbDz/se7xL4qhOosdLUXL412nvoEgB83CeaKPe+06FwH4jW5/GNqGhjac7W8FtD03LvccGu86fQ1wwHV8G8ZGbBlp0xnR5w+PCeyQrw6VQmmSLZA0kYvustXbxXCBWEY3FRQM6/jdGoMw2PfCurgFkuJ/k0+gWZJcrzx+lCViIcB/hPukDqO/JemqCajIil3vg0f3ymPTs5nCiUvU3esDXPngfpEOwDl6GL25Krgq9td5I9+7jkjfeeQZrQ3wRRn3yEdhLesrOSbtzfnzya1pmSbY6iB0rgBixtomQLYp63Z6Nqc8AnsVOV54YMK7fK1hgqAdEBz00eufSPiaxVGZX5icObcXohVo3k8wXRw+ITl70YZ1vh2BcteljCDb4skl7zt3OgnkdnOiPRVby1AzNRpn/EVyeQd2JUK1dCnF1CC/Yph35bsl+H7PgTFyfwHUrFG9+lsXUEFKECXsEuTkOOiPuO0jPAm54INy6l+ipsFSmqVlj6gLyv+GBv6WqCjACXDA4GYJ5fS965Hu7LzDVGo7r+MYuvZ7kcEhu73Lo7fYcyriWPs0RD0eVace7MFGqaeggfkvfQpXcqprYZkrEeiVxFKIEKgqCH5X0hWU8b1t/+JnB31zMjC6AgyG9wDHQWc2sb1ol6yyF/QJ9pwS7fE6KYfIxY/bQB/WtWt0Y9M1Tz3Z+gnnwTi5qSepxCPsh0X6uJI9YOXqfB+frC2uPBzfR6OwgBOU0t7v6gMW0iQMmLMb45CUC9i3j8/Z9ggpu9KMVvg+HB2haSGTGWjgx5E3bGnrZXUWK93w0sCT/q/8JOnTUFNQ5xl86BELdGJE2nI7l1m1Eh8HqYPn6HcpDD9ITDDjJMQR82HVkM2kqJcePM1HwaaQqgZuxvNW0Oo16elVxzxgI386uYZ39pgq0t9tJcuqohJHN1UK/L1uOMo6CmnFg1omSy3vUvNS3GdFKbXHPf7EUSmptv1l24qdrHSUamOvTfk/yXGzI5xZAMjO0Cj6G5cr3RN5JfEHI5Fvw0z/c56ky16K5SoSDE/AGQ+98+VjeNzlJX7iGDqs6qNsgvT4l7dEV/oQT3jHxqY9rSzHIU4BZCFHFwBB1EB32rXYB865HGfVaxlEGgQkyBikXEDXyebXC2bchiz2j+4utykxaLUNcIsleV7vbd3dNJckEQEMZTbmO8RlMzLGfNY1ghFK7dHZkQ8VcXwsOowQYaTi1HHgWXwb+/6Uta+b721xZ04IAjewgQCM6+Os6oltnDqe0u7RltZxgqoLqcVsY5tuvNFfhXdEc0/DJg1+r/b9L37NDmAZFy1KDmV3/uFegP//zwrbjbPYgvgROY9LNgde2RugY+WCY/1dN4Q0brm7PxAhDdvgy75LY6q1vqjnIdaEH8LFwvm59m5G1atkx8NDrm0ihsX8FkJ5JxKX16kPBCZD2330FWHx9v9JsayTHhdAOtEsWmvyn/UircTUUcL6ncLk52sZ45STsrVS8TQisOpiaElrphe9dPKKn4cboEwSD31PsJSpbOiuhzsW7Mv3kQMbDTvrJ+yOsFIma6eM1WaGEgihdRSgnoa64+ZY8c9sv3f1VxkF3ehtNgkThvWxGX4OWejpcQYzzGuvItLzVOhz6DBFrW1iEBbVV+dlV5K3lxIKkahsOQQgYoY336W1yx4TaXb3xoDpc+TgpPy7VSsuQ9+5tsQi0v2rITAs4rhMzHA+PiUew7UE5sdA7psLlH5G/OcPaucikDCliPMns5BmlXKFo9XPcxoF8vSIhNw+qmpDENt0CjKKeLGhtTXiaB+emputD0w2AIsAH6qTi3juwQerIEp4N0Ur3C3W5RhI4TZJzEBTGvq6wxMLsLdvLWkM1clXOVxwtDcip4D06zMr26/ityCY4gw69Kmsp+ZnMc3DsWTwMS5m1vf6xL/GkZVVkKbOfh/h0vl/7hgE4X2n+BXemFCp0m6n3d1OUSAssPSVkwTaflmDGfRae5xq6ZNJgzZ9sls5WIPp8wasd+cIHiFlD+b20PRXT3BH7qdzm5Rm6xvObPcUItyvFf9OeBLlH2Kr5j+qSAAsFKnU/0Z/OVoF5w8/fwnJrbIO2trbVvSc/YjurQHGAD5ygPJ9OjhSOzvi0j05N1biJxF89pNqEIy+s3iQdTuaFJ5zaXhfs4jVt8aT6M4iJUm/d9whisFMRVEJiefiUv4e6qnvGn/BtYECBTJ7J5XdIoHVmUXk3FqgkedTgfgsQM+2Gnl/j26+zXWyn+jrph3fLgi5DVJnYEes0huiuvdgXg9rgQnqtbDS9aK8y8U8Ov9RqzHWO8BiqNTOTup+Vp/S9KMB1yaXhAYfPCYLJEWq4Lxn1ybihS2/lK50+2fiYcLJgda1dPMSNSuwm7Y63wJ4qzI50K4KjR7wCweXcVLoF4uDb7pmNrp3Vcgg3p0dBuetZQomj29mwjINYaGWHm/NyhyKl+o4R4W0Oe/5MIjdv4+vD1PvW7e8aCOghItu6uFbTPj7AqW4AnU0dPG4LxXaJsda7OiSKUTrGgNPscfssVcFOiBvY76I80S+DKYEZW//HkKfbBfSXelXL3OYF2Qbi+eGIEzfFaqIBqmAT1W6QerVJpmGW99g2kbl+bqllOdH4aLdDquoGm9jIBdwe4tahU5ZOEWuhjVWuNalDa9olQ6k8A0AzBrVbM+7JR2ZtRn42SeLImhPeq6vyMZA3heUO1XWSEKY07TBfFR6cUY+lOZ0lzolDd9glqxPHiCPPsltEupjJuVnlh3lC3kdAmPiTiDdRP0TNyMENkArEOUwk+D7/p4bS6MvlpOIIlodTs+IQ6pcZV9dANHpRgqgQjaqaAWBWcPUkqCh+QuKq4exF7QE3MxCqO2zm601g/7jOozyZlgNnXM/L/WVOb1wYDzmEofT0+MH9JXzPFdZekiTA/ZWUaOxNDWtdJ9vZ7LDd7lmC+Fj2eTiabc/6QSZy6qVouyzitZa4IfUMo9Uu73Q0cQeqFpkQc7MOgR5yb7Yq/7xIz/zO/vzKuPN5CAgXqtpw5f6fN14kJMR03KWl4tg5S/c2EwSHv6Ob+oYLcqm4Yi8V5JmyomfxuyPKkjnrUI8iSKNmepdcFtl4BLhmf6LCBElgrKCihwollfs7EUp95wfhzZWa9P0p2uVXdZxCTpMKVAyiVKnuWyP+XP/DAaAhIrvtYtLEPxwFsscmgEsbDoywSrGaUclyD7dzVS7E6IkWsUIHm/SoQfVAw25e3lwogsvlmORNyZhj38Mh0iGVC9tmS6VoyWGJGsqlfLewdmm7qoow0IXLYisNp5pTJManFyeJkRbHPJZ+3MCH0z+lV30UNboEfKJ8afjjxSkJ9V2sBUY4MRtKUHg1MXoSm4UB2NngdZ7G6bChrrM2D/1xuyooeL0VK+gNHnC6X/UNyEGeizhBpdJbVHCXqPx0easWB1M0ChuxXXw5cZNBSQjh2V6B1fVv9JUYlfR5/L6HeMRbRKX/nhdt7dRcAfbI9R+1RheczAXY42PeLhWWGguAMQvCqnQhVF/L03F8vOj68nLRf5y3O3CUz93FtqGPfDdWmPDn8IYRJKeAcsaC6kEXVJF/fAhBhOGzBIDNQ9MV4Ht3h9qlKtjoa2WIIfM0uSAvZkXAAzOzxrFdAuw+S2PlAT8neF/4weFqtDGdoBQSbYTG2qdPjlillszU/XnKSoVdH6zkAk9uTIo4xTyDRbDuVV9fxaiQEbKQ/OUdnlu4qSuNU/MkwqVRXlKfpTf6fwgaWqWeuWpYD4NMEx16NdgXYe6IjHL261JnS3hM4K1aE7KeNo6ysGOwFaUv4rhiPtz6VRy2fiJXgUoAZXBsgKq9G13xRD+wQ9+fK6nJ8mQNBrP8f/9RYzGfsebqNJrR9HHvezpEbgwrx1rQKCNILfC62wtkhkcRIbYGFiPluVVtSMktJEs7EEidv+y/iEbaBolNs/4DcO0n4D9arSKAlsCnMSEFoXUl0zX5ybZ7yoTGa0l4/O1TlRjgvW2qCOch2MKcBhocd/sNv1FhoVMTL7cy0UK8NwR48zInKUhkBoa7V4UlGUxA3EZ0gibjQXxB/v5Bjlw++J+jdcOa8moPwM6cD+T78Fng6K0JB2WhvRI56ar88q/rVz7mY+Nk1YRDim97m3ZEuPkBXz3OKrgQ+P0zPcIwQs1ZuSKpjQ3it8Mfrj09FjwFc</x:t>
  </x:si>
  <x:si>
    <x:t>LlT/S32egmg0v050p1ddm3UEtTp/o8mLGxIU6IHa5FxyxSp8KikfbplaVqmbJ2HZPz25FFOUp1wcsVwC8pkkvezF5eF6s4Hv1OAjh0uq2y1H8BK5k3w2z2IOAwBZl0emV98XAUcwMUKME0WSfFQfvClUB1SIa+GiFI4dW+HNbnvBe57nQCgDlieh/aJ7P9Z/6kd5BJYxWTnhaT+Qs5v46ODR9Nby92G0kyjZLl5H+zgORiXS6k3ItsV/JxH5KRBduZf6Uw+pLK1qkZ+uAm0t0HZME6hV6WtBCc7ihZMg4bg/NkyomLFn+Uaev48jnam6DR7m5wZ4EFZh7MU9mhiMqC3SEQPz1SuP3DDZQYQTWb7H47Z0yuI8aIbfoQ91sVpYefwJt6pIbQ0TXQ33xmvaeJMPH4mjL/igJ9+cRJ1jftNd1MGycxJhb8wZHXfUy68OJA50XrWWP/YlucqPgZI30/CaQh7+FoXztsx7YqypSRFoLGiHQB4lHqxctXHMGeYohmpEp3PfUQdV+8Nz7QxVmcpaNJi7zoOEOoLYrEvyhSZkpRHMAh3YoaU5gKJ4+oh8gtc4eLgWEerSB6ucGB2ZjRJp+QGQRih7EV8Cah0snJsxVPZSsCCNiQM7NYGdn0LH7HLtkYDYTfh7Hns9xa0NjxAVC4HiGmnUL0XcwAKfgCK0q0pHbTSfDcZfNHJTKLp5TI0alG3AkS2HY39pBHrcDrR0CLuYrRLV53n3XkJ5t/aqN1FEOsblCrzIhV6UVt4UvWG1chrPnCtrTXkzkPHuXsiv32ipyPtX/zQPWdF63V1offrpakr/7kEaDz2xAj/QwYD4dlNBqX078KYfgyj0adnuCL9y901J1xxvVKCCgD66alH4NavOkbLzZgPalo0hNUOYJxhlBbPlQgGImfJT0CBaFj6SfbyWqWUeXq8NtTLjfhRIyaOV00W/KlStVVpuYqRa1FAZ6JaXsvet3vloFdT9OZG1wewQNbJjtaV4kbUZAH8l2Jqp/XWM+f8Ei3ZOmTAhuZblNuvI8R2vmLcPNdedYdDGCIC22dZdZEgTBjtW6Rd6OXxJW5gAvYmIQ3Z4ckqThLD8YX1wc7m67eI2zK24Ob0I32aerpo3Oo9SbXmWrzeTM1uARwnzRWUP5XkWe0iHryLBkSQWvbBilZOsIdATvYl/hBfDo9NGqJ+8HaDWoRDrXVd01DFfP1Lv8t5hJ92BGKLbZNsggKawspI5g0Hg8x+jnBmMb2jV1Sq2a9v6gcLK9YtxzH7cql6iob5eXFT1HQ/4tv3wiFItBIiSSi0iQdNC6/BBKeBFXRBtMYe5s2PMZ3pNrAECfkX5BKGdj/5vZPhUiEwY9fGS2nLgvpAL3UvdMJ4gtOvg4MXSxh8JliNvzPITOzL+EoBL1gcVonM5SLp4aljnkZaF2sj2dql+loA13J6k7G1Qe8mWtn2SnYOxpKgrdZJfkhJusUAEOumyX//ctjIUeTlzx8nATh+RrX89wILxzEzi5elLLGUgq88rKJEtpYH5NM3VG4SU3dzFXvG4NpShBvB9wn0cYO+3hJC1rvfNJeamR+h24lN6J+ANSzr7j9nAjpG7e13XD145HcGcf7kSyaIgYUwVJxcporwLpqVbn1bLTRuNWD3ZKtoe8nnG8XCNPudPr6FMqDJbzZeb4QY1qQZ2LdoWzywC2OJR4iDI1DX8m+7aOXrr50ORU9YP2NOgBW0tgUs8JBi1toePIVq55fKgc5j+SQmIGG1/CRWnnnN8RYMqBvOsPcQybUKGIA5iwpxnBU7+Jh+3dSF7AEMccrEfAigk5rOhCoX3vixrVjngyI/KMx0Qr1HPW0h70ki4s0/hDdFnlPOnBW2fWtjJc7MrVJzo1z9UTpBIiq1C7yR7ClDdcOIQq8pD1RBmLpr+f/cb1L1FUkvT5Lmcv+VrpzLufx4TMfrGFSGxJV2MeZR2piY2Ep9yH04KQGjTodvJ5XUaIY98I24PPdh/iaZVOZO1/Wmxqo/BmhZTaC3ThjjWu0EFD0e7cOJkUrenu8Uv1mYXiyHNOtAg/p1M4N+cdWfjSAaWfcSITs1m/ZDOANMqTUC5ZzhW38KtMdZGv2Ir8Cfd5/3uVbumXyR6SWdWcRNgKy7q4hizDg2da5jH/bR7FO7lS2ibhFXygzr36cQgn95/r23NIMisZMrK6A9glVSvNUFoFUY5FvDneBOWHUFPjbjiLHAULDtBGkNnpWOkKFLzHmNlO6hHnUv+FfxA5wuy4VCAGqEeZgkTalldvw2DH/GIGCBhxF+95wLHwszDnoVjtTZ8ilF/i6pwTdcDXS5TIJtf3oTciWXHccRIzDZORRgBTpVQr17YsAsYFA8px0aawOkrqaM5DsfyErkTkeOJ7eiXivzf6BeY1ZCCItADoahaBr3ZHC2ugAbgi43OL1mnmPB9HFuDLjYJ1t9VcmKY09mAH7CHMM8qUPCfnKsITKwQeCk7PlyUqQU9S5xWnWpZovPIQO/TrKXpjNTV63tmjQPl+/CefbwBRI5VZPXim9V1rgvpoOwlQAhmbCmQx8Kk52iYXqNyJsM/a8WYLrStHNeX7wJ3dJbZlPZpPIgbXri6K0jgoP2LzAceO0GZDGpXajMVBvigqfCym9okwr/oB8VtJo0HV9DR9V+/neqKNyR2zNJ6Z5z48XRVDsj/3SyCq+CkrsP5fflZYORKRR1KgM+1XA7L76vLFKvAZ+ks9zNrDEee2XAbgrbfERUWmh2DbUXlJ3CPCBHjChJF3UxRYUYcNxcj54pAZm7hxjEVKGaw8DFnmyqC4vzf3WMI6ayrOWwsqmbI7Fg/CklPvextN+wkb76t88WTbMf1LTrXlvfVe1UNFl4gr7BIei89vYw9soTWFxuJTzSjrVSn+vNhppucSNVyTrVxApifb5TmAA8xpeS5EoSlTqQ354ie6DbfuR/yLVJ3SA+ONyuwTnm5eXW8fcL/oMzI+eFidpVL0+kAbp+BhkwohNutRvGjFc//ybPgPV/EdCzUAtzsN7WADVBuhXCkTjtiIlmaFOO9wL02CV41j6uYBlWhijpDTntaT6d51Ql28ln+9OheaTebQu2VhcXWyjIpEzQlqP/ggRzeSG/vlqFmdnlRaoRkbTtWgZqUiODXCAIdamrOvXl1H9IqWyF1SYsq/cigur5yTx6e5JBwrHo6cBIsKgPxEHiuGvUeTZxQJj58oIvuvw4xDtr3+ZzbE5ynHsT/3GTELo7NYrXoFnErsD1EF2bAqjIWuWaSMOYlP2x5HPtLicHoDllZEBYtosAoGakNJMGi3MaZDpkBNLmy9fPIauBcU6ati8riVsZ8lxc77MH4iXpFFsm21rlsHfVbVwJQPvatOjnERQWuT/5fe+U/zDA5hOQWgpWRX9vqKyFrhqTPsgfDmZXFTqzmWi+d+DtcSL2rexob+40EuzPXtn6Q3NgV6tqIdzQktp2QZ0sgzt3DhPO+cCBKu/6SgHSCq4SbyZFKTYg9VtiT1HiRxJ8pxJqUTHn/ugTvYtPZmzps0n8I+iOjFnAkkUJl9Y5295/IL1K46qQ/hFUxMyobKd3f9iNHX9C26EthE6kllxxirfnTIKJe075zsvzmtbCLHYB8mYVLIQQyqeBUTkAoPn2CX48gJ8VVB2yVgkY+URTvPo4YMT3sDhle/24PRTVs/UnSj6EKDieLmwBFGyx/gXnEId4JWHJzK9gq90kqguXYPunhA5fjz3OroJ7604wIInv/eRLm9ei7bJYS5PW5xqaVCZ24ipuDdYl7WSYCO4WlKdQNRc9np36dBEiGGPAG+nAnp9M0dA22oYZtk7aTHxXbhWAZ1IPpttBo2DnBVb92x9FWWEmxHmA29er8qiKqcY6aFbqkc7rrXcsjoHJxVZUcjKIkVQ7pnjIyermclomFhVE9/KMWPJxLl2SJIxvmtEflni1Pd4VEa/9zm/4JAQWGLbNGcLFVCyAdVn3XXx0HOykqnfF5Jj91EtBQbEIoqryEqtrfq9TeDAVnpjNlQ3YUVRH/KGuWaa1uMNx7xkd1XMxSX5W7e84g0zwhm+vdVTiL8bNYe8nvenRp+JFEelVJaDkq5Lcw1jI7Qv+RqVThtzAG8mWNrNsy9HgfUhXEWV3H+fhsObDXVD5/zxj8EXWLPJJpAT8nqn70m6owATMyY9MHLBNI/A7s+I+9lmQJUKSzN3HLtK7eo9OL0NWXyts8TBStE+7vKp5dmY2iu1iJ5fH7x2+N4BoBSG5OG2/VHvplh17B/xGSrZ6vxexDTlIygVGmDWGAAhzOf1WjKKl0CNcbRl1mHPCrJBAPf9nQgCPAlKttYeuRR0X5Bm5Fdy6//vPMORylfPXu/NYXA99b7W8XjADF6c8MmK6Ts6CkBlhjta5KofJfzGAImAT4Yr/Uu5j4NH2S+BBIyR3dhemzAAg2cxfsZiwNkKucDOlSVGwMIRQw7lJfw72FIGBWkA2cKeE51uC0RpH173LGWkXE63xOqyOimr2/WR08sBazW0uZfHXLR0xliEMON+ceYxEO7mHilXNq5xilxzKNjmNgRhB1oGtPhdvmk1oFXZit7a2dt5BArTirS5GLuHVTPE8mIBEpAcQ01BtvkfyReKdY5XXquAWJlL8HY/nwx7DYtKYxkM6j42mnF7ng7srNYCXtul29Gyd0aVSSrkQB0FhRwRxAb2f2Pdn3wuJk4l15qpKwuK98Q5ZCjFldYqWbP9/waXd+PcKuMS0OBSt52zg1EdCBPMPSjEhq7hfkEromEa8QKtub0issO8ZBsX2q9CejDwh4DTbQ+RFwqRq8JaMTjvkZMXQA+V1KRm554D8AmZBM8o9m9aOuXI06V/lVq+ut03DBO1e0JCTiYWPfH6NOADJpvwZiA3NKQqfhDGQjA3Eg1M13NwtVLR5knwKAfxTRvfN5dfXDJphH4Hd6WSzV0IBUoEpl6UhgQi8YFeRnRAnVgRdpxeBsE63CCA25c/A3y3u/ktopSMVqynTghi3cIfJk8VNXgCOL0M8CIvFObBUUJ4p4FvQeFP6Y4On6ajYCKVkGRFMTpoFeC5bhg/N2Vr+6+O2JDVJAWqPOSKvwpxU/YhGkgF5XBAKkM59EykghgxSSakbUzkj3Zz4xgwXXcXugAwiSNhzkpJA2fMmXhEfk95Lop4ehiwWPkbfHeAvCidrWtGK+EfluLCRqretDQZGDmQ77qo0eyd5jlBpw1YJAzT6X428bN9iRusYhaNp+H08eUBgfBdmX9dwuHnD7eKloxig44QjSUrFlFhVK2h2dU75p23oCLob3EAjhiIWr1yrr0ey7HUTlBlkApT9SBKKj+JKEsb9mqN4ROnvjoyvZx3p8krDrIUS+zrVQ7T1PtLanm+YthfbbxMBpQp9Z/fAmfT3Ww2ixshPcjh++nncxVkDUvnFnLEM+IuyvQTNpO0WEI+gRJ39/5rKdZIifnJG71FqDPngO+3dR7m0LWUVjRU/boG27r5Yuprm90D5yp3h+C3EmXE63bFe1ZA2cfdwDQJDngKhmG1hfqzTukJpzB0zxkCJQDQnaVuoA5fqfo74PhEV6iFCw7QWVS2K17Tdv7JNqhGOdooleXPi3nlgzW1NYn9UU28N560qTv1uP+ySGcR0UDV3RB4X2MOj7bIGOLZ5a+grBuwxCyx0kjYlcoNJYGJqg5muqCvL1Ff7AHqzzb5vrPYqB2PdHFCIMaSv+zFztNVnzBmvg25Siu+9yuZ6Fk5SbsqOzvsh0fSfBvVUNaa/NBt28utVPaAZG+w4PlcgeSGT6DWEEzEiAbItDwT7NeL0dhLSq77evNnmdNKiPm1vhSPSc/1eB2z86xktopsG+OYVQCpZ3Yr+qj75ko4mj999kRJSpGKyAuFMDDZY1nSCSRP6LJxtpMEvjwRrFSYA/e8VwRQi03XT78uj6wwoJDV0X6LIhu1ldGbI8Lky3ByBIBnPszY57UYoNYoA2ltPSg9NOPVPdWX9Im5UwTpdNTJHqQuU6l0oexFZibVDgH3ShRKbT8BG73+P47kQoJilhN32KTfzU8datZN/WvYIL/aynxq0MXjNmFmxdLAIHw4AS9qfB7ZH6omDnN/BhxhF9kyrCiskz+NHG9JTC/aElbYU4cN75sJSuex/3J0yal4xYYd/QlD3NpXiAZJ10/SG7A100zA2D0ALUvk7cJjhDumvLro8PDXSAftY2mgUSC452U88ZPRuVeWUkILoopXviaeGRgDB60eivHQywyXm8eNUNr1ZV/rxdqrSwZPelPtFUZ3fWitqqCEPyVtb3kVflvyL+sTL8/h+NHmaH9hVRGAYce9DvBwO09FZG3x659vyKKZIISi7yuK1lp5ShrKHp8wFLso2XyYBgL+M7DsqlfgWowTSJHobXHOZ2Bm2hJsDV4ebEJbZ3xxza1OAjQwCrowAFyCC5PvEqt/eTEDPH3SP+hRX+2uoZm3QNande0zH6fbnbAdTXPLw4Tw6gPMnFCVydRy1DNCMaPeAbmKUuUU+rlwDkHL+JNA2SUBs8oEzOy2tXNCenAuCX7xnK1i3rgSisL3qmbUOwVTE7ZFcel/+X+bDom3/6EBrnfmwsRfa3DYKgzgwYWLfhjdzVxruL0VQDsjS4XDxThqFTw3QhsNpZiiKEwF5SCWOZqQat668zKBLDOki4s99w/2xeE4BhSalhS1juiD6SkuYG+sCOib9KqIdEPGua+fWp9kJ1FczGjXscvFI2a/jj5r8vnhvT3HLm1tXjoV2JHMFiA49apo+sfk3fFjPH8TjoZhKFWCtcWMU7l/tLANLD9gOVcWz1iBoDpF3VQVkhn9lB1HtkGweWC5g3VvuFIiqErM/4ZtESZETVVLz8jeM86DvMCReHOIMko7ccos27+/MeymgioT1s4HLndmGh4W1B3qyvFgdNFjPy+ZiEYVHtVwxNgGUU/fd5PlWHAsMvLzwnP+IcjqWjzsbZ3ntBysbWMjOgS3U/LBvFQ2bDdHU/tSRUj0Vf7/xbsvDlXNMLAjEnI3ebUd3rn8ZJF6yIFNjLGAdjIScnakz2Xi9VRcHE9nSCyg/97z2NjsQwH5NhJ6x0RfQseTL2dWKltNOmTu6Z66SNS3xEEWbx888/UXbNcFBCoBePGzPcU/UBYvWvYBX5PAa5jUczEesOlAwqHmyGTvWZcbipsMeVX/6ABsDtZY2MXEPrrGl45f7+1RMGne7nV2GmBYOBOLDs+8b0x87Fss5A+R7yPsrSWn0n2oHR2rkOqsJkRZKMhq3mBXxr1rbdFtDf8whNT3VyaORMNgzX6eUM7uNerXhHuV7VZKTHXcZ/B8F0MD5mAJpr+Owl/pnlN0OfRqBWeqntsXaloqPKHpP23NyHYwL8qpNRlP6YfnGumy7sPrkzb5S8pfbkv3I5x6aepatkmMI8kHFHNb9lINgP+lGGzFe5Nnbgq2HIjjPCS0cCX0AHEJv+VwKjDW/2uEcsgdNvgDFdygICH5ElMXpTkcmp3S+T5oqDiuB+djAC8oPDIGebDxuIAgv666Fc+0pVfG34eEMfby5sFe2w1UWcyDZYru27GarzpnE4Mk4ZoBgFj1AuBEIfJ5OGvjl6vowEsEdxYcFcQVtYTs45hgdgbrrb0ZDtyRykXuRbslEUCVQcN7H1tWfcWQO48HQG8s2mom5rQtloXg1SoYbNc9wSlf6oj78598I1tP+m7anQDZpA494CIVR3Iisif37HBQzd+1jgf3bEn1dA/ELTawgEjQAqHAaDNoURGOOZVf3QvXXoi9qkfS5AynAPFa70bYuzdjmQqvsl1HtVkkSRVFfZZzH6IUvo3u90DTXHj/jsr15YkRrZYyIh0/fHIAkVIUJtMYe1gnz/4Pyzlhqoslm1dns9Irq3F+6GF0X6S8b9PaL3kCTDMlHIGYtACnesHynwO/wNdCv6mjyeCTDLmajKnwq6LY1kUbVFYPAtNYDUYldF0nVGCVY624q1n6KsaoeK+JBPiuAD7KKyVis3ahhcqtxvO7nEo9LdQMakAfdvJ4mr8ofQP3DpXsvMLHsVx+y03Etv3sJ6YTwEneUHGXFuwJmB03Qy+09jRxjRlVKuM34aRQRZ1/gonUR86BI/aMif2H0GwkrLndD2tcqi6n6win8/MB2IuAlRoIGcmQthzucVvNEPcQxnb9nDljAqYL/ikushHQYlhghWmaRuGnJvHCLLjZqWXS42BoZbtcwN7XHlLJiX2vn6sAb+OjqfRqIp3dNgPKvj14dhc9wrx5Xi+0z6mH/lml+akhRDNYNepPaHSQMe4ztvjfDcbaDoxI/4SUwzseiGxPyhkSBhXAIO0ptlIGrR/gKr77VQO2v5wWRSA4oi+s1Dbm5jbgDAGfzH9/q0PL9rkoGD5drf3ke/mh5ruuXK48yFdAEYqF8UHtY/qRGnOGU+q/4ZqqFKOhxDIwev+0N6R4vem4GgQVpYvZ17AatVYdsUoGQGwfUVhFTpNycuYi4n8upkTLmqPipAJUlFv6806Enst0s7sMxgh+ks3EGspsePOYMEIgaH2pltWTmHU8fFCOgd+J3pfRB5n54/KBzqlWhRRY0gy0O3J/ea9WNpZOYFZyH9JGcrgmT/lp9ea4AshEyPArXtQud2jYkKL0/mhLk4lJygZJPMZeA0ibz1vSsNVmO95EhpmUyiP1paUvg8T/jaENoeSvpIAO/nEwXriTUXQsSX2dRDt+oCpNj8wJTsKIwPPVPku9BeUlROMoGnpguae4+Vlimp/M4SFFf9D74GanseTMQYunNS0gY8lSA62k3nIgZAlx9Z4jqoIkGzocj2ECfD2iBUyX2Eb0oiTEL7haH9abXF+yXosXQSFG4erWBOKFlUKQHWf1SOq5TREfAF0kNj7uUkNeGLVUXXk3lu4t+vzoLDpoVykjd/gMaCsfdPVodksT06t7WJAj8h53I3lzn6xHigq7iHkYL8B6zpHO0pBRQ78vA85/G1kOviRBBn+cUXq+ztLxJWTTreygbZ68d8EqCNfpIrtrw0Yitu+XKrUCNipjVhOf+W5HUbmJO8AQDno0ofgQzbUoB4+cNCw/BQXPceEPP7rPFIo1F6xam+VZQt4qJcHf5/7ASCve+O7FUfZGOYPtIDQeguxEGWWtcCa51d4SzhYrnNBKpPticm7JBcve+KsthrykgJqpCoEMBGJUpLgJcAJjMIOi1IJEcnrD/o8M7D0YeamdzZ3etviQZPKfz6ipM9m31dC5mh/FJ9Zt4Mg9xsFHZVOZQS6ugQh0mW+MJ3yFNuUFXnGY/7ytRQJq98A3JBBCG80hm/6d5Bqj1XWAcWNfVVnUSGp4CZuxkSCVxqUUXH/9BCgpGxw5jRjWY2oFhEYcfQ53X3dNbPOIb/RHZUJSn2pPzHYY3ps7xyZxp91je54/uWUqyYwxMKvradyhxRoFHjE8k5JUkvE8SiAY7Fd+SMZduKvB+hUiiF7TAfHGDht4kioia85d0YxJOnxaL7K4hoGpCLjJJ1JML/IfZ0hvs5Z/xAadrFzdu8Q/jV0kuPciJWzq1VsNcbXDV3JkTaXMJ4b9YlaDKmUMuFfFqU+siCeCsu2thhSpu+OKjfJtpePx3XSKGSDBaK6xgrEOhUHyAp8EgkyNhtZ3M6jcur1LMgwMxTEU5hZepeVJ51guPRlDKq3K5LlqQQkc+x9e8xcmr/ugPuzgT29ceqmI04oqmu/2ajUYRQV7thNC0/BU/28De7SN1/RCI/0WXe7HWKyySkiSd1C6OTUORxxyOo7WTG7Xq4/IunV/ffPDR1kCq+urc4PLQf1opDo1JtpuwxFYROwA8Pyy25bXCtA3gmO4rp/1qpVFEvRfcXrge77Wg9xQI8IQZg8UIBnbQjE0b0egvEFwwhWOtwyLy8KnzcLlSGkv+uNTPGhe5isgtKYVpbCHu8KhzLOrtEVxOV5h4FgnD9fsl2J6eo1udRkgK8r3lMbYFEgLXsC1tDMBZ8YoSUMSAbtZq6oSxM/9pPmJGH704uugzNgBOHWApPVj+wjGFmMgrIe37x7qP1mp4mtgtLWjqQDSSn6jzQJgO8N6LkRJNJNShP9clEz+8nrAuhLLkuMsga3ADVl2ThsJ6eBwonf8I0jznp6MRAEKvHiy+8T9HO1x0uYGL7CBhUrbR/vvDFjb5sL9nhhYA8kr7YDNKNNW+njJwESm1Ceva/f6IDrOyRtQs072rz0VSSedp8QlqfgnmbndOtprzqKufh0wFHyDlR4trdwdMEJOcJf1n50naBl+x5S0srCESyYIuFfkNHFmaAMxULzuY8JVZOYAwodV5q6qkj1g83aD+jUTmaKBZhDIFstLsXQVfdZxZq52k4hMIel0aOX3Qyhu5FzJ+Vn4FpFIthoAjeqGN6wQp9e13XtY/0WTB8SUDXsSCxxoWYDT/3xW6fugSLwJ9T2bHHCaIr2YBGEcnDzZrbwqMfIWETSCThCjj0RW+rOfkKOKFWdTROnsDOMWjTGLHSjNvDBVxhcbI9fxZz2SVeWeTqY4YeYUE1MQ2Xkrne8Ty8V36JonO0lqYv80ENYF2dm/UkEVzjj+dsuOGlm+/RAfpWWdUrl1QqdtLelusdCmGp4RytNlSaOnBP50At6uTcIbZOHUP3pvztQb0wCoKTF2M/6PgHTJZ04n0zvIq1tJsubIdPBSZbn7xSeo0Omn8NN8vhD4aIJO5n4oVKDBHPgEMAxB3czTISvVvwtBQm5SEGc58pitf3j3jHpD5KxOCav/oCWz7Blg7bjWP5Viti5lBHn+0VK8YgvD1FivHJhL+se262Rgc+zr21sGvXO69V8p88raXHUmHHxkokJcfbpb0oTUyySgXt6sjWY9ZPXMV7ueDCUJLSgAmueAttbZWtMu+Yi+T+QOM5ipD2vDpifkyWCVAKe3PrUSS8MCT6XBUEDGV17mzOun8TVsseqh21BTJhwlqJZua+1IQwCwYyxuGJYSTp3GUDC+KodVYNpReyzF0Zk5t9604duTPsZBM64/06gALp3Akkh8KXrziAAQnRoZtFGpQLAoJo7T4hrhErXYFqmJwugBY2PmYoTyfLend4Pije5H4ZXPE1Iy1bM75simpmHs65qR0VV456TaWws1r5qxT6d79WAktdIq1nATj/cTU4Yp8PwwVO1MhyhfX8NNwv8EkkQboPblvYoz6iaKFMRwKp8Nsh61vT63r8fxj74HSL+zjeW0w8saaBNgB6Ai5W3yxDRof0RXwXqXazAmrkktIFLKXh1YfK3QOKdnQ/Kv/yhOa7JDXghghK3JVtK2GtPPbng79IECozqIAD8YsZHPZDVtJsNYyGIX48CcIuY2wIhMmdcoQA/g8LsBBIH7oX9L1itOd2ILKpd15UfjvCOs3LWTqYCnwhu3J5j0Z/Nn3YAJNJFn8v5LjaInmG0uwOD1W3rglHpKZeA0VaHwC7llSNy3u7Yx4tOPJ3iPDShpmgCh85jpo+ICfErjFy18mE55u3FhybGGOtMZqwtXd/kJRIRRtb+7irtP9+e5BS3QheeoDDMlVmduoD+PZAv6SXowhXx3sf2ELxXEW8mUaesy+IxnoesI8vBWBi9XzQe+W9BsFkXJqgMFi2sCS61Vz24QVYGXZWImB6WUOTP1E3tENNy+BTbyzHkvUF9n5UZ/47oqJkydmXbF11jnRzwlvbVvJRIWk2BYTcNuWBrr2wpGfyTvNBKqJXLMhB32RXN4lQGcP9RNQ+MyLbrp2h7ccQD43GqjBBPSheg3hoyGrnnSJ/lLfVERlO0P3fa7A2XNeOA5vW7xXddj71q0cO29qbL/R1j476+ZLnwAgPyeDA6s0mBLSJ9rN4x19erkgS9ugEZ93VlHHR6JqdT60EbPVhp54HozH6Brol5G5AZ+Nk8t5B9yJ2Ds/q+91JQL3SjfjLi8Y/dOW4cElsEsOPKqQ/OJPItKKA/iSESqbzyaC3N9JiEImAcVBaPCvgWlB5HgbH6xodfBh7zSs80Z4O0+yDbk2YOJXuCOC6QbNEjgwJJM4K7PCdDUOGwSiveh9lRwtSk7U10wINesqbM5H2Ar5JQXdRNSUfx6kqSqw3bHbI2516KK/4u5Cjj8/LT67qT43MBgMT86PNAtW5w6QGbJ2/1XNxhhn1RyfmvgUP6hkTTYQvFni6wu9e+lUKunlG+Xb+fswGP/tN6YC6sBJAq+TYglvG8CNYqgqbHKASt9RemliWRpwlwQ97p4p+Z0WYATjNwRS+5kcYjQ8OSLEC04bw7wbtAWkgJk4J2KMYKrK2GYUSeZDFC35dbiSdtouQyrVUE6ud9Lt9MWnZ2FybuWfJSsM4pl02p3GQRO9j4gmLSavYZa8DivqmZoJ1BlmR8pY3izuGHGqR5II6wciB3HZfiNKEDsP2Bt1PTaana3jDv0mrvv7lqkx1tW97th1oVtPW5NHVdoI733DExuZPiKSw+6ff+//z7CIQhUwvxMcO48AHoEyGPP79y+wA6LJBiLeJ2/YcXHrJqec2elGNvA5LgB4JiAJQlvrfrNe3Wj+4l3g7YNYhXrNFrGl5g6rg88VhLmC2uz+krwiR03fX3/ueN80x1TWZP1t0K41i9NYGeGshn5FYfkal3mI+hyh4asLdJpaJpg5t0rj4R2lPs3uVxJpbD3bCKKGGsqqrPmmpVT0+1JZ0k31TLEFNY8i3ZQZRCJn9mnTXV1bD0J22ypdUvy4/avOz7OxsxCdmh92iUDa+Ic3/cy9bWnPUfUVv+6PeZ2oLqPYGP/lvAT93zj0kDtmim3hpHvQul8NWzLVRva6qpQl48d0wgC7yq7b+pq22BZ1qFZaxogFOmDo0Ds/3LDXJ1HDCDQbpmMigLcNR4kKveVmLhT4ZONV994hjk9zMQ6cQMTtz1v78JP974PDZziTP+y82ZQ5KxCweAgYI27ebTnJCH6Ic3oKt8ylYXSIt4kuVr908kndGqUZbVFP2vhiO2mJiUmjWEu0avxnGmZbTEC/EAadleBTSFuaq3nz8IA7uDc3wd0yG0keJ9LWk4eDMKs1rQRJtciyyL5u1VW0Nhts5x+ojfNCm/Oyq7q1eL+U+oEUNRw2Btv6QOSVhcNVSG2MjlYSIK7zRvRbmYLjXoGO/8ePed9E2fK3h5LTkO7ZxDLhVjRENLfQxoCKfFofICG8SjVMmaHiymqR1eJa6QGDlYUV3DVQl/sPJpMJYHL4VJEAMMQ+rQ+wAG44NA6MDtJ4MHKpICDZCFSovAmaVhrO7P2OEIDzQDCQ78vR2dq1divDJkbP508sgWkeHrl9fbcNkumuxDVVlMGV94hxxUpqvDkO87X66BJBALDM31rKy+ghw5foEuuQflmTQvDDle9MMAJFewWXv9VPdXeFNFNbfq6KFbWxmGcOKHeZ9jHw3mbGNS6LqBsFicErQEI+xDQTBSNSUh3eGy7j6vreDD//sSs25oZLNBv726aqGY66j9cojknJw6pgDQp0JwXJ9la7TpszEqdZB5146fwMuCZR0ZJ+QIOZqg3lV4ipN6NfqaQdo4tddg7f2StOuO9GZ7z3QYIhLUT5YUsq4hunQtjo0HkZFuetmxugpwKTeYqvSIRQ7eg7S/EsfrbQcuw0L5KnKm/cswdCcaVDczLf68nSqruixh50ogFT/sGBizdpvtGGrBb2zuqC6JsSmcSQ6msr/C1Av5IDd180uBmxEvOv/z0DGsQ12csupSTzH+S4wvVHAyzEkbqdtWllnfDmyeGzZP2s+9Hn6yVYX9YCaF2t/FMb2mqS/G8aQUZiQS3at6/XiywkY0x1pG5/rs9ljI7qNt91bwCNwq66dhCPixATjxCOMAL2sCte27jnqJArs5u3KE+TEUaMELxfaYlPtZtP24ISALlyvBaABJm1nOY5uDRmVJIzuU6dvTznb6FvVyKLmfJnn7MQP0EWYXjTO/9QdV5w4afyKXVzTklrdJeJvjvcaGE1H4CNMHqdYXNzFHqmwMRrEMj5r/efpW7z3XrnzHyoAQTq+WgICl3vUPae1EPGA1s+kTCq6DKXcAJA1Udw4K1zxMIPPdApyTd7O/i8sa8QvbetvLpx7UxsBjsGosxRjzqsZlp5JOP+JzAP+awHw5jun1PsI6d/KKA+FzAHtZhLJCiV8CSBMp31g+4PfxgZLryA4ugrCSFn8HmZDmwz6Zv1J8Ktw8bHKzf/QXoj5yYMFFSn2Zt6Iw005Jm348zk8DHjPo8RHh80u/9A2nsLTuAog7TQzfraBI6yV3zuIFkfv4CsXT9WeHjqqDYdFb/0i4tjDrkI23Jdcx1tFrhy0c2HWaG+VVsO5W+M1NJzEi/QlbrXZveuD3YLv6rDwSns/rlGEdgn9Pm4hhH3rtojhITEpCAgjJQsAe2a/aD95Xna6QefAkXk1fIwV1DJibWJeNwCoqQAhJ9eVxLPosT8oXm+d4oMlD6+WLZnFtuoybtLbUKFij2XgOdaDpcFOqN0v8ZIUmjUvmuyC5LfMblBZSP/fGyJ4Oh29teuX8MOv9goadwB+IDms1x/q53thgwil+O1hoxPzV6CMtNGDJ0bwE4YQkNBrpFrlI9usX442oyu78duvcNWuHZRYA0hteW7LE07YRfcGaabN36P38zAJw8svBwu+orbFalS3UUZMzEeoFpHn1dicSkqBb2hapLb4XR1tAbmyZgDkwFcB3Us7R0thefEO5KP1Gi+Od0u+VtiS8L3dxGh/3rtztOBR05V6Ah/a4YQEaW4h9hbVVjdTIrf+8rw2MOwE1ZmkbGJKykzEzKFiYABxN0wGwO7YT/Pxh22zgfCN/n6eYo7k7SXv/FakJmGML1b+MsxZWb5GXGUHM2Z77+BiYfQoSd0mYaavcPyY9SfeNbT6CTu6Wft1ZgmF/TY6lzfblpx+v1zv3lD0+IoiRMU2PZZeH4/0qWwYzEzUa50Wxi2rgQWqFSmqqhb13JVNm4VN6CJqkh1SKwr0QiMvV2ju7iu4slXq2eJXrrRKVF1wk/FHJVvV8Odr7v5k1Xdyts29Pgel21PB/M3Y9d4Q2cNvwh6daM+C7sCO6Ek0/kC4G6GK6VYXirP+izIT3eL0bngqQyRQYEgEgZP0rXf+0JMgqB9kaRwLNQknk09ihJ1KyX6IydGHWFrkAc80+gOpqCrOgvTMATaaXGJNqn2sGpX3z3fZYqckZGu6VCo8UOQD9gZcbGDvwCqJPbLt/UX4gRccxTHn7BnQSgSmWGvMbw/Ojr/fZ1/7Dl/ZMrZRrxPI0U1CfOnwyHWwkAEU2TGOMLekCi2pkpCc3RghIdb+ngPGfUQiZYeQLezQVk/YWL5VD82UkRr14UZSuTpOoRxH0UNRWYcTZIwf5/EoKQYxk/lwoiSkMkY7wWSixe9EcE+9yBsPKVwPwF7YaSkCkfyKmgJctfSTdRDKe7Eey4IB/enRiD6MxfyOiYQXdLTZwSxYX+I7t99OtaQoteOWIvub89unhagqXsRmm2aOOZklGFEZxiMLpTTKMF0B4QcSAeOLGLCBcgsQHAzJel6EdyAqzvaIYKvVz1sMAZAsP0/makVwTtKaF/58yQIBExryfLRY++ul3WE7Xco/h/YpxeYu3QuDoa/fvMyCX1wm78yMi8XEWuTrSK4JIFLyM4KQqNjpQVGY3jT5KGTP2MddxzAJt/0xSBcRZI5wDbxE9uYy9vOIvVSct31tBlbXkGPv22xdrssF7kkVYLiqtVKtb7rSW6fhLQis/B6TapskwAjaLA3IeSmXrrWvEa9wTHjxpdQXCubczgKG92OUUXBKrhM9OyPblY4e/bC0spdwXMyK/5MoKUwPIdQVMaq/+J6C0Pn65Q62AjTXW38Jaa6FL4tPVMdPzQnbsuee+QiElUsMvyk+73wfuzM676tvJnCD8t7exrAZ9ULsYSvWFPhwAD8zXn71sgP0cXvbUCUTwq3VSkKEROh1GLYlJHfCU66mIDhreJM2PfZ/PJSyYEgVeqvphVIbx+JHLRmG6aKLW/1X1HY7DO1HurdDiVEEUa795suIDvcMXzb/5UpIzkBcZxONjmQGYlFNxy6q2BZqawHO+Qe6SCMnEidjcYABHnW/fB8ELPmtUSdAOE9jroyj2HanjcNFfpn0C67kLo9f/34X4bg15nNFxcGQn+fKIXS7kOqiXXlUmcThEKz3uRdbsUx0mc3e1SNJvAR59hXE6xL3WTJjHNnyKRNJwuOgQNQXKPpnPLWLKRxoH8W2enk1+1S4g/t3TpdyU51h8aRakW+8bniC7HIgsKwy32JQqr7iYSlHE8yvR+mDa2DAkrAe5cRv5w3EB6mq9GEEODKEhMgewc5vlFd+YV9YOOQeRZbIJ8oVQ97TEATvfJd4DVLJpt9Vp0GhqYtO+cyyCCGzbQDktViUHMiRU5FfvPiYRu0cpCJ5+KfjnLNWWuEK53dkRhDHKHCeniBhCY+i+Wh0ehgc/EeaT5WoC8I5YakFYpfZpSYpvTi6z9Djg1UyKj0qxxrOcc7CQiILw1LApLFBCxgvswN0/bN/xINRLQihL8McwH8yvLpmkFA32pWnzpC3Qe1lB7Sxw5a3sUSqq7c6En7NG/hm3osBkL/agGusi52uqH9Bdd6wLu5x+MWvKlc4HUEtyiURv/+1H24rAm4OsHl/s/Ca6wdL/CK9LHG35b42w0v7usizVnwZEktiKjm1WCCPfLOqoygBy3YL5Ts4qh9Obnrcmd/TKoDx24yBFxi87iIK59miA8hd56bdpLWOniWuZcPRctyqzNF31J9nRjR68cTEaGoV6Cg0HLOXL6+pgfYhPAeRv1Zl9dSTbx5o9jmKPVpHe2onJow9mZL8hY9cOQczPyKWTK3aFARBEsxukzMdt7G5SgByVzc25jGFvqiK0oRurFp0VXl8x/19n5sjOoCHUmUNF8RR2+lKDi5Me5ugrZWaPNnzSE/P86zHKFWfYXo7tCpKY0PNjdwyNI6NbsVAqVWEiGxB/F5pK9IX2gOWZTVJfiOXRnyI1gfh0bnilLqaYezyEVHa4UnV0lHI9deczZTzTbOqGZmueh1deYGOQbkru/rYObNT/B0Hzh2zO/J8DFGvrtPYLUAYD4jy/J7zCBeUJY616zHsfHapxCOxd97pZEsCkdZFvkfso72FDioFM3gkD0tG5Tm5qxAAFX9h2UA0PcZjgROAiO7j3wPH5CxP7b45pexsw1i9JGzkWcpcwNYQAlLgkK69DlX5rsnd5AvY/6AfxlXEiG1NOJnRlYv/rU39XDQx03u0aERUQWcpS5yZuGt15z0TCtTK98pb2oPZBH6rIBkUBAE/9E93MNJB9EcHlY3vOLXaU3wFGASzjlykNwQIoQ0hHZYM/x7Pd5hU8+PFvBOp7ZgK1MrzgrJOOOkM/LZevRZW/r4oRig0+RwQ54jNebXEyhspfvCz/3lViGmy96+5I8dSJ/5c+BDOYHYGJJQmluVDNEUp0CzSupUqRBVLJ8jvSpRo5u8W+2NnhOhTmSc3okuyBBb27XQ+Qc0KdCa1c0ggpV2L2UKVQrJ8J9DDGP67JWfuFtyXSQlirgLdZG/mA/ITklPPWYXVZPLXJ1U0czfBVQNRFid23wVGVV5M8vNHMtip+0r/L/DZFaJciwy12tGmeWOGv2EGMPlTjKM7bu0R9qPeRDj8C84o4LG1ZL1GQEHZCR+NMWvkYjZXum4CWHiZQMNhSC+/K2p8hyIXgY1ySPLz8qrcMueGRhuOq0lJWw10pDrpxNoYev+GPcRtCV4pRB6Lt0dY2BUU4d2DGYhGvXqVFTz1gCRZCJD0HLExfDxmRRrqztJam08v2UzKaVOe4AUDSyp7I6F1pHrMVhVl1PKd14eJJvaPbkFOFMqZNBnox7P/utQsIJOS4PEFaA2RscaKJ3HPF8B346b3lOubSflQGSk8HogAtDDMnxIExlXPI/ErFWniBwgjbTM64j5p21FV4OfCiS6Y7Woq8CbnRfxG62ToM7gIhMfI4yN77XLjWXRe4PnwAui+TR7lH+Y7Aekq7aU6My0/Og+CuN7MScHy0659HQf8/F8Db8/XDtUT+JWHTXxrhNyI9r2KW+fy2nvNaO2K42iGTzkffcP4SS0zPcDkAaEV+MTs7EjDxYELsSjInnUVSoAZFcYiNTflHmnQkZ0yFhBQ5DRJ6O2EyEzt8cLvMakoao7l54jYMmMiKtzD3a5C4+5pLq6oIfBwMV9YYfli+i6Lw8Eds+8alWpgkTdLw8rsv6/L7IfdwHQElT82+K+gzqup8VgbDUmayl9ZcFtahK6ZDfr40Ar54kqNsiG7/fExmdvmceKvwspw8QIIU9wmqjudkCVtLBrRUrQvImKNYGqtQu1H39IEqn0XW2d/ZqQOsXM8zu/Wjrjzq7tux8x3K61EcDERjYXLMVsFM+Ms+pnmmgAyKSR9QoehsxVby7csjRVF8qsZa793317MOmLmm5Nwdldmc2ieAPPGOjlDQib75b7qLF05F8BzYJxCnPyhLQqVVxIKDEkA7XuaZxydqGnoC44wjpVEyKd2s/T+lfz0fSBv39+udVH7s7vBPMppmUD72cl1C5v9Y7OML65J/HARFwRNZ1rH4nGvrby2dbqFhPEr3YIDuRxeAlXezIvnnwVboz3LYTSPiOG+agmL4okIg95EuwHCGHunb1XBxd+vRGlTD1rq0OBBdOSfe+VoghwPQd5btLMGoIePWZvcwD7gznUJLmNq8Y01vH8qYpjOj+5bvnC3M64qDPzq8W2VBreIWyzmQKCLAFYRApl4FYCIr/prZo+vvFkzy84ooCMgPKHWW+xaeZBXX7i83QOAlcnHlkxwSj32m5JBHcr+wZaB5dALxJUcUBxpYbYs8QWaGif0G1xupatiN0nmaT0zbmtDLRJ2680BnQvqxY8R0CFbyMa2T5cJcx099hDXFtk92fUO6ZUyGZoS+CObeI2B9NNCq8NUuepg7Tz/MeBg/KCLM7ad3fZ/GYzO66IzEvJ6IOft/yYk3zoIpcOqfsaz1vDBgR6qVHRUD2gyBl5NiV2ZxvUgw0UTzFtdodaGNtxItQPzzwb0q3+smUf7nX9w+8FmDYHSA+x3NLc5e58Kim4DtSXGxeYbS01Bf5QLhnSa1a3yUGw7pHtCgc5lWdUxxdy6OrnZT4H1bZY7p4c/wMQH3DbW5zDUSHV3moqcZURWs02FXATMaGr+J1DrjlAv5rkHfgILDJryB8JhvF+dq2PaS/ziptZkutqrHzskHf5RAPLFIV2MUSMX/q2PxdWRwKwjG2T+Hh25H7+Yevp1LYkd9ChZBXdOnDeNukxMYFtInGUDvV4Yv7LZVRXwr9pmTJKBJG1WfG47puFQz4hWfGSpIjBjpBvVxK+csggwacN3T+z8Cl6nzdx7A+/yfFNI/HMxnNhv1HZRgqiMkPftLuGSTA4dF3dbV/6tk8OiZfQwyjJyp5Jc/gGXKDR77aOr3pE8RSyOmIrbnCtS0+AvOOvgbNvjf9t6C4sR/cg7rUfSz6ihqecSU6SRsgU2RiKFpQL/RwTM6w8ORWCsKPH0Zcvp+jIkhGoVPzJx3VhKe40HdZ+MRO+bHp7W+Wk6aNB2fQlmkVf40BH/8Rt4KvVpBrIFQmE03q1JnKDvO0qoSHXBxJpZCA+7Ggt4NiREWK07sqO0tKAdwcxQrwMuITcpxLwfvYlf04/8Z5y8qeNXvgOVQ3LrqWQF8E/jNLjwXROB3s4Ji5698MTEmqx1dQUzRSaq6OJp1bhIds8V3udDn+Wyocsqn+HKwWRaKnvEpUXtKxVf3HCB0eMLRKU5hqOII+v/JzNU2SPORONOjjAEwUA585DFgcypPyBhALCvKLGbxrfZ+Rh6Nik1lnhKXagxSE6cEtVUnYAkhWuVqKXJL3sGuIigarbQiMUDsAKkAnPbX5IF6RNFWWBFv1Gkpa6yn3rosLrb6ikPtJj24KYMDUHFrAlJgyb4JFp03cmdO9IhTyEFpi0U5RmF3/obbrUYLB06ExyZEv79QctAE79TG7YKjPnNEaj2Bg3E8/kvqnYUBNtdEA3qt+gKNtbQYwVyZTMpewdhJCFXEyE/RrTn7CrWd8Hw/pphZBOmn94u+z/rT9YR70dG7xCh1jJiPDSijcYw0xWEbUJJumVaFUZUOET4mVe8lisMnRTWozz9kTUxF+NZobdI6Yp34+h9b1PB+RDXhBx7OT2tf4TlRe+8yMW90Zg7/eipLd6ussWyASKSQRjjN5cpCLjTB7JWsB0F13Nn8kORb649KBMutIhQ51Wllyg+dFLp4QRRKtcFBPI3+v2xAfkkffTl0p18OeEdR4miLRe1snGK82D6PmZ2Kq4cHMpiVrO90ovwjQXzAVMqJJFOQKe2VRgEpJ3JT8l9BQMG1XvKfuidwn2Y0Oj1AD2CEzWDfKZjD048yXOdWQtphopQfHhbQOrjX7Q87l27VoTtM9Oc7S7VKbWYvYZwwZqQR/tOM3+6Bt9F1cRbFuRlhNtg1gTtv/2naVQIDUmSxFZYS+X+lbvojL/GHYavL1xj+vB9PnnUXKH0NuVBSKmBiWrvCKctb/pCXVZ7OontdKuTHnx5CdHeM2uIsGpbPYx0OyP40Vqo5ajk85WOSIBdjXhBpmwEUJ3FZ6shEII20Gu9/ehqoEXe4ixuQ0Nn8YMfuJB/W64UGtzhTNLCHM3Ki1w9HwBUhSHCzOFTEcDHfLDSNTgGQQZQOMppEdw3ZbxrJL8Nhw5TqfIH9ypkudT0wLDU9pqc/tP5P0taXFbV4KbEk83WbpFfuZ4fApzju5yQ9h0gm9NR6qn+8+EmHl6mgMQv0XQVyNA2Cp7oaSXaXaGjvZle9gG7ERJIEB5i4p7gKHec4cEyL094lgFLE7545DfXGxK8DP8Nuupi9bWGYKhdayoWLO2mmnphovyEvjkmkGklHkri1nsTeMVi+UNFzeDCBrczhggufU/bHqqgD/fDUp5oYpQAgL4rAVkmDrF6SPnlCK6l79BzrpASO9YY5rLmaYmjOFbezOkYQHfmJAA53sse0XYw2tICWxO7HBcX1xgG0smRlqME4hFxQE55ai81Twpl1K0pPT979CNyV/VyzMGh3CQY4VKbfQnBxXj3T9bu1IXzgyHfSz3asVjFTTa0hMmxoPG29u+/iZfDS8EopdBom7+33FC29oTyU5BjOnVfz7CxxelJKA04ccw/HOCr9dFU6sVvUzrMVjOucAB8347hvM6DVMAb2SYc7Lhu1p4jxLV7eyJzYM5ojz+pHZdYtOpjXpY7X/+0hYVKJwosJ7uGM+V/ud+m1ro8+gp3FREsYe1Vkx9peizC6YKDd8+OFPLygg0MwIOZ2lggKMqZ37/W6DwbQr6AaF26TTilxhHtgAQLqK7ppu7VYfy5tVMiIUalmuAsrncq6+UFhK8Opk+n74YUiYLFihvF74swlaAKKy3XnTBi5Ke7nB/VqCGzR8zfOClEjQTPYmkaCJ4jJ0RaHhMOucQBBSSKI4yeUrpGWlkjvGSjF3umeJUtinnO9A6t6lVUQOtmPZjiyhxoYhMLEv9b8nj4NfpW8ZZV3eUrSbJW4XUkep1Z3/bt6yBd7xkW9GSprVUjt/lq3PFQQr8sWtDpc76bKSsXjc5niSBGIExNJM9l+/6eSWmBby5HkoHRe8uon2AYVIOtNf+iNRpq9e/2YqjU1KR+5R85IC9TlCyyptw3eYYLXmsFymPWBKu4McG3B7gexgjLGb2u8rvwvsEYgnb5jdX1UETQK70GOoHGD1uAxWr53tr+XD0OaVqUFX/yAPm24W3WKdPlIDg80TkI3IY+6apMdPwjZKSXiFpwOmQ5qfAkK/zDX31/avGjhsy4t0CYMsfyrGpJ7GzOKVJwqvnXPhX92nrJ0T76CSbLVTiiR28nH4Q1q32SFlQseHaixyakfWobzDKRmBTolPbzTzJRPf7wHuvdrVadiP0kgVMjbgMpsLPc45vABSYu+P/NgXvrHs++iNYLH/m/zDacftm2Dvdip/Nu5yYGRTCT2VZmEmKghEC7BQCvmhiR4QqdHNX6Lf3+4ptwkJSTRmyljjMKY4vDNnCGdCSMG9yr0NblJwwCejQtmcLeQqwZZYUkFFEFtOAlhz6KuFfwOdMdZ0L/4iLILDBEEPb1bv9YdiiT9L01pUXcHR8veXcG4rqLPy5Sqth4KLu+pXwtf0hFXZtFWMqySuJGYo26IA4Y0oARBGNmw5wH5jS9p1XgwUYkdYAlv1p8/TiFg2XzII1B3Tew++SWxbgWeS1RH7yTAzjbZE5gTF8g8Ru4RfPyaC0906leeo3kanuUaPpRWKVezoq/yckmJEfeFLrUIQyUk8GCOINJtvjqfysZXTgrEBl9w8rZ5vyLU8sru2fWubBMdywvceDge2ITestMcr4M38TgAdy1I4Fc026GtYeLKS1Wz3py7gj3FkINt6rdgoCjPU+RExnIEXqtA148heDS81qGwEIVk9ci1GBDAiaOsZfqcN+H04QPT3+etx+sBDDvRAxicfQKVtJbVEU81LXbJMTerupbGWrg71CjgZSZK6sQKf92w5/cxJD0+dlzjiwlVoTgrO3Jsv9l8Dm55tgBlvVDV2GG18dBysYpQ7tE72K4NgSsw4mcXDR84FNMef+BfC576vd52MhS5r8qNxImognZ5vdEfYT98l7bMoOycNU0DzPxsMorMh9q9KnJOU1bDuwy/1+fWZE0RmkPlbQs4Zmk3hobQfkfdTLHh17x0R2m+dGzu75XjT+anPJFIrKjp67VqDfqB8caq6dorMn5deuhU6YYHm+g393PGGmR7zoRJJvmGfpu3H6kj7wbRwRaHzgUrx59lGVLXwnimGaReJUJCdgy61jm2apj5jasx8VKvCbXuYcAQZq4xI5IBRqUp2pm7Zw20Nor7Tn+cGjDUnXCz3NMtBZv1iscIbFSOyFv4jDR3Du+MaxDKmEwK+o+QdtUQUAxyt6zgTZqva/RaKsZv711aaBVNjuE70GaaQefuPRJ8gIHLhmdEhPBS/F0VDiOrMxYH/qM4usAPm/GcqhF+CBRiKjPXuO/T8zd8U2cu71vM/O2BaGyiQi0O/P+rfdeH8T6eoJ8SGnWngxozAygykGFXUIozOB1x3adA3Yfpn4YECVNDpNCEfa6zb+rEEj9XpxVq6Z6pHTNDs7+jOGKnBf+wzDL66ZK+x/0BHCW2kpXba2T4liXBkvIUFtpJGiNM5O53awj3F/e8OVzvI7SRgFYjB9K6qPxJVtso1S+sVoDcrpukTNlpT4hbRT4esu5jdNGm7yCrzPWAifMmZocIq2juxbi6aIgXJIVrdxg8NYA+n32QfMg4JLO5bsVB3cdoBO2niC2kOPmwOjDbXM0PYRZDbnFDIaLolP02Ntup5t8t72BnoanQykNFMtWFuqt5dZ0cBQg2EPDme77TeEwe+j20X2Q9YvkCsLEzq4XYJAaY6HoFh02UnAjBMxms2S2k2Sj+W3JLviyiT5RPgLkK2vToNr0BNLMUwmqvuI5SW5UnM1lNpxZ6TtiY+1McBTKVuOY9mNLywlnwvzuykNcjF9caqNOZj7RjdZz8C7mOuhrSB82LgxMbTo9p8PLmik6n0TA0yatdeeq7dZuHmJlnjuLpQmB5IMIk5HJMb6zktPPiGXNIGDz8U6MqpnEkegbsYt77YYbDFbX36ohfYW1QXvKiGXH07hP5fhdEf+IUDr2W0vJ/fMpGyb4RNE3qZmwmE6fQtnr1gCQqwFeQXnDmDj4TYr8cN5xM4oRpuzCpJJI+RM9qQucu7yqqM+rhPLvK1Vs2Oq7JEcsULGoE7nO3qr9Wjr0PxcrUPJxpx2ovK3AQEumYaOWJYOkQNvsGqzRKydx//CFEzA5PtPtPtmuKo/1CW6E83gbiNRGcpWoePrCWvZVc3cJPICwd7DVv4j/0cJO7E5P8LWZeuKKt3Cki70bVClm1PBaTdlhQzSnkpxv7GnuYFvF2/80uiaeJUkdJzo5dM1x6B/lOA9uCPJo3x6HAh+5HVMi19S4f9ReoOlb96mUYz6XMmGO+pLLNFQVrrNVP7cC+N3YG/WsOADU3O2MaK5GIJxVrFgoaLV8Ft8v3O3GDxXkmY5Nvye4X1QWiwQTxBhq0HfydZoJjX/vf2XEtceD4YB0JZL+U9QvH2YmUFT0RrZ9E4B3MTvvQ7+RlrvppJ5XcYA+XCCtRM8AQkvT/6yQcmMvLngRK0wOzMEPcc93fWZzBeuxFAcm0NDyTUrR93mj3NTBSO9fCSRolYuXMGhUoHU41wo5TU400mDSyCRs+CwuJcGDHrNKBPwgFSCaf816fNT4nEdxMz8RSOyRV7Yk6DVE84ZRyRCEVeLdEoFKeYkhq4KCBvPXoDZQq8mzCokdH+kDD9zCGG6GTdsrEmWF7JqOIDKqCsh9tV44aqs3fvr6jOsGNMd9YNVIXcvJfyUNrKq6QY7yvRZnfjBL9hNKg2HMUqXB0J8s3um8P7n2J1M+Ltw53GEb44kEXh1jQW0lyxmcqZVqQlbvWkbRM2+TM93wOPb6gu65/qffyERttr0+T7wO404ULLxwAxFCNXgqW+sQ32JlhYtSdjoHgXN0R+jkrCFfrPuFYbLgJI/3nJ9CEr5E9MEPNrFqfRurc0/Iic0Uf0vzfOsc58HtLSWod+1VGBbyolBo/2AwcpAGSRJe6bbHqIp0EaLpy5ql2zJm7HnaEPSS660cXxnAljgQRWNgH2RmAc8whdkwTxmRCKIqBeOujG4QLXHQpQlAxVXFaqJ5ET3KHAEtvlgRiGp4A9DmScXN7Ra61oalq6mbfQWWMgHqNxvXfXLp0mjlhdc2Jt8EmFJQ6eXmrdoMTW7QuiA7VklXfp3byqQb1GTK2CJUAcdxaULyec/167Gb3k2k5MFtnTxy1iTjxEqvqAJ4U/2914f7aXz5tCxLU66aZJEI5WqzVMaKUOM8wXDrG4Q3Nd8eyHr6Hy0JsjJ3zgg7GShf0+yGIvEfUfcQzdTpLSlQmjhY+2oibI58ryCnunWeR0XFLGmfPmoPnZqEbUt5/SFQ47ZXixlwUmL88/mFSoV0pwSSnjE6gvJLK9n2y7wX5o1+6PNsqM6ZGciu+cT5mYeGXErd9XrMG6YBmRCe7hbNAuIuVCa6Vl0Ew1Pr/cu3v5tEE3skvlCBum25qrCsOWwTxXxJ4igRJLDiKH7eMv292SCLGTGIZTtceG05A5tQL8Gt2F28HqpAUPcMlOC38bLa3e/iR13VmQLMdQYXPjlFv2W69pJVCrBQoHZBVQZkZzCVuBhljHwJIVK9U7nJ3qtY6T3ovXxMiRJOpyHK9Cq712N31T0uO5w2m7Rxu1oc2mo5ucSbTZwjIKECrEB9oaWO7l9dwk9H16XeLr1Yymmn/lpBJzCxxaabw/5lKZWvq9Mj7d88sN8zwh9Q2/cpAw4d1LB1rfaGYZGOtrxwOE/wlRLjuT2SUYmskxWx+8josSVtt3/eA+d6GqjUfXtzzUhQgbmeigtpCejOh2AZIH5KkQbl5u6ns7oX8DMTKPl/+t4l94Zc7u/PVTlxPyRAgzMa/5cUXhNcaSpQpicpBuLZA+7W8vjOxSX+voZJt4QhXffDIj8ntddpPkH7AyiRiYMMDpxNOx7Q3Vls7HD3860D0QghIPr2tDS0ovctVStiZlSXG9p1f3lNtQ//n7FQUZzhlINT1s49q2aVSxxW5sm7hNkgJMkSANV6FRBgxNqCOHlgPOJKWyyG82oQCypEPRNQEFme/HzwUw1VPnKptcweCTsfuWDuijE40GKpG6AnTK0ccWLlEsc8fjARf7lL9TDPZ9Ahk58x/5hlgYlVpuKpF8Z3nkuVCDERky0Il25tctHb56j9gws4YJ0KKFcniyht0EuJuc40aroEGBLrwcCQpvAWPdXdvNuMuwr8X3lxJ0lZpXJyHUAyXkcKle42yZJ90giKqOlB88mjZZABycOCiGbfa494ER83ZPcInTBeE0DXLee6Kwacvjqj/VdNngKB+FQyItuavuDaDueKen5MfuZTscTHJiT8HEG9nAh2M/ixuwoBOoEIhNsz0SNuiSKsDeOZXwqKN0qwW72bRzg5xIaHd3jnDuuOf5QAWy4jC5VpV2eswWyAOATs098bgGiY0PakRUVxyyewgErdIAJRZ1LUxpPop8G3ZmYRi+C7WrgJcnsUj85ubZQRU1HrmrgLI/4VwOhbiDYrplKKXMbNZBi6A6ZYU4v7VpYqgAIcSaqaj4Hmfh1kpw2XZsP2ECmE7tVOMiiMaSPh03FvH5EA8y8RO6yR49WJT3iejr6mtgHE1OwxpI1pe7oqt00nUXFwOvIsGuxkRbt81Unjtut1Xzzl57rukXK/xFQaCnQ2soaehYGvWd/7lg8f12TL1LhoKRBmwqG7aPLhImAqA7HKj/q5PLnSN2tVfUpuOtCSIm2wvemWYzdnFEWYPbk4tVkf1hD5m7itGYnS1m3JIarq7Qek00kyiUMqRQhmfZroKCV5zfg9eVumCfX85AHeQwjxFDwIDblzYwoj/4NVyjGIXsUvCygJb9LvQaXydxqtilmbJbD+0iIJD0hS+uRKpol+RYIdjj2NCCRHDZv5bzttCYhYntI6V9Fipnlox3mr3y4nwXEFwnJZ7iM2rkA51m8+D9m9zjLCa4X+YLIfvVuW7JJTq4VhrLNn7DYvj9YoOoZEur3yIKDMosNhL6c5aG5y6Eun+D05cKuhGbo5XZJti6bNhmDnOqhfG8tk1o0ewscwPEWsEwptTx5XYgs8r3fl4hBaKHkabQl1ZWcplEzt6CZ0ZK5NG7Wmi4GvuziStfWf7eLsJiyg1MeVaOYXsdkpQvo5w+GWl6zHipjJizSvZpFxBmB2UNIM/HcHs6aSuQDiultzbDWoJoElim3gbBzuIelChWnnwXyiGmvgO+eMoYclbP+TMbcSJBfQ2892bqJZppk50toORGgwz2cm5n2o19Ub+yboIlRqcSU7lRs1QbnHbpie7hW1kjlMO7fmqUeTwjhHsIuE9RkClsiofwHkthFkQ2uhVVLq8Fn/AvLepuytpRnaMv0MOvKUbK8bOccedtconwOXGpwRopn5slmXr6h01n+eynM9VEs8/bgJR394yVF0oOh3Y4uKNcgwkZdN1J2A9d5Y4ZZylDi0ryE/qE7AyYAFE4O77hu7wkUfpc+6PbZe/yrw9CzcmzIhEXNCD9fjtD29/3de5lvj1wqU7B1WR343cb7jVyRJO5cnAKwUv43d8mGrkzuAvquz6xAW9S1DKJJe0UP+VZonRrxn7u9BcH9Ks9szJBK6Dh6lzc1qmhmXZCtWZ9SwO15H7fe7SsoEeQhxHQMyTVzmU8yq2Aun845JK8Uyu0W/BWQwMaDl17fPK8HeeL8tkIl4oTrSrlt5DUXd8ea7ZtMYDDA1d5ZkkI+kIGXGQtOf+npgMIkUyt+acMuniBUP70nbzpvUEAkruMpx4vauzm5c49HfIcDhVZ+vuGIDsnMcGa5M9gKZlaafDrNXA5Pi7kM4e7mo2OSQPeHdc0fCVbXALYoFL0b4U4SYZLHppPdT5HgQt7M1kFjUL2Ll+2+03glLGL9qMOSAyD/6AeDDOCkLLiqD9XFNLfjfkdvSbacpFZS9T1ky85fVg/bB/Uax4bGIzGNM+nQ4raWjzWmSVwEp+prLItki1wJ2B3yEPi3RL+xEYvaU/bqbYt8htG7AUviytRPQKilQQYVTF3bzcRCSakgmjxCPCti7Pe/Q/fz5RGApBjnWDzRdWhvJIW0/AfQ+dqMDAHRjIb7ulBi5Pf0ABQT8KnqRJoELQFFnoWHjHVPOEnggiDJcVrLXdTsze0W7wVz/T7L3XV4lZv+mY6zgh+yWpjGdL++3mRpaUgt9pV/9E3GLFMC7UDGhu0kZLuUJfJ705jhan0R2Zz6ApEzgB/3EV9prTJd2PPwC5Uo2wJM19H1ERcb+Eyxl5NHaY/Hg2GjFgG4sMM+pftHp47zxVEKzM5I5Z6oMJ7YKrZok3HC7bHrb5ezuWiizzucaNxDD4CQPspuPD/yJwga4h7NrdquPMTT7we0NK1pznrDVl93dXOePXvpiqzMwyzsljayi+U/sW0jMH+igboV3GR3jTKfjewKm+1h3K47fpXkFtRZS00VOfzXpj+SxR0ogDPenBxtUQI/V3R+Wbnfi8GeMM7fvfHvUcQOYxL6Mx2Mc0rdnxKi+QoPmhl41fF8InCLKkfWj4+0o2GPmRWekSky2vaItcCktqfbfmHB9DLR/xHpwEDxZO+H0IeaZuu/XL8meWZ7+7+6yYdRgak8PZFwY1JhUycWoweWSAS4NWt4gJT1JVMdFsvhhfLcZLYrF9xcq6F/bxVOXCclg7pv3SoueJliDGh/ZxD71XQrh9uI5MXvTjIdV+Ty5hR3QzBDEb6+ygMX3B0YmZGuRx/WSL8h2lloVlrYyLU/Sjzn8tMwj4gjBEoNengKHcWEg2i+2ZmHal9FsBkFQ1O9SHjIFtCjB8IPANGO0yHnE44PlELj+XO5J9JshKd7wlPlrwQQk06vZzUs+Yl+lljRi/opKFW6Dmq0jJV/ViJVoL5zcV4U6enMXGNRjmwlsr+eVUKpkjKlbQ+LqzB9WOBhvhPXr2lFjzQHWkiBvw3CofPow/UlxzRqBetwywW5QXApAKCj35j1b89t+tVv9Hdv1ZyPyxuTRXj6SbIZp/WjHJho+Hg+tdCUHRyOXnRm5RtggK4BXxHYNgk7tuh0YZr1i8JnBP7uM/q9fpWptpM7zslB3xhOiUvntq17K9Hjiyk4ZrDL76fJzGw1pkuNUzV6wbtorqypC6EpUYZz/5Jijrlhr64GMyQOXbKfLVywvEtUahcq/ZXr0CjMcqRPt+SiDgWzVjIp+W2aBmGjLWJS2eJr7tF0Ws0oTKLAFvnOmaQ06HVXFHaM7+0N60u0GxQ0WkUMtLbjONc27zgEdAmWqb88O9lmPdqvrD2m4rec+Nd+a9lNoOIIMDTjaakB6K8VFvF1mHTU/X8ho0qygz78XVCIyEpgv+qoHkJg+WlKuR6UymGQOT81R28RoUa3KM3CWxJhNXwoA1V2EMGBwcHnZI3wW/pWTtZpWHkQXdzK8Oxlt0svQFL9UJ65mhTnVFCKn+02o07DdJolQUKUOE8CTwYkGhtRvzqTunsQl6LdyVKFgVvWr7XAr4wEeo1qQMJgeGVkST96w/1iI+xDTkknQJBrx8L7gqxiuPAeeOojVPcVXBDgt0Uq7wtf/kf6tHlwToGRWt3e6Iecfn1QjM7FHkUFtdlGgbYIOmQQRpXd7nFS86t8FbmpN/ZjWcejPRLqImN0XRR0bSGHOEhZhw4Kr/ZOx9OJfun7wdarwnXyCcugMkTb+Rc6oq1kspUHdMKzt2FtuZrGL6EevUmOJU28IOvXeAqxEQh21fA2Q/hKHz1sQi+qnifdG40mAub7zeb6ZTc/yRHKuJI5vEaRAkihD4C7oTOePBS4YGUsFYJh17+gg03kgZhO/ujoAcK1uP9/M+T+JDmwUvJ1KlqJvXCFCMQi9rDXJBesx4c5ngpILz/KnrGmeFy5HbA+cGBBd7S1/Ok784h9MNFWYXk8mwUtcDK9NBMY50SjPWO+GQ79apz5CsJPsrNe/NApA74W2ewwGX3M26AXa9RemtFWd9UhXzQSIu25DOt2Z+eq+RG+SQ6lOujxtiBdEWB1V89m74ffivc+BR+bqQ0O6SeDDJ84WJP38IUAt/uZ/u+AUTIIEHuvE39X4X1bpNy8NbHTjzrDf5dxnIgl+ZsRq+TqmVOT5/ot3kLmHc/9ANj9Ee00m4EcqpNl5j7tAQkb51QQpebl4zQu0roo6li86etjujFzq8uzCZT8EaKx2MBDVFwI0TtkxZNcgHDbuPuuEk03vM6GxOwQiJyOKLaz4DEIfMjmgL9XFCMTSqjvdRmrOjs5+8Gd0gZWn4b0/EisnFTcb/l5Dw3JDC3n+0luXJEPaLQ9/TndBaZQ6gJJhwpRAx70McJixXsUftt0zix5otzFMvSFX416dbGcz6bLVTA4Jdp0rR3SQCcs69I1fIHG9IUvMCoxlF6+jCuLhanvf0l9D1rBYYEEGKj0g05DeXKrDRISRkE3vFfEWhYsaM/QCxq2NaHyr8opB8PqGX/YnKDqhSEtQnnnbBNFRUDHUxVAeoqzzH+PLoo2C3dl48akq5N9p673eNXTA5RXKjj9o6hzmLgJ4UYjPtpdif+v4MKOo/pO2Y4CqhJCQcns2vVhfn8mswHnVYS+uZn4qEJ4K9q/mYcAVtz8L+R6IqIRdKKDgKliEJx7ce1XYdPIDN2W7KS4jhmcxUxqVtbyr8fgF9QHuERQ9K5t5QA41lWr7nZgjM/dIPwfCxiTi8n10zvZh6IxidRNZ5wWHtsEKFF8xgquLDzfFd2YzmVLzLtdoPEpgGLcL8SHLrHOZ52ysi0w8pIHVj00Y6/VatCHIvLj3rfWFhON+JiyNXrKAOMBE5dcytnZCgsKJ+iuvzh9F+aADToClD0LI2B18Ta6NVeuJ03RQkmmQ5NSzzNARP+a6LBAF3rf6XqYGOkIZ9jaxXrpfFpdelR9mJgmclVP0tiujDiZ8MUXu+N03jKh0W7tb0sVxZQHR2oM8yGm5iuhweKLCI6YJU3FqCRdGOJlzAYzreRkjp+1+CNit/tpIkQhQfJReDh7rXQ0OFUSSroWotEvcI8t5nt/m4fxdbeobKhK+6f8wvyt6swxwKRTRsfBqSDip6j2M6tSpIO3En5mxwIsEVuUmlAGd4bS0vgcOEn3+NVjefh11Lmqo8EeprHeazKCU9ZUNeRjHjDNr8yx4yDkXw/p5OTM6Ls1VGoxPiixorTOiC56RQbYdE/Z1/gxSQIyyLFnqhNQHnwutexWZUVo837DHIY+7pkyIF1dCSwJe7P/kpgz8oruKfT1RX/xKaTjqp74d/L0A3rrOKnn/zsprvmUpKITvD3Bji0SWvUUGvaOSbF4VGk1N+B3qEDLKupndiRfrpyHeja81vt7t5J/tCGp0GpM1sK649UZsIoszggXZPULr6wchNlvZARSbtFTyORW7//p+ZgcIyrg8MWasysb6WiD7o/dYYaMaU3M1XVpBZepMVBT8zDiaBMSnIRTQUCcyA0+msV2p+d+QpAj9LTjAx3Pj2HoQPFOTL4iU5Gt8dPL0jCgaFxOi6ZTTmX7xEYjA553z2WXMF1j7abjg1/6La5fGYz2CXl2LcMcjJgX7Qvrlh1r71YYUjTU1bJ1DYLHDBTOO4hBOm9xs/iUB4lJL9TZ+LMdXGDtnSyNeovw9y+6OxWpErcrTSU5yPtXz2H1psCFKmyurS/1dXaQI8wNBKpJR1juuvl2s3AQv0QcouMownjcajuVPQdopkpnAh1Ak4Lo8VMy6XCFJBfcmlpUnLgHAeSK3ZwJ1tzzlB3Ro0pA59XXoEpXvBHFV8zlZLOVDKdu5EeDrV2DKIkA7kXG9zWDL1TtvPQ6MYchGGfPALyjmMhU4DacuEQSMu7syJdwAdy3pdfQ4rdaDD/itcKGVciZ/Vxfy2PbEGs6bhWMwuz5OBbDLmIihhX5yxT6e2Oq5AzQ6taGXCMuwIIMbNSc/CoWzDGgxXkegSUnh0smF4p7to4rkxEeLew8XVAJDcLSKL/U6CZ46JWPUn93wN+xpU6FUqDqyKUcqiVl0myriaUn3ZI1iVt0a7R5fSDIKsylvurnEV2MuSCtoaubN8EyHNsaGF/PgxMGJYQtZQnd9O+4AythKfpeZedXWikS9hRRM3i0e1JYTwcFbkrDVC6+eFQ0kVcwu6xrVdHzYofMMbJGTycfjC643vNz0SLz6RnHLN8L5e4DDhExNLPJ45vNGAPvfIQ6wLaknXvi2qmjpFlD8nvEyNUveVTkc6xzSuuBPyuRyc/JL7YSYw4SayvLPvim8MAAU07jrbFHcM3/ihDKmmo74FsXWOCnsJ58oOUzaknzqPwaoA1ExiZKMxOLjEMBBEBW5Vg5D+6nX1vdIeBwhJ10uHHmpKKld8XZMq6VjWIbzELtLYfyE00KT2eBCm9T0TOJ81vUJDFm8IZKzRfc/</x:t>
  </x:si>
  <x:si>
    <x:t>7MtYuR/L8rbvOWlDHBk13Ud50NMnfy8EubfVWWpChdf2btc2YffGhh2iyYrr87JFj1irfg1+lMISWFr0nWAre2snEGMcROeGliINsWVeYkkHYyVKBxmEmetIUtOfEjyPvZIp6h4BQXvAT6uGJCqQuCopIiGAqfBJGbDRSIfOJMp1Yrx2T3yLKtOeyVOx4lebyQHcG2Ur1Vov/I6Cl5MX18+bcLZt5j6y1GD1AoK8MAkdNZ2cj7bntj3+1rUXajjFaV0GwUv8G7CFYF7m0wfco4ZRlfNLnMM9Ktqllg0EwMh4+dRi7XPvjOcbgzhU8M9HBQnDxdDBGrNn7Ef3Su7qBAxXOLSd3/iGQg/1iLpPpBXPXN0l1EFM3OLqvamhMN0lEtShat09/JGetAVa49rLNOwxa+Kq7QNLUXxCvWsFsCQoGiXhAOLVR9D4OJMwQ39YBvFwg5aiNtixZ2/NawNgoVCL9e9oheqTyIvBCBWb2JcMdQxkLULHqkJIM2sA5kvkef3dwB02kUpTxBOlOmsY/FIUHK5XT02w66AAxMuc33ueUYAW6tegE0AZRiK2LoPHVUCWV1OrxxCkWFBlGro1JUkFA6UydlQ5LwwkbT7aFvHPJ0HIx/gnVYl8BqPtRh6xXrAGSAG1hYwIbxVEnpEcCYNgnoNZ3P1VGKPRYx4eFt0/che+10799TyJ/Gzbh25jmfgkJwIkMXjfBxlXY3Tq7RfHM1ppm7OYHPKjifG1sV+yc+w9a3GfSOC1weUevnEhvNG46DllcbDkJmOEn79uA5MzLJHFbynJcbnrCn6+40arZIqjIZSLi+Y59DF0mvmqgovBcXvM4bpl5s5uTJu9D9MZh2j1YYuVE4RwItujnvPr6gr8jp+cZVCQDmIxioJ5Gj2CDKRY312XYsNdd+VmsTWhM5bxnIrma/y+x/32bUl0OgWsWNQkIDCDLoj0Le2KhX1XVs9EVt0jH3QXcQElWB5sc21Wlkxz1KtEIQVf2gaE6y2ck2HUwIs5M16PLn3ikiPnoqd2KvbjgCde0MxpCL0MXviNb5BG6N/IRhlgcYgLLvZL2j/p9L4j537GgcYgT2nJGketkmCKQ0U+52/Wi9FHazw+NQLFVdYdUYdfxoiMrNi/plg3VYwhzRaAw22GaYa76sJBEefvc5/aSxV2gup5X1AMMluGB2vJKKe5HS5Lb8kAOo0MQAOumVCwh/EK9z/1ZukmUTM7/zFhHG67UaLXsw93Af8K96De+2YhDzB4XIm9P3fZVIlMCcjKpOQy2ktjiA5fmaQRFdafT9wfpZXOykJ/sZa6bN+jEYPW8Nre3isg51ZCyYu7oukWi23nTsEbHCAVhDKJR9cp2GlFsOoHDGvalzAtHAKChUqssWIwSv/kmmInkLvJv9q4JO1vIsTvjU+VJsuBPdF1rNoiBXEQwuHs/oT0rGmN+1IeHfV1JFpiZS58JOdISX4r584emEsbu4h2BoIdLx3mRBo8SrMJ/WoORcpk2MOAO2H+nXhv1P84H6afcqGbi5wCIX/nsReJpfFDAMff/Zg7/XTSkzwrbOTwmFKHDHojZ7qudOmoi0b6vTC3l8K7mfYOwOa77aRDvlzHsb09Ol5iDgZDP1xIvSrAX4a7Jkc9U61UpjjsFYtNJpBivc1FCHOiWmQGD8AX9NxHQyLwtPgMIqks8yXF5VIoGzjp0DCwlrRU2mFNmWy5XfTnHgvCNLySj3ZB09vX5wyvBC9S44+3U7mIW5DxcFsH761onVxMS8QfxxutGYZUdNz+jgebw53RsmZDWSFKkHjal66o4jlmARWPtdds99XWVwTd3E/QS2E+r6j02vhZvw+0uoiE+BgvbqnRH90jdHNtEvwXPMjgLLvTW2M8IhbHpCVfrXhoq5rTYAU7sdSzthuDXCsNqvglhH7jJW3qMrkLR+XymldL9uh1hrojsX92sKYUUgPYbAI1tGnu+weLiqqDNjN0MX1o8I+tfE3OIgzwKNLK0eokZX1EwiK7HvFYl+pUOz7/eNUb13r4u+8g7+WiS3QYetbxvIjvv3/ANdWXQpQ2LEmPsYNEkyfLkHXM63n+NBdSkGvZmSxz8LirHIayUimc3kH4J4fJhHEWFJRaTJXRTaecKQjAk9niJgPXQMic28aKVT1V7v36ZCpkny6LKBit4rpvv/Sqp6AyJ2Ieq9fhwlEMDygSbSGvBxpF6i+Hx9tMyh1YInZC74gd23qawEITLouaV8wYM0pujjMG1VAM6iuiq7KJJvGjMbi2XLNFwE2KgEKO1YICjQL3Wau04c87UHiagB08Rz4E+xQPTj0g5NcJ25qR7FpGNUqHElcEHEUpEIfyuWyy3y9aHBfwXy1nl4ZxZC8YBiiuQBY5LtY9m8mwqLQ349ZDdpGC5O2PCcBlLrsdgCIqy7YFZ7mz6YmGtoxxH1G+j0rH375si4mUvY8cT7v73ct1dYQOzt8a7Ne0cmf8tD5nqYL51aDHAuot07tGZuhHEFZxydX8Yhg5knh05gwxC3R5z9Mr275vn+cZXbmNcMkGt8q5WvQ17YXCEugu+K+fSAQpdchdDkJLaxq07P5Y4a9JjWbVlZ4EnF7Vy1JTZv2DpVFtVKaK7x8PYJsaAwGFhzSMF4fBDgKTpg89B+ilZ4o0YWdkJFxig6EgmvoolWsWTgw/edsV5yU5Go72pccIn8Q5yU3SAWnqEaJesZkm+jA/MCcoqW16GNOHEe/hEVdKcxINN9XfD4l2clqlAGvExU/lP+aOO9cE51+Wplc6y+HCrwplb+JYFRfL8Sf7v5K6NbAWV38nm8aJoFS5SDeCeoR15TLAAWQwP3Aqy5gLMl4QGJwWpMWWpL+nEK/NIYqfxUMZb//LLFO7fVXPZBBQVth6LqStsAgJ0fd2x0/iZ5kLMeZyzDTvPSzZPcDfyhrb3UYykfrDYaUmRiyaFftulDrC8nKGuc34gNTqfRQq8DOHRX4FcvD1JanvKbaidZW+TEtMYugJDlH0J5D6j0E4E754aGcdeeAPvlL3AC9BsYsR8BhokVobjBfAxJz7hFMZw0NSG4byFKKJ2l/yJTpuAgyT05gVtNBZrA9JVasZSV7z1BEKfVJB7rOIVjU8I9iI5fZu4c3Ca9ZkidQ0hl1v9TByVTQ5zjvhftYDXVZNLreI+wrYF9VExeUTr/odFGxQoeoPdv9W13cGzv4VESP88JapUOm4LaMTi1KwRqHvJoW1b1M6xzvhuVxtPDMdFO2iCs+OrzzmG9wfky1O8021ANVLocfxApDZrQZG6VS+I41jkALlrixK3ZYg4yjEqSFsu/RPJ8J1qQNDxS0E/JkBuvrn8dpHUYXy5Yo3Ay+gbiTcVNKq/+AC95V9yjfjsHWtuf4+Oj0iqStBQzCx6Z/zGjSm3FsY8ODIjYjHBcm8Vi7q+TMVPYMjSbyvn7kQkpcI4+iEUduFyHXimII4Nna9qtX4jCgcCQOPBuaxIAO8ydNgE8cob3u12rx/4ZwoNp5Q3QTDiToAuZYTFILOXAFakMN8PPFzyWsY+gYJw/dN182Iulk6bx/s8d+gV7JjLUGeyfU44+Ui6b8RTwV+UwKlhoF5OZOiErH2drlNpkfMmcA2wv7FBNXEwTXl0/GmVqd2C7oCC/NWeLhvblsjiZ/jWsJ+UKhoPMpOXVD1dg++vZDIUfq9H+yAOjzEPbfIXCMYoZnCJpM4h6cf7u50/e9cXFZRKLRmghnsRLXv/fW3zMoul1MLeZOoyYiMjdDV2ycYera35SY+ukP+S1EQL2atwo3jWlRCAECj23LFDnEBMl7fE49t+SU2VrLmeaiysgwx4S2q6Ojax35chTaCyKKxES9LUXpZHYjhvyy6VbofxAdNNL+/IAiDoQiDlYWHpM/N+KC763UVZotly2JIOYeq3NvFvCX/SV9aD4cZtdqeR3g3kt4tL5ohOLoijXFrV51YqMTdtsPuq/B2Sb+9cpZn3BD35MPv7Aw9sRegGA9mD4gXBULtQ8rldEFanWybKXH68fWyYA+yDGuoqvhySCnyEcXQxJdfJ+uix7qN3RhzJXRHACH/DEpKjutXE/XXFJBXkQoiHJHFUs6VX/5+IskmbCNwAYOJ89ooGNxzrvF0lzKaV1rD8sID8sg0z0+sJcfCOX/23gCT9KwxfVXb617j5BbujB1eNMZ02XGzrWSqk+nRYkv6Xof+rSRf3t1F0D0NmGngXaOCBtgDJxXU9f0HaCIaZc+6TlVJ2cbqLOSffjNb2CWT21J2YZat+rgb0ERq3TNrd+5Cv6dgg6kaQgMoNsIn27rbPQUDGnAfdKOD820vSmEATrt9r+rvtBX1FE694dVXzPkNt5nkS+HU4v7t6ymwexHlIuzH7QWsDcAgX4zG3UrxNJIA5ihytYQ/teLYvBTnolF2ZXrG4zq6bJzWcsrSIsa496wl4k+MNN/c3iF/21QA+zDZWpa5gioe1HCurmdzivoz8nb1Ii+1LTaYwo03+/sp782gKGbPXyypFEf2+QUgpHeh/GsD+TP2490E6dXC9hUfTzgrBSKePxUFRVobTY31KbNjBntNW2Mgfqq+SUe8IRK6uSS27ABT6emd+REuq4g2a+M+aO1IVlSs3XnyISyCM2ue2imN93t5iNH9dOHn/J0YpzxCkxSZzSNTJ8E0ng/yBRcgzQbkocnHEqceEdSQLf7yHYYU4n/xFSRoGaReSepTeM5fEtXDMRaXo/JefaY9f7RMIaT96otuIzjsXFD6038jU2RZwNZ5Uua6qhHTJmd7+fgQbf62plcA6Zghdk8mbBjIdrlEFh06xA0eeOJgixv18jV/tIH+mF+EhK5oaRuap0qGVah7uVuu0+Gw10kP7lk9kRIgnYzcF+Z/dBS9BPi+tJ966g6UKWbBmT6MDfFKhlOZd3YwoZDxsswTZoCOSYgSXPpipD8Ax7pswLAxfgk5/8zUd1f2cnJ6n/yPzlT+xMl0R+SR1yEgnZmijfTpm5MTlVjEVvMN1hSDjQchSbwXn6dR6W3DfmFaXtR93AKcNtCJED8wEMRmSc0lPF5ZtgK2bUQaStpsVU8afbIYHxukrgnq56iQxb1/bMpB9xpLmGgTxjeajQeWtDcPBa5zHCwmd9W4I3A09a9/jD339v2ZI3bTGipDsEJ0SE2b/JKer5YrUSG/BvR6DmGuiRo3kBeFpFyVV6DFwpq0IFKT31OdEN6axgIbi214j6RWf6UVyCtaEPHgr+4RmSuPzg6TqFnto+0RKN6O41vTwYNX2cAUuPSZu/VwF9axswMUM1vrq3OM5yy8bx0H/KpHlxXjpmG/leShBSQer1DQ8j/AU0ywkx1BlISB0LypQRhcuCEZ5/jO8RBwY+YyBNPDd/aNE+7+EzNpVVM3uakEBcykmZVchULgvOFFU2V3oiYUr47BZKDlvV0eOqGTbgW5hC76chgu8CkiaKQ3EEOzv+ZEbsT19uSt2CrPrqNqlsIGOYE3Ld8FXFYxnEvHw8iJwXbKG3w1mAaLyXt3VeJ+t+a/+kFNdO7YyFZ2mtL74W569EB0HI6jqbysW3H5wTY6nJIP2zqKugdriV9nJtzCKD2XKyJ+HJXgruP3jlrrtTW/Zjv83Kq7GTHTvmrLowvUioc7gpz5huiZNQip3UQDrf/RLJ6nnX2qK7BRDxOiLbs8O/fC4WIgl2xRkrZWaPiAcvHkFhgvhHYro568gz5VZ1mfsNdls+4XeD4OkeaNEs0FUrXeheFuTlchy7LeAB3nJkuzIvplfyXaPt6+YYke35CoKljA0GZuT0RE2E8rV+0a8Q5TYYC8ddavKW8BzGxtk8OIDVhxvKXRDpp6fjZG50LIycZ9S+qyTCgFjYdsL+GJ6dsQ+DmrKGeDH79+6U/gB4n1AZryxYMLhVi8iNw6RfVNMnv8CNPm9lLGJnuV+pOhwA/npfkdjXZx4ZzgyCQ5GIr36UYz7Y8GJ7TzcPwGDdcVJ4r3k+6qF+Di1SIAyHNHL11cSTvTnuvrEsiD6G/5pTWgfPZh/Ewe/nybbInDqeTc4X7Ye+ovXCLlMIRbZDuEZxcpjjDOBBSfvZ+J4qnV11hs9a3kE47DPg780aJuJwunh5OGCBZDpcsMlPPXnnYC836fRvCgmm3NXK9EsPoz3vkKp9j4mdSRaLkoZYng70cJk14yzhMvB1qMEvzEcQeFL4snbjpcyHWN+E0PXPE2JJXJ8cVHOV0EFLQqCtUHDC3MGSM3ZPKRK+s85nsKYd4prlsEZ8RqDQ/m7EqLEQQ0tN7iIvF8Hq+Qp5USKIs7ZYIMGxH0oNZt31hsP89elKcrG+b31keRwQORuJjwPUDKcQEtDWIeSDngHSw3xBVh2Wpi8xQ3xM+5hgYsm7GTyMRP6Qj3Er1oqB0zaFO11fBw045eieIA2IcOBTU3+KNd/rZD9e7x3XTYIxGX7QUjxchqjxt/drKqJbADuV77wxWbIhkry/fHmZqGISecqV9gFSf8FaW2c22518BVa3O/rarkCsICE3nuRJa1z21mV3JlsWtiIOdxwrtELJxoDLMhyVRc6JBWQjxhl+Aw+TVGg3P9jq+z2irY+uUT6OXkEryoI5wkZaztX8xHUJE49HCc+gNGW2O2SVa4WfZcPBHl+Y2oPyV/5Fjl+reOTeSU4PdRc7p3s0CDp8o8evi28JyacEzUdzRiCmtdWacEfTNWCmOJf4xBG0qlz65cG70Pnm1V+YOUYmTjyRG1iFuZ3Zm2OxZdOfGXzEgM4dvVpGrXhHwQz83iZPfpKJmk5MMD14tj7qRJcz+U6G2OzLADgWndejbl4P476M5h12XtbNR+yZDsBqJViggiuMKreNYjSalSwNU9VWSwXwjIclk/+z3gGG0PTbh52jPx7NLb2Jb7N8c0iild/mAdT0ojkUc1ILRIjQKb/dRbLEXHFS62mau9ENDObXmo1pUaD5JFlE71NvnZpeKLJh2ds1ly15Ev6yqs3lf3KW6pp76yWhhl2YECupsvNfrEMSo79pFV5YQqXYy9y+zldg4qX8/vyowR87A8STq6BOfJspQRWSUYeqRgwXWXEBYAcDv4nJnJ1QmbBK6OHpce+UVBTxJvag4kO+cwAZvyl/iVWYEExkR7RGLK98CqSj7YNOytqAyXXTduw2mYLUV/seuhwQ5BxjhlZSZ6Prb8BX2CEAoqXkJroK6OljOvGRULR1f2kVNtBWdO95NfH4lQgtyDyFqQytamsHUzzgQfkQ4MepJHGnl5FW0txrU6n7lfZtctacji+RGbF6uC/Rruz8vqzLxcaZVDiY5XPYA+XXe5+bA0ONnDSdVtuWCMi1kmYl9GguclTYgIeIAqOxcLTvKK48BU9LZV2vdufRr3j6+RhHU6OmhhmIH6sKiLzr175xKCv1lL0tA+IgyvcbjwWNaDUDQsMbXFv35jZHOsx92xL7y3lM4L0EzSISqScqUO1a5QyXCCnjei6+z03Ik9StUWql2MYss1070llvotGJiY6AT2GiXpywWtFwPbq0m1pQCPw7jdAS+QKoUV2XPzzaTCtdlZdzazFGaiXOiZQ8TveJtu1z0K4Xl2G0iXCixOzDO1EZVL5t3NuHb3lchn5zpSe6xlpM2CTt03DbxJEW8QnoBtxk3ekYozZ9InhqHxazkdQX0hqCWPmsE5Yjb8I2Da0HQOA20zqpdJwibb7LeRjQV3PWGjFnTVFeowd1R2wqbA8/JWutyP4xJilhnUtuyXELmc1mp1IBWQuisvo9Or4gUYO4dZBU+sbDmqj049dlyXn3M0BqQrpA6lJZqG3BerznkYvoSdhxUML5voMCqvs/SZttmj2Q1VndzR0cDOoyE5lJxzPc7fPZwUnLEG0M2U2G1byEjIFkN9mJpGOLN5L85aWooLM272FYfDLnzS7dcLe/KT1jdQp+uls6vRxcHDTFCX4es7xKNG8um/g4z3+qpLZSUPUkUvuNWL83HeJpuct2XdvOk/aewwWmc0+hS5csbrs+vC3jODA4vv23uznszohLsjuVYjmGotbu0uvikbjJjJKAYspa1sW5bDBHytbAPIkdOty3loWrRLghNW7y3uiu/1sg1dmJ6w+ktJHO23/FWKy5efsLuVV5wKOQiUzciafi+Tn5vmGcWXDHv1v5E6TD+aJg8lteA+g4nPVjhFR914HSvjsI2VOMLd9FJKQSuDQOLA/Yta0O0RjFQhWztgt0Jh8n2JxiE79iSIBwRYPJaMkOMexX3qYwK7KIKFmPm9gOGsaigc9GeCUXMpu0hUist8CecQaFBKcTwa2z7pi9K/3iRzWNtMRJ4p8RLuQqQyLiBnNIYVn9VzmlPmRN+MW5Tn9EgkEZSULXC/xdRT2XHZXqeJ0uqGO3TvMURMuYxhlLsMPc0C9EgO4khrMkZBKWdPW1gYoMDKN9Yd9W3Q3KB2Rj+hp5I9Gmn9hJGv+wut1nYKyj6UYUPOhlp9aj7mq9+j1q7MEnYLh/vWntSbZTBdEleLV631/6M2hrIu7nW0w+Yy8bXzht97/+OFEW3b3aMjTU/KyBGaSCdW91/+1kCIKXex++NwRk9vMsDwkrTY1KvC+wsLb/e0zAlRV2NTOFh8ATYxiFaXUtUjldgKXYQSOF87CgmFirh6oPPIZWOlBFujejJEmLsRK9ukDCgX4lVsf0PWiwtR3HjM+7LiquUrBaWc/01cexlg1KbbsQDdBPPR+oHYZ62rxQzy/PO2ILqhv7zZxm5JRXMI0iULppkn4xBrJP+YRZFAcGgzapMmRHkYiZSWmhQY1qeiHIGOoOAzFF8iuNyE+dTIfV2sRbH2sJWlxgyg+VRnEpeonScLOWJrm8GqFgLlHj4YSQ6GTuuG1VNHljZ/FhSQ6yA3CIxMmxbXps98VNRXGUvwphUYlWgj3LTKwKVKJl1esNE2KVdQ8enuxjB2i/ah4rWYlRkVdFU59qHs5WJ/DWOlrqmAGQiiynY3Ol4sj+6JkVnHu2+dKV2HUPnSRr+u1CBOnThIEHuxqqxwsWqS7uEdCpyKbNKbcsPMmmhyjAebQLWy7Nalfe5OQxAk0k/r1RiL+JM1S5I3VptWJIrzhjWMZqYRyeT2wjPC3iRZmTbv0yHJtv6AB4x8ViMOjA0Ri73doNg/Wxcg/pb3v3rY7YJd5SBmDTkT++wlNDhgRMaw8QJ3TBfuzuLdJSGXgXpA4b0zUw6aMIpeFPTE+K278ELQF9lyAiDgU2enmuuYt9n4GGXwnXS7CXSWKCIniDTMXOfmExE8TUqZRE7HOipynewhHVjFeC7e0fU0TsbetqXVZ7XWIh33kjZhYUEZklWbvMHRpDgVukWxF8Nig7MtUewRb2PsXZNT1WNnIz3Rh9IjuOk6FyyzX8gf52OLn/hk8yOogfbCnDhWLnZQSOO4WjxnADd9FmGeTbR8PP3G/DGXKZg2P7oLaBwe9lg1S5HWADEc9ImDV5JLgClTjXjwGsrhKto+nkH7gIMSmQ3vgifT0lXE1Ve45QbAa8AFVopOpLFUdd/dChxeF/UWOqO1fLvjzR32+hZJNtmnwHoGHdcn04naRHZuaqUM9gqoW7MPpF8yHx1QHy/XHaiXc252hJ+WIp6o0ebmKJCq7B3qd0m0YPHNzKk7qpiorHv8F0eUIglUdyKLBzKgvFbE9wb4t1k7lFwdZvxr3rMw60YvmdSsDSivEIgWkSfJn2U3QA4i3oI0K9sO+T7p80Gj5hIGuZKD2RJ9u1t5pBHf/Q6T3jckjykXIZtx8ZGEkg2i+Ug2afXraervepBdu39RfYt4cAz/z+GsWMvY+4B75lkDqmFQoSg7uAn3+UC/6XnFwRw9VehcjETmoUTgioa84CoZgHnrq/YZwTV+mDoCHSa6ZoUNH9+hiP+CJlslzvvyU7/7IzqF2UcgoJYuDfLybqpMzsnYHtKWFia6OJJ8OIJ94fxxlRHP+TuI3obdApoVvJPUNRUyEwrmekmpVAQ5eWYtBCm5ZnHrvBuPC1utq03Ns8C8iQU4ab1loOhYKDbsza3+88oL62oxUXZWdUflUJc7NoAb4E96z8/zN+4NUXg7olw/ErMhttFdY0Q5VWEjRw9KaqaHfryZmOit4b/jpdyMuexLOC5tt1Xzy0vVOYWSHVSHjani4mtkCVlCIQaqLaC9Rpa6ee4VILw/gRr8RRjBRsAxVTan9D+lY6IYRvdZmtAJnwUuQGN28JzRyaHGg/uaTzck4y4M0DxYKPDQLGRTUMDI9yzRNsp7JQ6LW0GvsriNyH04Ap518aWo2E4yJPSvc6MtuRSGYEvQb8xtTc1ojxMXwTeP1C7pILcJVul+Vae/YIMb5UC4TSI0wRf1C5nwaLivZcg3L6rjUgixe89cjmIoJ6BU5SwtyVy1HEvvGglayIu7pNPurXoW2ghLyJiso/PBxPWJk+H+2qOqCrUuIAA4mIEBrr1LqmArGDZmGXxrVXgkhuLsq5lUi6MZRPI2TNTdAE8gZfcyHMrFmdzMDcBtuNnTqk0Sw9WPROnddkSHb9ptjDX42CTyEuDZM8ilXn134AuZEOdfzMBXEfaSFofUPfAPsB/ImQZgIpElpr29GTmrsEyQbm4IOv1Ti6phwg7vuDhPKgYjnbXg4WtPDXl7XmrbJcmVUlDB9hOtO0g5tTQ28rJH0xlAAKGJz3Us7Tq9S3TEo7T+tGQPmDBdYpRNpRbKYZj89WHki/39bI/p/FWhm41RLLPYU+mbdM2i1oYPYoegSoIPspO4MAwwJevbJR4fnym1nnNtyPB60aJE+HxIu2pMg2tFZRMTxwGFI4+JKYygvG6I8SWrvQmq1d+fQm2S/OkPidwDF3uTwvOoqlDIpHTp0qRwp8COHAWnHKYmG4OydrRjHwWhbrY8k4XvUbXkq6zJxCcG/5UXnTIyJBvKjMPMNM9mG3B38JH3u+KYwTBHKetK2jUfFpPG1dTuqx2B5yMhBLVVnlycS0Qa6rtnNs5wGXvE2hNd/HRFNosz/h8nCer5CdSKtVZmKvHfuIuYT1m11pAW8rqzIhwKq5eJCzKYlegLUOC/Lygnfugfpq/m9y8x9W4TxC8j7Rp/kGY/66RVuW624o0K62gEcaNlXikzeZt2LQb4iR9qCpN9yoneMxMDp/G1U9JVwflttZAKdJvVPHT4IOXuA/yvlldyHGLF6v7RSjKJ2Ho/1uB6eMxSbIss91hB6r8pus/at+FdyXsmYcch+o6Y/0GtbmOSCNjk87bOji+3QXNj9IiEDUk9Ecs9T1WdLk+/e9GYzJg60ycGTaGi4Qv6O2X2gM1YcGq1bTow4963+qbSOn+svfv1quYH8gZ73zvogDN8oDjcx9w1jrSJZsiijajx9coFoG5NhEVMY4C0KZ5j13ChV6tAgosyNoJ//zePH1nqdkheMx57342BCdObHYpzBxZ+EM18sXLEK1+NSo+xpR+Tz5vNCO8TVWbkFSGnpDWTUAh6UchgO5de0LKd478ebYEnONrcfs5RX8GvwpLOIq7EuzvKykMVmILqzYWVAo89+OC5jaJzdB00bxcaxgGYQuERcOdrMLbJsHLv5gNeVNjgP7DgNRsYEKiwGPy6wqbj6pxGZN6LdfD9OKR7+8H27CVCdq0+YYcXqd9rhe84frkogliEkVsCZs00mlyQ6n075RqSz3MK8foYjNnNvIvJprNRF+gQbXcN1XDReDt7pERV6aYHKV5AuZVC3JPeVYkHWxipN+7uKXCdpF3qy4+4Dydb4AWOJ+em+MXMwtiLQiAd5jURFjCFRCi4a0G9ZYgzzQr2pMFGSPTo5siV7IbeJPeBD3YNYj2QrMgN6OG5P5Un/Ms+GycptGpE8hVBFcZqB3yN2AhJHrBdwejvnydMocZvEe8NdOtG/rHNia1QQ190sdpOO+Sjo8jfFD887Zsq3psKqbLb+5zj32FEcigtNaaTnBLQ9oKtNvOqUJTYLV2JqxD/q57fAIChIdzWqcs7zXc69UHzOQ1fvkXRagguHuWfmOut8yOirQGTP9Dc9gWDw2GfEfinrf6mfbChmMIHKcRqc0x3jJZ72KDt/J1S+mS1qJuI4lq4IqoaRDEKkFJWe46aJIRy8f6V8e6fr0AVZiBPGu+qxrsAO5yiZfZJHQ04ddM5TeBocmVvZN8zT6mfEWTOps6R5AzTQ9okwhdfDoWa+/SVp01SelGqE2RYnSRTO6InLwDl8unOf3HUqaqTUa+iGu3cM5IV/w7KCVHBrPtVR5lUP91pGwVjD8iNijyinbzkSha3+wyULEU6BpDFANLeEt7z4wBJ2g9G+MlqVpEuS00HHnCMoCqHyEQYuT/MYURd2v1sjV/m5t7JxZuhLCCz1UlOMJWzuFFZF8dU9vLjrQlFTopLKk67X68ChUi64K86r3ovxj6XZoYuJ7Vtgvfu4aYjOXLsnsJbG598TgJFtGmAHR4aAzbtOWWP62vpmjSl/yvAg7ryOVE1sYV2sMhmA2LYyQXAOut+8ZXPcKQV6ezM7i1HgjPoR/DFl5LFyle3+iWktc95e66N+bcMZcI74F6ixkyaSHg0ydcX4d7R+6k2lBQCS7A7ecw23UCSf4mHBnatiikCAq2v2g4gDkTmUjc4VBDgYn5Vpkq/75Li7RwPGCHJ88JWovq8+a4L7az7vtDZd2upQBAf4nsIxZTzMS/HXQ+O+8h7570LrqCU3+iVEz03nRUDSiNFyC9kF4bJt9ZM5J40ktTA5u3cL3zUCpBP/fqHrhgjn7XMSlmYj7z5P/gUjaSzxgMVV+bzhtaxGKtKtf3bQ9QHtz5e3x4UVS8MgW62hSLF5nxP0FbNWEvLSq4GR5ExzeEWPjZN0/sD3Mb9G6pxXJfr5b/ti9HBErWiPfdObPy8vgRTOnJHhJ9Pi1Gv+S1HK9xAqRIdbFiFDJnuX14v0NHbuUk6XO1UuZLsKcvu6OY+X9mWMgUR15evaW/CwLFrU59MWxKxgv26R5nDCDNFW4i5VMw69FdXwb46sTQl79mDn0COOdDai2BeIndU/bL8UOwsAn+9HkwVlxTV9ZYpHoUB9HdY6aTN8qaYGNISjrpG1wkvvWz1ZLXZ1FzW6CdkxnaUi7sNFZxR1RK/O7Cd57oxxHoOoR/rNlCXuvmAgiveN+wG1faL1/7x+eEq449VAOeu2vpJSvWJEGmV5BbR/hYGcYPD4UtFJjsh6m3lvdv3XUpMPHpy1hYM8UpkoxsFTzEuXi2qfxYpsuF7E/LHYGWjBB13J6Mz00BtugzS9+NlvW7z1fOPnY4ihfCBhzl9CcdZAMDPbjbmf6g/5HOix2gEnqnAE1TVBjhxpjpC1HtaygEVeNqbrGYAA4JD1xkHrm6cnx5H0Es/xshAykys8Rkp7uLX4fs/MogJzGgODhO+boFo/BdI/Pv/jfDzsXmUmf7qFjrtvX7TzmILiE/q7C6u4NrObe7lZCQgd2WoAtafyvClbpMZnI6WX6I/Xr9jv27tTpEYvH8WvdQVHDTnQ/ND+INXGd+NzC6ZZDQ2Y2bDh/DuNrLj0TvaKNA3HG6ot8CjVKge8QmRqEGlVWENj+MM5EIQcQ+Mlf+T01ahVhxezj+bb1jBAPpTCeU7tLOk13lJNrfOzsOsz5EedmcRaeSxNgn08btLud8OR1cBmvmpsH9keNWHtZgfVS7KYPQYwOQtUqZq5/FSgoF51YHIQ2Dwvluigf1YH8ffv4BPC/rtwpnpBQBTcSbj36AdnUNZ9fuvtEiFBAZINvBcQ+6hUJpFwS2bZSQBa+9e5Sm+e8MhgkO3PaSVkIqN3HeeXr9CkUkIx8WBehs+/tgYXUZ4N5gdA0DCu3egrMU6bv7nhdspakBSUQ6orkyQPAPZW2UdXzlI3rebsZIE6wRDCDve8EDaEcxMxhXipLnIzqja0NE8G+uNp93c1Yh/mQsWPMl6b2sHX9UYFA9T+TP1mZvynYrddubB/K06L+dJSxqbp9rHLFlPDIHiilEoFrqv6+uUr8LdopYLKRQeDE4bdEt+pe/ZC6bfKezRQddYHwOTuZYdiWaztpNJckr7bRcCM43TdWxJvebaYgYAzjxsfLMGSB/aGPipwatalyV5a1vsRxAOoUhwc5cTK6iLGMVQ/j7f3nlklxMwo3eXUa3hC4YeZyPHRf5xP9tmoABTm9dpM4WK5HQK2vdw28uu7DNwTg9d1E3IWE+Y8M5iJISDYvSJf6DJRJ+ZKGujKXAmXStFvieIvptljUT5oLbUgwwNaFtTPi7IBk++Clg1DIbjSHqjrvrv0nsk8wK5psURmBoAFfWhhAWND35KKkHEBYNDEg5DHtlg/0AernkS0fMhlTk8iEIY4Dm9csKZTfSIN5gdA6OWOplErAku0GUgWWrw5ITmF5EG9d34cJTATCMs+MXY2d7mGKh0j018ZZPPbFa9lcpVBSLa1Gf6N4rIgS7169pY+Ya+44Wx2cNDB39CIzietwFemsB6KW5S0KUxfQjD+eRaX6R8X9YVJnUWgcn8Eq9jawoJ31Xx+Sp9k2xNfJUjkN47ikG3m0D1LJut1HqKXQRAueOyWGZsoyDCGIWtQfe/abs4/W3v2/hLFY4Ev5tGqztf05Ggt9b4Qnu9DHl5B5T7xLyuXWiUOLja8pURTVEZtZD5v2HSnU6VEWfSMmvY4x6t9zg27E4mzgW+113Y1KNnh6kS36m/AalQNBNVbOEkwt3bVYPrvmn5Uu3a8XeZKZwtBJBfz2SRMED6PkNFuzuDi830ghXqp1jvFiSEE9/Y8dIMhydiJ/Y8rWrFNl8cwwpraNlfw2Hyigc99xInakswjHz/DvMhIGPfStHqtc38IjXX5FI9vSUFv4wqTKfZV216mHMs+6uFlgKzHf/0A/cGvt6JsmtsBne0IlGNGIBIc2bM19tOBYGVUDRXEebuRgFEiGfs3YyEHew1JxC61QN76IIb2rVFQltM1jMP/GHQbiggeXhQgm+I7oeNjXDxABbVMFW4vtqNikXHr2Fe429RDB2vQZ69OlqiDD4oJrpIO56GmjzNk/NRn7QfPI1mS6S1QM01HrpSFklnA2UZaay7NStvnT7Gvu1cSEEZVsLviucgPgXbsvHcmW2aWrgB0HW+FSAdkeWbzqZvZof1Ua47iw5DeBG3ZqqlCl11/UlKew6GZmeLvCD06FEgJWiP17k7COv8S58RJExG+20qCA/Dy+RNeg1Da8JR4oJ0lZNyzTaTQhPLlo+0VCQNxbBmeTw6uoWuXqNNIB0/8ihjokNWuupusBsSzuEGokJb/ovihXo/SK8tTxrc8imb8VrNoy/gUcmHjzqXxixWQWEWa4mTTIMUyKLeFClj1e5IGCwZNK0t1SZC1XqNZ7b6d6Yczu1TPAqrWh0pQtkStZLYcGq8zx3U8RGmYp7lF25JxBZHu15xNRhHo/BesDqbbaOPrIjvw4dsbWON93t1r2uCfedJe5I6bAvLHOFrwoGsv2kIJN3dTMvLQn6YJsfNV2kqb9NsYDLuAX1nOM0XuI4yh9aZzQlSbCJd15Xr63BiKrkD2B4Dxh8x3/1uLFN0yHpvE5V/pb9oSDfPP9OLaxS1qxnbMawfQRbKz5MawuXf0sxnPSspDMXgc0aJS8fYUnFyte/QqGrocNisOPJKzwesfP58VP86TWWuoRJdkxp0jkZ+42wKx0EQ6ZfdOEth9MD04LaBlepowBZ/2kUdwOIvz+3+P1wwKIGP9R/HCzRN4xoCPRXraBTILNNCvxh9EEihaD06YQ/jYsRpVc8HGtg8p5n18kgpFGr6HOQf+4ma4XJkGWvtYYrZB4FJE6u/JSE/WaRRJNaBim0P/l5pmlyz3Z5BtwhZwcTDBPmR4b1DxLSC02nSg9XsGTn6GAOkzx3K1/hvKRI/NKyidcb9z+scuNZj8SjD+7dNM1O/l1P/goFOaKBElyqGOj797IrLM72JgpkyIlZxqblDi2lJH3k0X3vy8W/j6e9x6eoBvdY7+zRgO4QYwMB68lOA00k9W7UydmPOajGC8fKF6vTz3N3xikKT+t7K56orRGqubll6HrHucbPIL1K6BK2i3Z/1cz6x0ITH8Za5PMZIOA4Bz2maGX9xNF+iBrgC8lw3E0erh7CC1yxIBLJ+Cs0OfgojECQp0g3FIoAJpo5UytKy1cIx3sK/CWOrRmX1qRLnDXEIB4wo7LRkl5gfA1TbrJQa2DCsxIfmBuFeJbkIPRWwsxhkoSGAQP0PNdpc98yWVSAbZcjUusYg2JI5isW8h5tC75+PCHlNSLPGXgyJn8TnRyc0gtYiGcKylMkzu6X3sw4lO2vM44BLwEUHsIcmAcJK5ehVrTsFOL7VOfeSW57Ex2hbOkd7Ki531DZNItfScaz+1NDCANaQIh1CfT0BvYj6L+uFxvBFBRNt4IggKkzjZnJXL+WSdQxcqPgSWLlR8v5T55QAjxOMtbfKk/0EBpmaGUFNyCPedR2/Pt3ZCKrdbI445ddNtUV6iRgFtvDlUxQHr1MrAzDBFtkjtxlyW6pCJgHdBHEO116/fX862Ol1yGKLtD3O2554HYLHg+W+Yf/aC0+4Yi1tCV9e3ybhtW5qTcnmYYLwJVDSuz1aCfqhAEGrmL249dNhwPJWKruRjdZK88ZUo1jQjKhF/fWFbvxbcGE4iL0p+D5q2HzJhRuYsx0kLW866/mrYOBIR0BPG4nVCUpQB6c77+ecnW7zLCY4l9PDfY3v11EVJ3hOZ8tc2WTd2Z5ybreHj/ZuU4wZq8ECAbxG0q1GmSpu5Lq3B98A397GjtMfqTCqTeACQjkhhPwDSQrdK1rH6F4rFxUjH13iajq+0lRWh6qr21FlisO+qZMhCXzh05eVnCNBEBIMWhjje3Bc4iJfUy94+7+g6Rirgrhfp+eBV14+XsdQ+81mW8yt2pxnkroIfafsPuOXnOrJYuCpR9ux05AfxQvhFWoj1K5J2kbt7cKGLf3zAvFURrjK5RMWiE2/km1Nyh1JGElhldWGaazPprdCrW4QcXck6EpkPWbLnN7rbMKZpPFep3BCuLOqRJCtnl/JCApR5CAZilggggU8c4Eji20gh8HFa/lS17mWyWbaEo1BRaO901IxRt+TnB3JOYMUlK5hxS9bQ+PDHOi9F4NrwCBgqZMfg3tqZYi7c4kqD47EYjKS3J+dixzTVGNbaoXBVd+wKsD9zvbzw5vpvhXKp7gH1d5C7UdTBmu28kO6N7wd2sjFj9gobupaTI0/lAR2s/zAPxKMnd8ZA1gKkBTM1Z5OCS9te1fZK8MlsMmtbopsb19Jp+lZfjpdrM9fUy+h6n0a/cHlFohzDWl6ziOBca3ZI/BlKqlIhA1kgKcNkicazI7Nbg27K2fbffWGa1i++E5vBHzZPyCHgWTzrVeaE3gwMIJ/VfBqnSaMVDx0hVO4B/o9BKgYst8ALOLranacIw9Y5SMH8W7/7r/WGEFH9QQ3rE3JEIta5wAs6MaYsQ8iitNF5DqLKtFqBNNwQC5Qu7aNVB9FKWSRCSsM0A94RxXkAJNN0t+2CzfvJxkXWvSm0BYyKmAST56Aw+WbzwDrWIeJmN3jSNuZYQfIAJfAhh+KvXEWEkEwgSZIvzjYVVaq9vvXEeAc/GH2Ei6FfPtyScMB/OxjoPA0JuxA/LBu1aSFLKBLQ0fowvpbd02dRDtZNpWFEFbuOQIuHB0h3v6qKVv63HxWT9GeV2uUh6SWg1bYmwb1zwtQE2Ua4X6y5MzsZDSZKE/bGmix8qPFB9Cb5ZNPero5hGy9IfNpWTKoN2bHB6+E7+dx70oNdngqmnoRi56UezHaCQROeuOyDr8Ry7HypH86AbhcqmU34hpBhjiqSE89alVB266KJSC30c08iIWzr7dZnJWzPwhDJYdXDFiYnDc874XO9h68Nejb1TtL+YeG8ETh0ECudp2VLAQINf8KcXGhr1B53FK1dEtoPAGeF4eDuKTjG6Rh4BGhOLZ2S+nRdUvlIQPu4IK2dHtr0FkjHiGPxYvVb+FAQODU1IvWpWcXW+mbN2RO0+VrALoOnLMJbdZ5Kt6Sf7yljRuzjcPUB7XNvH8Bn72KxfL++/jd5HqT/Q+J2etVW8ldIWjVYns364FasNUxAlw4HUaTBE/Y//P72YqBe36exqvtHL6V5beeGPMneZ3puBKCuc6AtIr75B23FubII9vac3g0ZQqvTRDVLPhw+REMaXKuD4Rib5vpD/SLWKfQok2bJ0dugo+4yLEdL+JIoFI7JeAaE+jXy8+GLGb4Rqo0tzZqPW8kEh23TwTIWcOjuPTrTjRMjXiRBfgcesMZoEtjHvNAz0kOidchuTxfmjv9n4OR4H2ornd+g42Jn7SYw27WOTT05me6G91ySAbGSiu+grIn88g9KoUod5nB2XH1TZRVgBgxRaRUaVYBfMKyeQP3Ry+bu2artjZ4aw+oTFtyI6QtA8UbXedHFhVdAmY7taFmWk7kDWHI1mPZ5+CDZu7TtgwSX2g7ieF2FzjeIlC7sJ9lbQQ1ZyoGcmYsOWTPsVniiRaGp4L5qBAQPtXeKTJoe9li6c/kCBBjwWerj8sFfiduCbGNI33LiFtReTivMe1URBJVWQyyvfgkYPn39/4mdU7D9qqNUxFep3kLDW1ToPWKA5IxBNhhPoF35V+KueTRwaDizbt2MXVW7Bmy3g3/ytg1NA5bC8sEe/w3qFCaDG2xl0KdExq7Iq26jpm0TfqlgxhkGFvlPmlIqPgVXmNuPl2JvOHqV84Nvgq/fPu7qOJQo5IQMKjWJEV+Ti0mr3Tcz4aQCXiaDrHwplWRX1xgO6goa1mut2rlg8tN2iV2esYFbZ2cIpJnIsZcGnrtcE0EDBtqeC3CaTHREezL1JGA3NSjRZlc8c3tWrg/07svooGqpAFeJQlUSPMmjUE+orhwz5HK2FHV9D9E98njdiIcG7zcRGzdE/bqlFcqKlRkUKHOWAPOIqjsir1ptG/FmgntxtNRByfAf5UXJLVzneWh4d5QbvERv9qfOOhoEhqyMWKMgLcKpcamsEDV/qw/euteJMgNYLBP1IWLpUH5RPrQEWrThWqQe0RJYSCpc5D+NSdOj2oPXAxpvkN1vF0e/u3Vj08/PYVoDgpgVZ072bObd74ceUQVgH84th03DCwQCx7QavrsEKW0/AlHt33+ZW1vglnf5dwpCUXeGOLzHEd2Wc1m3lge3epkuB6LY5ZzDNNewm683h/MDOjuNT7UZWuQVvzZ39WXVOGgI1DiQItxXCbE57gE9N1AEB9Q5S2X3b0lvPfxF3zXzcwaEBzcucmpzvbvd3AtLmSLm/FnaDGPE3+NsN4zx1+sP8wZmHLWcbJeEzTgq8L0gioz0DgiVFqndotbNd6WcNyB5fdrzrOBye6ordVTWrZfOp9Olk5ubUxyi23j8kCIqDrYvL5Wvm8k7RYdmTv9BAEL3fgsF9Rk4/3XaXXaPbh1Mv05UrY2H9hqPbaqPd2Y47AG7akReDJXxDvarvkM9pPT2/UWOC1t7A/fgDmeUmBKrBxO7CjoG5c9ZcdPAK+FXJrCPBqp9sfml+UwtR4yistVSM25KgKjs7aPjWKRD3hQHp3tO2t6B292XGepUOGJlxiN/RtgV5W74IvE11ZPcrREdj6ZulavfDdEdHLulH9dTglpmq3qfl8ekV2xp5HdCr1au/lgyu14aFDv0sLooE50QQJQx8yYuCr6xsKsEdvg6VjVd2P11wRyeoh2EF7bSiALOC+6j0XM+9TsIfl/KM+L/x/xwKWWtKkS8RRBkRKHzMxFAWBFAVfJp7Cn784nJ6pr8izSPqBDcYw4heh2QB762XSa8lwwxnsxPFTt+0de9w/NBwBAosUPpRqZCn/Qsc3MeU+uCLgJuA4liXeNzM+cCgTMphhDW1TQZhOwWYx7sGC6Qx0dLX5Aa7ZMfbzayHKPrSo/8MHwInOBC7kcN1UZcwIr4m0gC1NCPiBoNsx7nHYiC0bFLTUsvNMVNYokanTVTDzcKDhuLFrT9LC2BS3X69hndNg494opqf1j2n7RbgcccfAbIpCxfP6FvzuVi3hREukDAmaJ+Cpy3mJeR8IwC0EFgox+6Tl09JfNjiWRdojyR9sS6kL6sVQUxgV3xOoXPHUyeF7I2DItzgx6G65AH5PauaIMpHwvdS5GV9vRsbIg6KkfUMwT/6S/g2k1xhR5H4WyxC8Aaxuo+JQ0tgBBWW04qObC5cogcsIXiVVCvQhZYPGUpCa7A7+Up6BL3QvksFuh3CJ5s/JX0qVlqY5atxoVMfuaG5d/e0ro72Tzy1/Lqs8N+bRi/wypHbKhRHzZiAjjVWkUWm5jQuqP21vC0EFLWqXQkIxpuGAln5Z1r+rm/nkOZo/SyluThhI4fgXz+7UoE3OAPX5/6TkYBAsAdYGdX7+JEkubkiqhabmv0du/vBVgpMm/3cDbDmZ7eLNG5adcDQkG/hl5ttY7QJLjSEwdtY2I+rC80BiNYUqEhTSao+svIiN6sC0aD90AFAEsPbA+t+JxkNmoXziFQoTSbsCLnxm0hMKt4uR9Z8JauklMYuJhTVy2zZVAJqxs3Pvhuk1hDfCFePk+EBAybhNuAmNuyOFnVB6IFfJJEr1M7qHrVszqoi/bGK0GgAFjzY0ymxy6hq8SmgkE8JdeXnutGFb0pQ36bA0aQLEgFDFHsrMBI7hQhBr8fVAcTjeixfYoDraH29Ugspvt6/vfGKWX+wy1NdB0taBruZrPC7INJoF9m0CG7nb0ayd/dT6zMuzRa5WV2MQETzzMW7wKb1C9CGSPIHtV9tOgaqGAIG0E/owwUEw0CCemO6HNdlytIVDGV8sf91hFcSqPMLqvOdPH/4esfepFHoBsAxRppWCFNKFK7d2hz3bmwTplBeGzcFljmgB/O3CVsw+soMbSUv018iGVmF3QmmCZAjkktTiF6LARND+JYqR9aMFosiOsrHqZz84zgd0zrgfvRhXtkkDvXZC50bpO+sHmcNkpYViQXnJFnx0B//QbPKP3y3meVQaYkieF6SVyFMEfK9NA6Li3Jh5VYG3enipdKU5PEyhHlDT9Bta//IGrCQM/Lg+zzLfBChWZK6nE+ihkdWCrlVyZPNmf57N0pnv1CJblIM+A0noQ41LzHvfoq6l1YtZMXaFuMZDEVWCyaW0q/gSkH4nr9hfhJ0LmrjTDJ5a032CJFYVMaG4RNTRs8njBeVIrjb9IdQEeLIoPHIW3LAcTd6IQODQtV9G1WivnWztSEOujZueaDLLQrmCP3CL+2/0O97Kca+gatjnrJQnniMvVDkg7fuXyM7igznoY/OqoMZ9D//IUwPe26GEnu6Q+ksJlPcZiYyJmQac9QzkYrtXkf08lUBGkqSZtKKcyemxjO+9nLytv0Q82pGVP3gkLucARvj+sGC3f8BaJh5xu5QQCHTUkIz7GPZsVj1xv/xk47cfA0xF0BPBw7M0153Nb/eT8LxzVs2zE1NJLUfht4Pyon82iTdQim0bGJUVGhxiUnuEK2ACrL8BItJxse1qhiSiRwFAHW/Td8sqKbWB+2JWerhwQ5b4QoGNQDT18orM3U+k2bQs+luY1yg0lZGjl2vsMvkrNDn9fzEYsNR9/tAczn/B+6hkD+y0AUh8ZNMeSb67Waf5y8alQez28PKxcSynYGtgW1Himv/zYgvV8g5d573UOeHYjJaIzU6JFPW+wJmBZd+S4OMD9lQYEVB2BCiC6m6KWMI38TxGUR4O2UV6vLUPMfAjL/2pqetHQglnyZFvXQWf4VHSkNkQaHyDteK7iN4g7bCfap9gYpb5Bs0WtaCBUI65/K9SmgllPbMgzOtmcEu7Rl1h5PC2j8+rM/jLZ0rnyl1zco31HshvvETXOv0tYRzMI5cIrPS2WCS8Gi2JFl26SxG4ANwvTMigyWQo/L/2UAtcB+ukGLRPct6Er6ptiObCCOe9rQI1m4f6yU4Id2F4AV2mYvmdjCfxWRAQPxz99vB9RNtCrSN5UM0Ae21xzbNTIFWcQXoOCDt6mB+OkWmIE9M5FBvfMxZWQD6VQgSOqPBe1Ftc35xzmMKWck/rBXgWHndFwyKGuMsveWBb58VabpKxzXoRLdi1Gp8WvgPMuOCFqkmNggESti0tTB1BVfjx3Iq5thdlnVn3Thw5NPTrbB30TP7gIaq8CwmxmoTrWzFCiePOQMJkV45arGIufGxKo62pQZoTe2OUJ2MftQzttquMzkcWluAwXnrepqo6NBpHNg48o0dgkfts2A904e4swsZq91J4Nxfpah6ApWLGZjUjzzegx1zgn7uzGFHQJkI6GjqpLuGxYJ2/G24hl8SFf7IhHH67Njfk3PKy8o6Snmp2rm6DsJoPCu6+z4Abk1pTvdtK5tGKTyvqxyZse9UQ+ij4mNzWOGVXiCU6UtHY+zTM+Xsf3otT1u4pCTUX0UGROu8By/5aodxzIz6L1AfuVS6XdwdzqMp1847uWc/j6Id0iBHAUa2dtZuSx3jvo3r3Lk1UB2ctnF5ARbIYtu4kLABUzxQOI586w4J6ioz4l563rrvw/T9Swbg4IitlP2HXtcKhRkII6ZIlpSbOCnqFWT1Cd1BOQtJCEQD/ANhGFD76EHuuLUDq7ldrqZrGXobH65V/4PTHqDtRzaDFB6rxQHmFOyk+8jCIWMXHi6Ib5EjXO/6YP2srz7zo4kxCRS8xGdGCyWt9wVFrjT33XdsWXYYdxZsYduFFI31sViKmrk68koq7NOI4qp8tyfHPnmCsPEaFZUI8oHn0JOw5VqcEDROSYwxxg9OYoH3nTEv9ew+b9PmgWegGHWtOXxoDGZ0dhJkw7kD/oWbrOUiICCMbjQIhindM5/jWfY8GBPJh+FNLySe+se1Usa3UxHRM6Yz38iOwh1q6wN/BvYfmcid7s2rL4a9nZSkZuacbiwcZIpmcw0qMv8g5XxCCH0MEmFCPiNzfqdfNEuygJpMtMz/3KY8/ezgrn2tMsKJGPM6OCa/e/j9jXebRfwnkyEJKLxF4IGawjTaDrOzhoA+TxF7LCb+b9abutb1ZHR/L3P+p7ATqCpy9K/qelJK+CtVIJCacnheht9hecvpivELixFUSgYbGHnoyihVuvrBfpqsrX1Hg24i2SsxDrAiacKaOsPyuc+LR3Zbzh/npevN1bahZ/qj2KJnxnQGO+Za6hY8Na+T9HLksYWw9Po+1ZyqTXNV9bOQSt/57hIVnFWzIOvMUAHebTsMK1c55KkQxHneXnrscReV+LDFo5WnKmNtuaa9cF5J1Th8GpRndDQvZYPrsov/O1XsjF1tUr1h6rMIjP8Kr56KaXDN/u5u+jsWAVUFX3nW0PxAe+jic7KYtXJ4i8jPYtpu9AkhfGohN/0uP2GgGDR5zHDhQank+TTIJHl5bmqqQYtBugw1vAsvcrrssCPFT/d+Tbo6AsqTz38n3bS90jtnRLxtbJ7LQvD/W0sO3uBhwsGk/mSEJpUKYyGsVhMxciisO+dHLTNXlLVIB9XF+GRVIMHsrZ60RtPLett640zLTBmkHJlTDp+j03lsojARe42L5IGUudAKaKSE0C8ERUJ7BFQiJdWkF75Ed/u6TcPEjIo7qImkxD5LENDB3SuWtATcMIOOv+TztCEQG63WeYgdnDSer4IZITHXlGst8dUQAbQ41CdBtG2vnRBwVL/8itabqRiKHdbS7JrFey+DpwN4BULaaMNISt2UDVYvqKPR3gVYfPueV86GRVTwGbxBbqtgSLhRR+AAhuFpKIteMhbPgK5Z5YV072aC3IvYpvj+ciPHR/YCcaO6NpKiQ+FUzrqjMEqxQ+x3eBr9b6L9+4nh0MProzClLSHot+Htod0epVQp+JfvSnO2YYclPxMc3EY52pseVdgNs5RdfH9QA1EWoi/Ppr9zi8FkwyHHOl3EWnUp10c0ZT40uSsn/zFK6ckLkzJmyStNe5qZNe9u1q5S42P+LhcM0DwCqeTV1zZnBidPwkFbhHLrrk9ElGBlA9qN73aUUdNDjmcq9LJp34ohrptDsWfMgNA5pRaeDlhx/qJr4KKuBWUTvi7R3OTF8iYgftgIpJ9eMEOxqy2AO2Mi+boiNv/6yaTo0WwYCSrGXB+bao0FTS5ARfVQBODb+/OLXHut+lkyJa9SgdsLnGawsFEIxfoA+K3z1o89slwFz4AxYQPJcrC+4EIxhes6ECqV9ydsfLZ3cCWkpXONSHrbWt5Yr05dEWQK6CQN1u53ujkjKGrR9Q++50tsfJjm1hqJOhkqnSCeBStkbMCoB80wXMByR5ZuTLt7nTld60l6LmqCKtk0YR2796IssrJc3YL617sh86Cvvb66lFkNno34slF3BQLmNo7RD0RSnCu5tZiJktZxRmVVut4aOynz/GWeywt/KXp/322gQKoZUNODR8vBa19GgeWqQfWoVheYup6rKXuDjN1k3IaapFcZp3fzmYN2gy44WoXab2BHEcMgvpNey8v0izSg+vq/8uYZ3OURCwTAHcGUSHA/A+p1acQDVknhwXP6cLeHX21W268yje/l9PnrU3BE/nrvmOjvSiPQNwWS1UmbVJYrzvKV2THwOHleN+rqT3PC57TFrPbUVIbROvdkPVToi3TE5FygFtZ7OpLW5224PFnukIXwOmd1a6vkKz7MUvysTYRSkVHBjgflZVMdj67zoRuhTdZRd+nA15xjR2pSSGeBzDAH8JpNURuZrigxF08FzBi2sZk5QB1KmNMmMF7YmZj98AKvtxa2XnrA0vsWx4ziVQaoaZtl5bjz5oDo5qSZQCYemexegZWBRpAhUsrtAYgmONIqVtty3RQvRwlKxkDM6UumdGxXCpG+Jg4nb5WP8uw3QOYzeO8yCmvMgiuDl/hRqkZ2BVGWFGFJVDYryQw69PPD3sa4F8c6gCyyQmPwm6q/0kjqZhrxyYthFR/kvo/qzsFXxxFgPYZiVJmszvXuocPl657/oeVoL07SC15B/hhQBV6HzorgQZq7hGKF6LtkNqciMGPZ9/X8bXcOycYmy2ffzk2Ym7jNoOui8fFeIivfJwiseBx0Ihl3YwGBU00LG475mV6Ahq0/O57LYREpSXQj83y4rdkIVD0TTtDIzgeW/jQp0MRCK5+MBgrFp4EMvwkwqiYHMP98OVngcxU7ZKjm00VfrWYIfiOXpU86PDwxbwVjh+kRDrwrCtJooZeJ4U5OWdLZbHVEDDcQbBn9p0EmIEPeU5q1NjIKyfa9GkxxZIGBCcAns8Vhp88nI4uI9JJVfOby2k8yeohQvElgD0tGUsCWQvqqOZhCx4hITauqoXF1z/evEYK9aR4XP98eKQRPPh7nty7NvYHhhWdXgj1BhXDc13FHas1MxOteJyGTIQaRk95z+TQe4n++57siWk0fz6asg/fkc+DSroxvF32deKOoyfeUgXSjsj78ZOYT+SEoUelHpwcsOwxK9vxYf/MELedp1X33IsS4oqzhBeo6WS2zgYPB1AHeX2ICsIoOJEQcrlS8mvtIVrN5JmjIV/sVvg6UmJitnf/K7vFPd9oB7ea9eBRjE7C0KLCZ5C8M82txiZ4SPGcLOjACclT/t0LIX9ihTTVPpqQG5eCcJPoc3TrjBZzmNoJyJsggge/ENaZqw1wWyl85GXj4ezP+VUp9qBc2UUL7e7n7rfrqi+vEwC9EOd0CBiHDG0dhcNrd9vn3KSlrCy1xo7jA7c6nebDD5r1vQjDsjmI7ACpAj57OUUwyq3V/83UuzCQ6gPDl1DqDAGOV81Xz4PJjub4FwOPvHD3EPvguQVl2OmXksXQGCSbSRMG0g18lYNs9BdGZH6OOarHi1/h609cou3QJPdQLDdSpJYNBPgwhhFu55o8vVcuG1sIpi5aaIvSjoMtwG8JB7Ef1q1AJ6Pe7+HykvwSpO+CRnoQOr30sszjM4i1GcGwKUmSUnK8utsS2OHgyrmYOYfDnbN629xWX4CX7RaE/o3ph5DUvvlH8BNXE93SQy6TP1S/d3X7K9m0FvvWO+aXeSReNan+kHNA76+yG0Xb6/vnOjv/ON4ffMKrvHv9rlCqA0QJfL2GNkUzYYU6XiM0Qj3pV51cWqjYKB6Du429EHvA4zEhgQqJQ8i202ROib/oLYc+fpMg/Ed02/E3POZwD9FjzwV0ORBMHjD74kSYYOPwmzgCaogrocDVJ7SkBow3kjkF064EUWzeYevyvNxiY6ddzdhYEOu5xxpQOZGVpzJM2MU8jaECTxTcS8QrcpQm5e0IAXM4bv02azeE689G4k7Ll+i4wNthXIaRjTCiAUzI0l5LaTZsx+Fgk8rrIGdZAB2KJgcTr5rq2ExS39gqeccp4RnUX4sUb7SW1bsfIijZO/d3N13kkjd/djQrbTU5G4e3tJmtLZMMBYABrsNOwluWYyRo1+d1oAjuYclf3xWgrolR5D/FWYsSLkQ845gIxwLltAvQsOZQWyxZFX5fdd7lkuYqnH5RJjbabpM8kLUg79H7mw7Yqa0fialVVtSzvqPDZyDgIgD00cvsWUZfzaRjmL1KnSUSJmuRZpD1CX0I94Ys5pN0U+LDX+43DaoIDIyV3F2Y7Nk8rEdVRhO2I/JFzXmVunyW8c0qYj998w/E126lb2u18jIDcfAnNWgbm8hfBjf8DYHr8UgcIvvkiYRVqP/QGs9s++YWdDj5oEBtsHegOivxU7d5tW7UA2eB+gm75VLvhdxvq7SApbWOVfmuCrbAtUf4gAEWxUIPgfMU9OXrCKELpFHaUWDCPXPlZSQ5JxJiLCZQXP7jTfTae5ZPIMuPdMSlEpKumyEFVWBRTkwEzPklFOBwHuUj7NRLrjVycNO+85Z5UrybKdyL5sz9f4vFZuA512E06LfJmxR1HGjv9KNI1qBpFL3B088ce+t20qmCcjZjSUbFB5v35P29xP2Jiw/TcbEPgqWG20YJWLssIxPve+I/aTCkNKalH3H+IAxibecHyY4/P4txeVZ36RlRmh60ODxpiDNbxJCyqosPnsUW0vBqLXTvkJ4OPw3kU8N+y6tRnNDVALrfKoSEltZ7H97Su62TyxurPivpDqNgVf935qo1pWCSOCSKAAqh25fAHyt9eFdJn/MlWbFSuK+mJA4od6IFK6D+gTStNOMNMdyKBEQKEjB0P6IysRFqI4DuPN5esrPDIQKUkDRqO6PW71TX5nHjVtAOeBYFQEpyaDVBJ2o7z6k89wpG3zaipOO3KvSfY8/jNpc6byWHb34pcqOY9XdyUaN65+w47TkhP07PISYKIQKyF7Wcb67vtwGvHfFog4S9Hv1JjEuQXUiQfWfjmpUJUFgAUX7cNdyDCL424aLnfzqXkGxLXO3nCC0Sf3cDqoS89yRNZPhXiFssf/E762LKxMyTGWuJk9OTcrrFn/Weub/xibXoIv9QOhYdUiqMHmTuNxA5gyucncmH1wf7K7NjOdovvrSK+6zKSypOGU/hiko5ptmOFoOF734RU75vTC+1w9lZEN/F92xpbBjGZOprdyCjCQWQLqdVqFN/YKHmTVR6js7V1OSzFgGrLXne2IxsOsq8a1MqSJGP4zgkTyL/Kq+FLlqqXIgUHZu2SNb5ACILrA1Z/ezX0d2lhBryb2+LpfyFB4BbhJalxiw2wh4ACDhsuTfGGscFbV+9gGKs1luMPTJalNug3lAFK4IgAjPUALWNT2ocn4GRgX0m7nceOCIXGBzhucXA/kDf1BA8wsYQjezIZj7w6GsR8UrTrm62IZXsSWXXvb1cH6BDY4XghCsSM7h7RlvN5cBZPunhiJ1et3E2nlh9X5eaKPvrKzuqQqRNbo+JVexwy6XG5jmCXjHt5k4IVcVq1QAeOF6FXDLbh9A8w17A+v8rbbp72jRhV1S0ZVzfI+mM6SI9jDPyrcfIa9/vXkuDMCdWolkz4XO4ZstFBmRh71J/GBqf2XHAqpyQ7mCwIRCRR8XbUt19JK17jLYQF1ShmeKXfnmWnh1Q9AVAeheJvcefepTyhpEiI6Gp5hsJ6DkqsUkVdOZJN11Vi2gUWa8Gzi2A4mYQRVq7fSEnK42O2d6j/3E+M59VBcl17sVroHeex89/oOzLyAHABadgLSZtFHjUlNyEPQ+0O+z0omjZ+XCkuKvS03iF44YnzLLRVxZLiu2lik4i8bxh33lqv8jfTv+g1JS8JurgIFKHpMnr4JoxWyurkEKXLmDKCmjMfXY0pOZnQFvBXccFb39kNIBDrl8vfwhC054iSELmcsdKYARYnttbDIZavainaPFJBs8dDGSv1dApHHjmmKT7QHT0uNuIVTyGCOr2bdqeb1hlwarnFZKvSHp1EYty3MQ+B1v8AiuwYsDlpw+DY4jxvg2f6f8Lg64L4xD4WKg85xOiQEUmzMJ4P9XC0gvKR2Rmot5dSNk3XPvL7ZRpi0Q3Er4bWC8XEnJBqMevConLePnEBcbthItd8C9h48trCDBwlzvEJWoA3LtRwx6UMiqI+dPrcv6ls9pXZaJZPJCL3JoJPoEUiFmbSr6NpXdkzwOojf8kFKrKVTk3JYDZ7q/3CI1sNPz+Hnh5yTil+8d8D2sh2AiF6icnP8ouEmmu7IMaX8WvtwCaJwwpX/woCHQGL7xuDbtn5PB9PBE7/pHNJTK186UlnSEO0w5Segfv+LR4VN6HxBznrVodM9bC1gKFH8aHU05TgDSH6TXEj0592pU78c0Aj5sxubp5nxLOVuO45Rn4QOj2a7kuV5sxH/ift+5WZoMIcaSjFx8Isj3jrD7QamsrpmJb0SoFjONy6qHqlRBnoIvBKx+PM0HWcKE0UvWUWa2LBS5TFMo6P+jtdTQIZp3VQ9ae2xKJ6qlqYl/pKhW1MGnuGCdNjWiwJEwr8JDCUJB/QDYX+eWnTMkA09NOo8YsVzGtKzIhkJqjuKyXjIzXFh5IAtacrsginbh3o9Vt3IfwofDl8Z9BZkJn8YVzWmxD12lEwA9cjniA0cq9rSk/VzYaUpJoHD0hmmjUJUkiw8R9eq5EZdLyZs9AfAh4Fl9QtYIDnfRC8OnWb91hSSb85hlPXy+4J/wu0gYiqPhZ8NzbfsqtOZADPgXIJOzXPs+Ji45BVI3tNuOEypo1DEDsm059+xX5fvjI55apb+XhHA/qVR5BFAPBEEZBzJ05/ijicPV7G60XBNhS3KYowmv5ekUDd2J5sCRkwBc13qOfVIwHbqsiDeV2Ludk5EkWFcxr4EqVQsJfSU6LHuKqC1mIJTDcU2vn2UGLn2usMHte1QwQ11RKeQQUxmTZrx/smKkLzIe/gSBgJHMNyDlPPoaLWsudXJz8b1KHOPlUEYoXdjtwv7eX1nX6Zf3BDsjYpXROrUkeVK88dsuan5HGRRSVzKWc5j54FEto86AXjMIgj4y8LCV5AiaEoAyR5W0s2mbw24o86XoizyWK9D+dN7KBnAlI3CVDZqEbVdOmKvIjgG9Ha+g+0SIBm+iOwt4/6Y2Su3J2HuCBOMqI3rLV3zqK4oebE56QTbA7tO52QSdy1mOMlo02mCLkf/wn9cAa6yEaMSXDENlGn2x+xht3V8o9uWy778aZ1XKpOKXroU9KqgOSIzDXnwOi83+f9RT5c2jq0xEWr2LtWlGl75cZ4LNSPQsOPQzOsw2sHwgamsUFwsSKP/0kTvRkxvu46wDUY9ZzDYu17Wgi2HFBjURbEwO7KGfja7lJH/G3RUgmcc0SQSpAnpuBLEGi3KZ7dKlWroMcjuPWgvx5BDqqUDUVsjFFRqmeCiyMkFcymLerocvkCWN/qToX5nTuuoYGMaZCHlUK1Vbur+3u+MAukr0laGGbpWm36GZml51d4SyLi5x4iTr3ds7meBFLgm/qHgG/y3pc6a3tP1TMFC2OymugwHPx2qougCnXTzIGqRMwAn8Iv4V0wbjzSQbPUe4s9lMANIzHvTOTiuGxkM6CBLRaO4sRbhStNUR9nQlS9OC9fQFPG0bZtbP0iU9vPiPNsZXvDpQMkqkSb2Ru3U8nCTfsZyrJmfignoniqgZyUUoSOI5+BEzjgXEWKRX35LMQkqtDptVDyhjH71PPfhYfgF4Dq1cdwRju6P3PhrI2GAuVaMM8Rh/aklDlZmpKx0056wny0SOD4F1GBwtSQ3jKy6gTTb3YamF0a0Ha7UwoSxPxGiH77RHo/kv/UkC1p1mAVTaxDRMADX9thc5ISJhhAj/K2ZRVBa1FfUT7Men3mc95oekEuIaGJHmwy4ADi0kKjBvrHxn8juTaBvgxCStkxeR0bhYlRCyzVTl4vuNZyXuJDQMRbAhVqfPyNlZ0pwF2g/JvTh30nXIyy698wDt/csiqyuUESEp8VUsrkYrbA5AG/K/P1pBHm+WuXZ2ru6od2mf7jA8i9I1eTN1ruNFgKkOPQTx8zphkV3KhPJJvxRGvQ/eEIRrWmXIILhrkBXrdHUw3zPH56brYQusWnJYv/MJ/8ujSnofEr2UbabyC5PsoZ61N/FVkUt7P5F31wKdK2XaW+Amwypi5qsw9+Ti6MRLnk3niI5Xz1Aj0awrqbpo8UiDh+lXG7W4R310qo3jbA8UBKwwigg84qcedqWXdjbIhBObVLMGVpuDQE0+3RbZ3gL4XV8izRx10Ad/DsHwlvfS4XUM+mhHgb67nwURoxh7lMu+mUjTE+ZRFFRXdDyCgt6BcDAjd6BkIGxTvRfilX+jVZrhYEW1FYZwzlVgIRbQOuXMM9flT15GrxnYXUKlPuXyU9PaGgqdunIAg0qoiAQBLZNMlY0oRuxRB14a7QC6xWaAJQlh6OTYn5Il7vbUZn++aVAR4aT4FV6Jw8QdGB31uTgEs2KpAHcLPK9Bmg0Dd8MGhoXWCCNK7k5iAY07DOI9DGg07azeOpQtHNRzoH8QBX7C6fVQlby7zHxAWXYi83S2Bqnza3DI5W77SMGp/rJNb9Hvuh5fvPGD5jJuwqnk9Fij7KZHCDidUFUAVjf6t0A2NwrK2jigkzcqM5Zz+1D7glcYLOVD3a+DapkKjQxBqXNuW/jPB0lXaSDXZjBul5nmq4io/IOd+I3digQmkjxrloVAy94fBcHoz3icloWdzPxbj2oKOcxk3MNsWxravQQ46m7wd5o7LhM2COdWsInW65Rh71/OvZ3hlCRgxF+LN6hzpQAej8roAmvtqK77bZukibkiLUJGMyBvlKQjf/oISPIhqH41v+erJq4QKMuKtkO/GDegim0f32xwP7fhSbSOlotwvxRDsoJiHFlpPtQNYjSj/xZeuspEn9j2hND+Ut07jNMPbLWhOcg959imWSw3Qmr5kydQGPNGnM5r2nb5MqUdap/AHDtqkNiQwTka/ASQMwHotQ9UiZIQ2VGnjC276Sm4IKIooCm3UeM1X95PjKyv2VwZkFs3lR7YEkTCangGY7vR1eEs6S/1daMZ4e39EMKJSqCleNe4LrjU0ibPrsJfp55URigr92IgCgqA0gk2KWOuC9skk5vVXQUA9M1SJbTomTddw3FeyCEFVpP9Km3JuK82HSO89lQxjYoJwsJmINddSr138bo2J4iknPtFfjJpdjqUTlk7IkRcq6wvddgR+cZd3NUUIIWvOYyoDHNLxy8TvgG7XICq678RGAMniXKSCssnO32Yo1XEOtMsmn1WfXAhZMUKmsnVvRKwtmDtNkzhC9/eZ3qUldUUz/T523IcKqt+N6d0DT98CUmRnRQLh8MxLVf/26Ay/F53lVvnJ8d+d/Vbz6g3p4GSfJBAnpuKPcVkYDtl1q5oVDkkum6FHS+v2sl6oViPwiRJpY9I3FrdKt8AOsG2FpO7BF52NhzDE6hO2OYxiUg2I2MBP7N7zcZWz90cbjfNMgCcTrC4Dh1TUhotaeyffO7thKfBardQJu4FqyxRbHDw62SVmm+tLuuOiYKXIdeey2KLoaXlFYOXnOafwr0rO/Jb4Bmk19H87CtpTUhpDbtMSk5ocB8u0d4enctHyvC+A/qAhV/TEFUtJHURP/DlM9dtD1Ci7joZDsHcWLqgwqr2D9y++Yn8A0713xTquJd2c4V/JDB1QUCQR73PdcvZzGaEuapyG9Ouo9yMIQjTcU98DLBYySW+cemLYvYtA7ooZ/xnaRRqx7Ag/8qaXU+IjgoW</x:t>
  </x:si>
  <x:si>
    <x:t>kFA8B8KCIdBHNoErdS67hmYOuJhykav4xvJJ3+Ttc+ChcWebMbnLAZtp4BUUUCfyD/DuSepNy+DeJyp07ydf/l0xM8igikPuv8LdMaMp9laceOU9IZZ6segRbfHut/KThAtM1Qj01WIDE7zNpbuFOptPVYFwKIy1E5McPYUt+v5lDvhO4ZoHaTZHoyjJdwZGxqP9c4CvEYzFIE1NKtfpfZRouqa8cQOc2A+Ur5U47X4VwDDZsszGcyT+gjn7OQGp+AWgCWU5fPy3Jzc6apxjUBpzvA3gNCDNMQJRTrekCSQOyKIp+WkDQl12ie9qDA2+Kwm25AeoroegaxNWfXLWfyCnMHZfBCv3ETBgfbDPS8LKzA0oAXMfkiAizCHONcWUaDrmUUNpDQq/pFbzubqcKR31UKf/ca5ld8bE+m9PKM9pd1nEWRrFrxet3NR/HmVYuTnFTaCraGwrcWmgigM94+lY1yX+wC4uqCt2lDQoNXDYiPEoHEBLg960CtYF2ywErswbGhobirym6g874qwRuyMQPT0bDYHipIrRm84ULf2SecA2J8L8MYrFSqpvrsrxxGljzXlfF+ZSXqN2y7pAYPjxfykNDV+raJPeOKduUTQKiHzHsPDBqbIotlp+KE5cKtGOhY3ulGzMWLkkVFJlFrRArgyXInlQFGnPhcTflmocbAQByk20RSAwtsgRnpWtXUItQUvkjOA31bCplgVPya6De3g1D671DMSmJjwOvpSXsjjMeeuKcp7U21qA4oyqFMTw3QcRQ/rTWvecimmOr4lmlIo1QVkhtBQ2McbnTmris+mDm9wHb37m9zpOB3jd6+aPWyeOjXW7VRcAE6k303N5sBDXyxHb7cviropUHIfJet5MAFgqYceYLWiHBLY8wEhu83lefgdHZJjegxRBzaZQGpv5fxt3i14ezHEC0Qi3FS4esbybv7em9HKLlzMMIMu0MxT1Z250SenZvE4JRaTgvRVriV03BYfNX9JRvSqcrn/hfb6ekNzpLWdqPMOjAu5cvJ1BEETXKH4kQi9I+DYRfqea+Q5OcVfj1GIKUILLfak//heZ6IxkfFsOSmItf3FwoYa/RjKAGKm9Cev4+FxnGtEccE1hQ95dpFOWX5ShlVgRSKjYCh12SK19TLp1lYfox0WeGzsaZhYQ7hdY9yckKy09EqLkfOcU90ofWOBv5i6LGlGjZkxWqz3SI2j4zsjcMlL/Kgs8PPghpfc2FI+RfxG8HRvMar/beTtuL4uHrleHHB3sDBNh3XypIgBkevB485uOXrdbYnMNvO2nq4dWo8ZDI2LzJrULaGVDEu4UnuIjhJWxOM5nVQfxXAGzaFNwHXICtT48hK8rRhRpfSf46aNmZqWHN9DZWT5wzfJc9j23zyaMtaYYNyT0IZN/qAc6QPjN2CHmdhFLP/c75kd2szlClMNR6MTPp7Xgm3/jO2tXvBiaElco9JE43gEmxhYGZcwYxse09jXtYaVr2dNCYMV6+R7zkn4iv6AVTx7OYTqGb0Y4I4YcuphXkyXDc/aZzaALRC7HK345jDe3OHgZqcu6OP4S7ziaPG5tAMvlqDvWPUsIsxBMPvy6wxdXThj4ZShY5ip3oJ4p04trlatkBtfaUf1i9Q6Pl7gPsLzPAhjGrrT2Kwbg2IbkBSjOgf6qH+oYPY+Kq/JPgafNh/xJ5rohXPWF6Vke1V9GC/Ux3WnsXTP5X3AFDi9yKYuVhqlAUEheIAovTZ+SyZi6WGxjM+BmlSziaCcUWH1ziMgZlmVIHD3CAmPmZRE7vtwGDu2ojcMW0LUEG3Zqf/llLFlvfcHZZBV5dNmEfmWRKhrzuUHumfDa2auW9ei9yjF81IMgtYxS+pKUo61FQHHZ/v9h5VwaV8IGjQr1aV1NP6Ruf9iVpiBDjPhdUfLcWmbE1oVFZ+v6Iv7UlfpbE/TO3z+4URZlwZBdQLmv4IkKYqCjMpxVNfZa7IXewa1G9/wXFDQcWmEex5UWrkQrwGWCIhDYes82S0VnuguhOWkVmCgJBjYxm1wyh2RIoDxr2Z10Eg+J2TvFxlGtKG5UQ0Krp1lOIQdwma+70RiW4qyXvc0msddWmxgCBMtGXENEIajrIzWByiYfhdEqQqHVfuJ/9itLJf/kve3zM4zKEtBaHc3yWMh3z6cCGUbJRb1k1+AdgToMveG4QOHnLOkwJpzybLmFAOU98inc0OMW+GDFsW7SOFvOof+Rfsahw/KQzlK2eEz65P032Xajz77+6Kbq/qMigzawsEMhyNvPPlfXyAN2LObEpnv11Xb0kwrGYyCUA70N7tX7213/3jDOfI4/A8ZiZDYAQLBCPJSuQqjXb1fgikvQtKFFhirr0fCY0HU+I/tf2cryOlvk/v2jq9re+FJWU11AS17GjVGPyG/RyPWCz2vNPSMhSIAvPpOt188Oi8VLyrzmf0rOxFKnL4XS0xzSXQrOcGpX75rA2ZGn7OwFXxezy2gGcXztu/UlfLpGv/tihPXmAqK08ktzwbmYkZxpowBoFRyQMxF3D/Ryk6N7lgHlOI7j52YSicGsozG/DQFL5RePZvUi5eG3NTjYh8rUrf2m7Z2c+tMq2Z43kmebP3eYcaRbb7op3QtOXzg95yVQlJW5LOoZbtnwBSGN8GN9ODnh4vmMt59WmqPnZb9I0Tbr/xyVUR323StRozcj2Dc/iGzX6KuFurLnj9zt7CJ2tC32hWUu0svu1aA3VMoHFX6xUWxKcN33gZOu6uwYGlitKohfuZTtSvfVTyeq/8Cu4zFgeNv6RQBDzrrvvr9V435qxnzsHud4BRMvCQJpp6SZGQgWyXkp8du+UqmETYNkhV+rKq44+ZILcRMzKxC8hyaFUTNmUv4ta8BMWI9YvnxPamfMwvy5gdHiNM0TkMwenjSuSAecRyRnCoyRwn2SUNjR9nqtAbNNl4VfDykqnc71Z58300oqCCLXtm/QiledzXr8QXFjY3Yguuf3tOxtm8bFW56DAJqSo+2c0/xbVibH4klfnVZN/Ct6zE68XRa5SZ9M1HcA2+pae1PQPJYtNi/IXcIafKlrY/v1Mc+sBhpstgIsAvdsv6CkiuR0Fai9ig2M1MV0IXELVhES8dQH3dX2R1bJtMVXyXNTEE0G1zTDKNs+ukKeK03ZZbtHzVjMSurN60RLXmL8LypgI4yxMBzYpqUA2NKDqH4wWnPucBxSOTI2pBp0/uVlQELbYyOy4Vd/UUT2SuaZKh5TYaNM+GW3ICvLu4meCTFMsjhpDtmAUhgRKKLObIJM26kXfSCiepeMuIh6b7M8iseH1FYExxP+DxvfN9SxKcj+1EAKGlu5wN7Dg3IMxwhUDGqATCsKh8cPo8sOkEyxssUscSjXYO1pw8Qu/TFKiIopaigHGwIPCwfxRpgb3koA6JSct2d/eKvb8z0RQImr2g+EYwibq/f/w1ib5gjryPsM9nmrFFop7AzkyxN/ZaFgmSUBzpoA/4gEFDM4nHZOCvVhKDiU0BhORyoHq0uq4ypEJw2mBq4WXzicB0Ko0fFAAKGiqR/c9aXlABlR+mwHoXCQ1tLjiGVe8EwbYS7RWVIHyHLd+krgbS0XKwDHoHi9MtrvKMy3DSCmdVKrOzFhDDiXwMgcknzHohWfF3h75XgzkhiAuZ8N4PCTr7NEJ3Eq0JuhQyg3OLhzQoUVA1fBez8wgOmfQOlZ5Px6air/HLkTZVpO054MtjpeM43Rr3S099sNjLOH29+MYcIfLwHnQ0FayKCFq7mMzLU4dQppPm4phGlXcrdOK9VI110ohGS9cXt7Hf63q0dhftulU22mZuk8ONNa9z9r9egSmdj/gikYBRp7z8ZgoDO0jsZKEJMMnKsMP2Qp2BoaN0bDTR/D0GfXa7ZknN5wSS4uHuO27xqFWa0Z/TCN4VPFBZhmxP5tYFAWm/wPaCCAsH98ZB+NIna+fBAJyUQJuwfkBC2ftPrlGjWNpwHx5Xp02+Ghubosu/k3+ISfkjmYW/49mo9HruBebvZAErM+hyi25ldwiyBeQzMxnRHoQHCEc19DFsdN4oRLxsAgEJUrXC3/+900mQvCW/ySllBjSg60rhYhnKBLeJK3x8w41N8PvSywjocObW70om1XAPMYEVTUbRt2QJtXmyAg7PhvsI6VIc+N6KAw1cg5cSM+Iuq+AD2AKVREyxVpgblBatByDcH8iPv3m3cdc0v7qe51DC8kLiPFGRRGOJDdjnEKnQfM+hucjflGjmbXL1fGA7m0nh/pcIwHrELlsKNzhtohRowEYguXzA1lHZn+mrzRSaYRWiMp9J/kASrnDYp7QFE9DVWQDySilYLSuxt6Je+8h7vmPUYCi7Q5wxhWLl6+v14efs4z/4g6a+dbi3kDSAwlOl6JtfGaT3ZGJTPgUKoL71JjqahYtK/KCX1qHGZRbHiZCiYMJ/KYffd02cb3uK9SNaiWs4+HJflPxSUhnTLZcVV0cz0MK22jtXnIY5998sVHreJ/s9p95GvzAT1SJ5nbN0pAJr8+6UG6qe570FGEjxLNRTWMbkultJyQPQGb0gzKv5pAdss7LHN+sS1LTNPSxzVn6Wt5ATameMsia5IlH+wkzhyv9UmaoM6I75cbB6gHHpsn57VeVg5Pc04Af46UUF/TAFGAa2ZZ98bZnul73B01K7ytb9H+kLYmwVhOLX1rM9gSfi9/6JkZVsxcBlTbkATZb1qzwFDxn62g12pDsS0elQkPgtcDgD0m+55cGSlFSZOjF+UtDO9RWGgy1rBr03riI9UKGwjupu53pLWFrCQku54prDzyoobOQavXxznce2mENMaZReGxsdP/byB/0HxVDJwuzF5Kp5kh3iDkKr72NGgKi2Ny9w1wOWVRsqSnzo6pWo6iBxQAZAVm/Pa6rwJxNLqxW0xf0qDeVpprHGyPFKTHwz4LHMD3KQgv1qXk/+Qlx6vCaJi4NvU3aF+kTV9GXv+vOo1TcOX1BEhE/xYgHurQP6gh8h+T7RpoKl2iMIhxqCC/xu3ymHUa2Z5lmlJunsqETXyN4fl60icJIFeFe6LXqVCJJHIW7PRvkNfXigCwIbilnHSZuhL2S114BoWPgpiZ7akptJ3y6yKJtunPW44MUjJ51BmuBJ1Bjefv3foVw3e4jESY3Z3WT6K/WMm80ZgAvY9/ANTV8cHdls6eYYYqev/pyNFLUv7sTDsCs8fa7XZC/+loc7sthjn5PmWd3RMBB0nmI6KO9tHKgjorg9NERgt7URYwbhOydyMyxs/Z5ylSgewYB52rwj8l/OMWUT2R5mPxrn5PB/I4/li0SluXGAbtaIT4G7Js9vEPQj4SnU9uj2R9V99Lre/KfL++ArrTnoU7hn4RmsxS8+krePsW857hPOJZx4lBBFegXgttz448uA2VrtEcKSMXV1XLTgGdju5WNd/OSUsuXpsJ0mmdqJWZjKsZPcHRAxofmxnHMmCOUg+z9B6kDCrqSghZmlxQAjmR3ji2v1ihzgy+CQxc7jAvQjUWVZjX86dZm8gyoEPcPvfFVWZ3liWyvWC/eCfoflVm8w+wlcmdpaoAn9gZaDtATnsJck1tE6+jngvGZUO675iqKXvD8MLPynTDP9D4JOymRG78MldU0vWwmapxo1p/ysK9qGbOwOlXyRioLZsvkxpka4r8a54AOiz4b5DoTtOSfL7bF94q9HgMdHpiAdIntMWQ84N2BEq0v2YJN/9wTpwWFHoAkErr7wGJK1FrlJbf25HhCjbo4z3NrWJ5zu2mnp2IdF5RV9YBBuh/DkrDH2DQnE74ZZcJX5d807c3Oo8Co4v3DrKL8vhviBfRIYGF+prj6oQPGWxXA6YKMKEnkgX+pRzyy0xpkH39hGU6MmoAZd1CHVYksWZL8p4GNJp8tT7XEtvxSbJaxStGt4Q1TjB0WcZjOGAuN/aKqBB0dsEksu2WzoPlrpAma3hj8LfREXqWxzQPEEBn+WdVfz4yyA82UmcmPqUUsvP8Sz2ST9WMEr/Ie0+/TabrZdOzi/yh1u2xe7r14RwIMNrIXI5O7nY3rvKnxMQ3N7h58oTAP1BAFqNL820a6JNnNF7o5vwAPCsp/DSwvWDmzoLE4suFFZeRkxU0ATdnwmWucn2pqjAuLrOB4gdStHvvtbsuCN9ayqGPZcyHoqQurbm2G36tMta4oa/xrqn7FU4hIRqZJqWnPxy9YaWjg9TE4cZ7quFNq0K5HZ+/OppaVHc7Ooqs1QTYbm+B+RAjdwSmB/rxwwnSbpN//F2wF0cPyCB9zbZhHC9GPYIeilnBf6NLSbq+dduUY4fdBmbCa0SszWhCqH60Er8icjPmNu3BnzawBoC+c9WCV2NMwnuNQsg5JXdkQx6ijrQGz0cP4cOOByF0K9as8A7JYOU0lXUBqkPyYQhEdUZQzCWq89SumwcyTiYr9Dzmh1E4Phsuv61Zl0tOESxNOvfm4oGfS/UUoDOop3tQvmy0k+P5dcxd7mN1D9Hg2+De3el5xx0OQO1/u51IHn/f2QYCkfc2Zog280bvIFAES6bVMB4RAP3mHe83J4DWsEAd/VYIFCN61y+EUaGHQJ/ICfTE35nBKgvhF+mw44DT52ctWIHXPGxeDpH+RZe5wd9VzI0oX1vU+J10IsUSdB8N32BqFNi0sOskkYwlWlY89jIC9yhYVuUfuZOEBb9iUbNgTh03T2KYaLHD9oEIZki4k5MhFvzl02v33sxUUdmvoLnfhEqRhkcWdHXzC4f5aGNUdWxlMcbKzKbVdLlbK0to/aqH9KtJL9X2thLrH9IZkKOT108ZFUtaWrQ6+XrPEv0z0CcfnkzaNM6SHjEihOtQ0vurqZOLBsXdi0FVm9j4dA79E6YfrHIM+xwZnvIAhKgazoDYUFCZvZH1qrgZXizoldjekmCEl37n1hiCAWlurpmBoYaVduBGo/32eyWhwQwQGZbDbQB8xuTsyXBlxyjU69FWffX6dRTUOt3OLhuMviZM2HpnapU/OdRXXMMR9EgjhUv0FFMjGAWPrYlWA2Y/CRC+ux9cVgfN8P5r20XewZIngt/KXCa8nIHvuK6qxTqir+SFZhqaBHoWOCa7uHp5ng8GwmNl5AwsiRWpiZ7ZInRJdfdFwgDdvG5qu4P8MDEcuEMS9XmY0UGY2NEZnCsVietMHKSUh49W/ToLjt+7trbdCBhLVz0+CRMwYSgXYODFOLURQxHRao+9xoaPV5UiMx7jMpVxAxoWjgeVFDjxAfpHWDvh+ENm9bCt3qG9rZC4bgt/DrE0ExeFr+nc8SQ0aXh5NWKN8jG1p7qR0UC7nlmmyKVJ12/k/Sie8tXgSs83dhuvD8+xNzw1lf+3soByZk6yN0xAEb3Dzt8vD/w3W7/NkcjQsCPfauxdxXvWBVOJlb6CPnswOCTJBfPPCBXwdPKM+KqLl89iL7+gQA4FnJgKXoktriqdWtf0ZeE9YJuUS1+Mrn+arcHIxGavjlMMj4QYaBuCsuePWolCfnLSUcmui7PREbxEYTVnWP0JQvRLv+ziFKKLD5SqHF6Sb27LFsvLTn3NpvCFqEMU2FVCSuXmnInhcsd7hLbaLjxOTlKFzS6upMjzi2LxTeVCybUNAFMzIQQQNJLoRrDfuiCOrk/56X8i1zhXBISctjeYWNQicDoDLLdGtcMrLT+nwkB/4pD9RdPVZ1QCaRU5oX79wuovsgo4AUokCLP8v2L+7NkS3pXLlznoMOBt9eKKPH30hnVOceeWjG5sfSBh5e61V1OeRzvIyi6HyWXVdwRkf1BqrUKVr1UU2DtvKtBOw0q0fn+ek3BnBx1YSgK9yArmt2jdxIPtHTLbjHZjJOQ4F1yXH4mS0fC33tc5ib9knQVNCjssELFnYEglZC4S7RcDeZPe7yt1lXQ9hL81c9XpbI3NFGmnhZ+bx4f9VRMvMIFzIBIJz1BXnwRVfzBTQBc3DGBaanHKzVVf/bcZJ9iPVpr9GuuJbGKZcTgmGez1d1BZA5IAQb9UhNFVmiIyTWHOSRyJgvB4vyfGdk/9h8uBwONNxTdPq66jbgDECeSVLt4Mkg5egHVCpWWU982yDwDVk3pIaOsjpoCxCQr9whDYFbrvoNdLbV8z+Bpl58JJXlyndBAZgZn4s5fZCYdTylS/9PxOsvOM4p7nxscjbGe+YfvENXhPadMauRtLtqsL26ocjo2w2jGv1PZhe+RT3qGhtweilSFmgVKvss6cU9utzZEiZtvMrXItXdfZ7t230H/LD5072+S47XCF5z9pSYIVYzXLHG1UnMEQErSaGh0ixCVQtzMh4z12e3mo7lP/tJaDvBBjl2dMBkw2S+AnvyV3MwERffDfJxoFJfJ7HFaLw7W1RCxWFphmCsk09u4lDiB5PGE7DEn711QLei65G9xui1ATyt3eVTRO0vp5QBnDnR4LWB2Oi72kILPwfKBNKarwOC4uTwh+yN1LtsUBvbgRifKwOcRolCX5iaMMSJIP49CRlhEIr/HdFP7LqlFm8t3zRQkftSp2nCNlMl+YQaqlzgfYJRnosgZu2r8hb+UFMrOzJLbM+aHm9phbFIuguj9BvaRNv+NODUrBcAHE4e1U56yf72FpptPscD6EvmCzCqooJFp7fOcyu/JOeu7r5TrXYlFXTgAD08VyUTM8rWxvp2U5v2urc4kllHWDhGP0KFfbnxSAvPj+XHbbsb99O8q/FYwsVmQzNGmZDCIChAN06lF2xn49SZoBu7BHVwQFiZEZkm9PF101RleQgBH5fbkoqms2N883SB+j2ZdyDtzUBEhEEbBk5AcwPYJ6dV2ho06bXh2hzajApb2+7OUi1nfmQpM4QigXKIFWnf5Z4g0KHKV0uyQffhGYxVpTx+z5BetYeYfUiFFIEnZ3Og5lp52avlQlCpRVu2IJ/pmhT7jjnbQGWCxLhAmYz9SQGpd7U0wytijIbYyw71oINx+1kbGKmSXAKUV9alTvl3LwrJS8mq9ZZMKYJbC7dciMdiVQdTqdtQkh65uJo9ZxdWAsDqKqpClqApwZOI2Y9fHLjMBwPabiB4UMBtIuda4BVb/VvR6fOF9bJsqGAoA1+V6RuyfrgCptnb4ExD+mTegwC6ZkMyrGDbyNQ8rRdFsuCtJlaPGdaeYytWry1kVgFiSeO07S1KavKgYe2MCZH+0Gjgvz8ZJ7Vov8eCpki5DX9/mWa8L8BZqTwBx1x+aj7FGryFPiIV7Z4Ss2CjFVjY+2+2y9IeAvMu/u7iazmJy+tim2n3aGJWDWw4Gkvdsh1xZotNKNfIdhiB4BYol/A+FRpe4vqAGdMnnPjjQW7tpZFHkA0mk1TmhGQ2KoWotbxAyni3HcoeeQw1Y8b3yH8MHU4c+vZaeJSzMpYqjSjS41geuzMpbiHlV7mU8iur6a5DP9VujiaWLH/Lu+5sjBDuO2s0fPoqH/TC/cgZJMnGUgRSwqlzeVP2vmpTcH3zYSTAHRxxhC3GQ8KZGUEMZHjOyG3LuA8CZI/SQWypB+arPLGCprZQI6OJrXq52p1pFjbV5lSRf3y7Lxlmjzqh+Undnr95dyaBS2c2VOZ8WfTUuguMyH2UGnDcu+usFdsnoHe2jRwFRIZo9Y4ttMkO2V3gPz8LrHWd3tEdnxmKVTOZpDMnNcvO3sdomkXrozUpwXfjcLKxnQZvhEShDsA4DLjikRXORM+kv9j4FvlT0DWrnRdRb2RVdPy3DQ80cTSfCa/pmVF9W/3eXYjScoIS+G8iLyfrig8z3Rd+K3GELdwdIi3sdYCgK3AiYtsWaZhG+A7bVY/w4+RsFY3iQki1vYcPkFGidi7W3Wv+trUXdyMSGv2XQeOOo3Gav0ajj46jShwHXyq9oAkohWW5+XbfyseRQF65AN274b7mvxupsooLxWhbe+ds+r5KH4v30fjna+ldTqH12pvK4C1AOP3+lJ3KlSfpSBU0RIdCsH7MbsKEBnPraJgK6+vCNqueFT/w0JMM2wLwn10hW8Wqo9Ea0xHVWhCjf5JhrHFwLO02XuFQiidzjWy/7NTU3cdba+BwzOBjFkQgyGnBC0W+Qb2pR1/GoBs6q5PcMvU6iazK9xwCNHcSccBciZSQzUbhQal+7gxfA7AcM9yzSoh3lZeM9t+/NrblFBx6jERwDhXSzVS5MkLtG5JIqoiT58FYWZ2RSbSTskx4WiRNjkS+GKWIkgjAj85VE2DmZeHybJ9TwMKI7TkIOH6XC4SUFIjZI3XzbZZvPemXy4baYx5ZELTEx3tpfK1+XjIrnhTDHCpLITomwdqcJWABeaAwxjRgMf8oiFbcYhPXpHxqEwolubLO2Jt4yUbEwdwE2gWM5LhT+DFQKglAW/gaGiMPgIixbxwoF/uwR4FXZHOfWbnRPvivS9mSwNBYNN1h5aDRKB3mAmBPU6SRdKZkyU6Isr9yewLDzMX0VUIVaX6LSbTAQS3e+/r/4PNtwaBzaqLoqtBCOhiBlcFL9cWj3qvwAAKiqdVZh6KMdyvWal4oxLfMPxtCCrX0WkW/ilg0U0qWa8NfAw9eSii+Yucx++Bd3KzS4k2UAi1T8e2Xb5CZ+H/6kx7Ynqwz6xjThVdRLfJ9QXa6OCMSoP1MM2iEt85M8BW9FkF3aEeqi6pGe11ORknrEwC1aTQe4dUUEleCvgMGLHeYzq55U/6yk5+vYB5n6Ght723NQu54LWw7s7kY7B8ERmLFkyL0xRnkfgGh5lGa+Kmq3vSivVDnOlMpUFoCQJ8H96oZAhCLQLxN9KKz3LUfWPy+cj4JMvWcrmzF6IJlY4gDHlohjKwcikjKE8VqucAl4CxH4PPdwxvh3mX0ZllM8BCkVVKotYzRb6NEgrS3acgCjNpfVp/OdagcU3zaj2kqdLJDUA+dIHvWtpdUhwwGYyA5CJVjP+9vu4n3Asj8TXTXY6hibVULWk4aB8YwH8LBdsgX++ohUs39+i4SppbCUSarHudBozFvz14sstftPR8vj075gZcibcFFQpIZ7dq/MPfrTxBiqfulnzB3k6HfTQoVYPv9r3LaHfU/Tlp2dr9q16gWJgX3cAbDvWgUdn79DjXwmk9vSkgwIcjUjNa+LhY8A9nIy11mPSF9saDNEIpSPauHkpGZQ7Ivk0GtEJIgqSd8qveItx/R+8+Is7vCLQ4Nj35zof/8gkoTTIeqt4u2SLt++8jvAN0IUN60RGippZCCc8dnozh3TJU2a6sW9DGcAnXLWFILReYvyli2/mRgqt7fwD9LcKosADhmt7DUrAu51uamCjdU4wCKi0ZJptPCnUh2IwEy2GGVOrGvot/m0/iZdi+rbMguC0QwiwFRPpl8JgnyRBauBjCpLGoaY4KKbrIa/MZ3FI+oyb5iJKotPZgGqQMoMPaI107yGzE2xW6W3aEpBi8qYYJMIkW7rEQ19eP0Ot9hI9HGlfXY4zBoz5Sal6JomHfIwIGVxQFDavRuYNxsOOOzhLltnEylEyUV8NIHvc9owaxdtarHMPnrkbgN4r66gOu3LyJGIgRk2Y+Batx9UWc84m9zvssaHTZ/i7AqPaz5wICoC2KvMqhlyaw2Ahyr+gGdoNPrXk0CzCg4L+eEs63r4zRMmx378yEHS2O/o8Xl9GvKMPOtS6kae1LnodeehWMmN1uicHJSEDDWvKrLNkAe7TyU6GWyF1ukcjLNGnkKhkR+0Yg9cCVmDb4lPb+ZzHy/CTjjg9m12WLOByAsI6udZ3AcpBml0zq2b+ua29EbzpQ3IQBDDbdSeAvXAV5E9Jvv472t3ygYEeJ3HjzbNJUqoIDAkewxOrXlmF5o48M44i4d3RN1vlBdybrYthr4m24QE90USr1mXbTfw1RaO4RjhVCxcvPgjgce1cB4zWKoWuTwTEUADrDMtc7orROqbmgEjWE3HzJ34gNfK+xky2ij+rOn+FW2SXNrfKX4j00uJVkr5Miy5b0LB04yLtUAEiyznnJgousK2a1fKn3qbu4Xo0PbIg/iSIXmpMukwmke3FN1bgTC4yd9MV3MlIA1xmFN2qH2fCIrKXl8wvV0mk4wPqT6T7aW57hqk/HkfENw7faGGjKTdSpfIHmrajD3HHhFlt30oqsZTAGPHm0SZYUrPI7uriVQNI9/NVOmLjK6ZOiLOJ0M0/31RkrB6fiIutRQoNjI3YkZeTncFzj/by7OZtsdYmi2hEhT7Kpksli3i+9o6LFaaiN3PLNLwH6L7Mn7GqKkSwk0YlVMbERhZPqFNIEZicLM6OqkA2GCDRSQJeFvuqh6yd7CoX5BNB1q8tSyHMDR/6L+izi0iA3DNYvG7EvFZlfqOyzmuc9SGaAPe/hiP9soF5HAnSTVxXqDXnr2lyIGiX6TXXk8zctnGKyYzUhMTc/3qYP77m2D4ml4mGFnBOnW6Jhr96qDgSbYF25/1UO214pIS0t0B5MA/vSLgZ42MMDFI9ZEpdcRhFiO81APFeZ89gPhnO24oUPSnPwbpMsEQLG7ogg6sIDJkM98ADheiv1LVF4aWps62K6UZ3uYBH25Ps7WKnOASPFKjNYl/ODwt7UAxVjEl37EOetJxi2/1L8RtqsYxT8L/J/IE2DwgnTomyGUl5beWJk2sXGtuPxsBnrvBSVl9k3LuVy7LmYeFBQjjIydckOLx970lCrffuqDKBAVS2mbZcDZgRzY/mEfnnHfKv4P2rqet4kzw7JSl6MoISbnCHalmYUnQg1pmai7ExmpDX7oVz7edmwLUILpQ2oKp4oS8BbG1p9EOmaTX/9maE+TP5NwSMQVOOmgF44EOnTgVhPQCGrPZJpUk/3JvQoRo8X1DcoMYTjW/Nvy8v3kcqsNoOYvzAu9gmLZOyo+tevccVs/84bDJDsiiq1YDlFq2k9EWjM8aqaC0A1suSiOfPNby+bK+PYwuFATyEAWl7NJCLeze9VxF1/9T2wB8Z97hHrZ650/jhmcWgAoJ8/M+cumGQGJKloVY5AU9q6d8pY0vaNfZiRoIVP3KrC7gtoZQr96FcKgIoFhFyZlq0sOAA1yf1WL9LNIXkHK5uXtzaGlezwGn/3rlcOakf4OtKLLJGSqsFmCx6Oi+RDigx1LU3fXHzPWxxCmnfWNNsrcNt5qeG2z6kFMNvuXrA/ziT/aE22e+aWS9eGFQNGgP2FREQwADA4xVQk/lHCKjSCFcADU321V3sg2+JX1ppLJjWTJ/W9hIe/kchcUYGOrK1O1jea6aBoWKVLQzTNPMdN3JQMu4LrKN8T1Y2XHY3C+13MUVwJWk1gm8+LKqDXUZW7lolta+7u9xrdcWrVo00FBmUkndnIhdukMhFQu1NwHyEdKJ9g6MurLHw+TsT3BbB6WpUQ9PPuCRKyUQtV9fbdbysZNbUZI27G/hmS2kz6L/fogM4bfu5aRQ+kEpiAZcNzbZoBWf+9H7PmaNp3UA9FyRZSGK1BwcgpMU1tZiiJWdNOC8miksFU3uBq0jwbV15f4gvLpgpC94RbXnibZnNRMsiAiaLiYSmbUx3DjOiwF8uR7BCb5A4tm/t/PVbbsiAWffpkvrYZurA3RDrK6/dKNxkIs5hpG5B94pws6NGIMTol+PJVDBByLbcroC44GoGKZn7sNmVbMOW8w3E5CeS4Iasc2n0qN+yr9CJAfW8K+msbH9aHCaorFBgNEOa+ONeUrcZTPgPfhmpQoOQt7dzZKbZNDsbBP7KGQ25u+wI9j8VVkodRK1eF2TkCCtviolDy6+XV2Q+cbu8AOiK5W6gwIwHeVGTCbESHdF/L5xGf4vyZdDe2oEHCYcHvJENO3KtQEOADoZvacH2SjeF9F3eZUzy/7KL5hgKItDDyjXhgt7OF4YFvZvS20wO/g7pt+1ICGxyml5lnPIE5VJBv0ZYs5IcUn7PZUNSNDtjm8sIqH5FbLC/uWzf+q3M2wftfh5eK47shcPXzXGAG4NUu/z+HtiYnWEssqMXmVJFAda0Ki7SLQc/TEbcZx5IFxogTqb8xJKRGPsem78liC/TcNylycQDrT+TkzKXxApXnnnveiXgyA1AS6zBmcXUvTjJkD3ZjF7E56BmWFXfazE5fLU2UMBMGWt3wn36lR4llm+IcKcWi2OrnSK+F13bxbEPRx/H226/OMwrC2fczukSGZzaQA3xD8KwBfh2wv5zg0yN6iEynIK1CBDCUnnzMYAuGmXxImhGnRapxEqq5hueI0kpxOReCx3UT+Ewjhtysqoqke12x4umBHPzB7ESRr1xcj75WStMrgw8wXX75/Vf2B0n7Z5HsSMVxJwO4iKQ+pftHMDTn6YQLqrAR7hBQ6zpPsDVthnTOJPnJDN7sUZ3cjbvdIH3mlFtdUf7LjsMnDsrq1AFe2UvVOfh29a8CNweSNnAQUWKEU/adwVRAT7T8R8PU3HwApYlvO47eLdwrC5lNPBWGSGZRU34JOChHwAZ391UXcn4ByaQ0tjT12hCFOMGPFvl8fSZZatKxcVpAgef1+iTQdOo0ITcc5YtG8MsxvxZX1X2Yk+dimypXpu9C037EtQxdBa66zFjOzzG+z6Iclm0cI5+MklNxpt0CCj4ltzstxzCKQPf1acj82kjuk+FAdi04R3jgiGri0zuysa8zKczFD1ONUsktcfnuXOGoDTREYHHweHg9RrqTD1EtpbYniLClUwGBWxZeYkleVNbhYkClWRylbkNU7WJEFyuzCTkPU54ogz05rWXfzWnoORnosPoRihccsOG9kwzTjWMry1fXNQXVDL3ab/rZHxx6YW/l9uzCCfv1D+sm4OpWXa4J+BhRYp9rH+G4CeRFy1WhiAeBMoXtT4ByzvkuHpfSJSkJOjfZPF7he8gSAVgX0IspZLfAisWrVnroNbSjT18hBi0ANaJyXKkgNCFM5awfZrPBOA5XPiWGjpNISRWaY5fmyS8hZJCzTXRGxf8AyscZfPWOIHFS6d3krJ/dmWECEuND1JwWxzR7bf65zlg00uQyd6GYp4Aa7bduggJ9nVms5uA2+AoiE0ZGS0kG27BLQJ+6oC1LwN1yfRJJli5Wb4B/oT09GAweqd6diimu/0WBCuiIa2iek7R707yr/XZcjWlOE7K31pfa0gVAxqMSWiHQZPGvW6WOoJDwYcVQC8z9HaNWN36IpWrKAVab+WtyykEwZwfSLIpgD5INMGL1N7e7seRmGVfrNbjgspSy6p991iEOsWMo/YHAOq4qeXlso+U8CfK6cY/IBQPYJeGYmcCJouflyNVC1UcZzh+6oIXT53SJjh05IYtxiYfPzwDTR4EzxrVOYS/QuuCmxx11ykOPos6tldNJXwT7Yg0v0hf19SCKXuRko3BMjOMFKGIehiNConxjalBxwnbbo74Qka249ryUvUh8MzjFlomK2Q+VXaCPf+iLRFuugu7JqvwV/F8osSdbtjbbHnsbbFZC8gEbz86BZM8Lelv1bEg8ZpdwQYH/t3MsueHn/UJVpI/qGIwZz46drrh7RshWfxZ51UBPvJ/mGgCMSuhixS9hjGBs43nbiQW3FO+MWDjzTRKs52Nq7wzBn0owYzpkXDFWN4crsk8SASE6Oa6VGSS1jMWCWNrMwUkgrhf+YetE2rWeooXw95dv+QzZDbqKBmdTkjJKpNZMHZ/nRpGRPqCgQJjzZdfajnOS+mLwnIbHLoIpfGZndagbSzqqAs9FdWa1nqAjwgHZQojf6lNVMsIs3VedntbrCnNhFA1GHMhjRPUSEokFGX4/GeJPGZ8QFba+Wgl5BuqFkFvq03hX6B7mba5bqlcRlQ6L458yhXOPwFskOq1/fFyVZi3nb3SHkZ5uQLcQG5giA/2pXgDtVL+ikSYM7YvaVJGsyoe3s887ziq3mZZUBYvbNG4mnfsrSNlX+QAHZM+SwhBvVzeiaNNLjvBADPLjKBQq9/3RgtTteQmuObj3b+a+jF3GjCPlSWgKsydUF4WKQ+HbgqCzzgoF0lbaigNfaGd4BDKQwz9obCQ184554GmuwBaUfOgl7+pcmyDXjxZe6CXwJBbo1RFBB5VxyFTke3AsR7GpdHALCXZIFvdjVldknkV5K1+gOmXq6swGMpfnqYKZ+97YXuaWBtsv50hVNcz/6kftXwsYTHLEx/dF1myINtn+M3PlRgbj+C2Sm2XalgMKKLOyPJx4Did6ZyiVAj6A6YF58QPDe7iNqru6DdQUUIZCJT7qIM/d86Zi5Ym4glttsda66HtSfoRGaZ2/G3CX5U5IWFgawuQBHorOAd8rd+lZRU7HqywYXRLXHZeqFwQhgQVa9sElLmlqz7A5/fq9RKSmYlMQpgVJwiySpjA33T407uBn8EBEOB2LM5OOIm2v8I6lLX497+A0hIcGfacVYxYllLJVgMreDGrih9Ap5Tv4YkgAiUaRlF4WOt4R/UvgcH7r85S/t949ZC+TBkL4uxneHUmsfyF0IaBvtKurvbPHbGuOnNFRjnjemvlutoH/6wQJfPOFV2SzbBNGVRCkOXWjolj9nUFe0My8XLmrOwV2Tm/fyDDXo0sT2Af93HqPuUhxsOUFipJ5tFPsIbq4PpNGgjZJZTuMDLcrDs2bQmAN67T7N/2oKvgoH5Yvd7omWtIt9TqgfGjCxbmmTV1x7y0RrJop7yRHrNp25Pz0HRCAXh/2/O2KXhUx3s7WJTak7xFzUbPoV84Ldajt1SS0L2HDdm5Sa/Gymij2+PF/20/vOcFayuj+Was/fACMzGOSizEoRGP6BLc0lMyl7ShiGkeUAsquEXbVtljNdq9U28C1quZxBjbGomurl480e6XNo6F8SE5ca7iLXUEikrMt2tfnziSgphmS3PjOvExljD5DueMXknKkryXDJId4BKF4jmI8sHnpLoWKkD5ZbhoqBSUy/82eeb31TQ2WxCUDljhZs6qq22X/vjYmuEV2apgAktoGtpjm/L3umESmkyV0rgZwZUeXR0DLknApcLvoAoF27+DBdDcMwt6CEZLETl50qW4XfYFUms2IrjNoqa9ZC/1/3So6Js8ALbsimgH9H9WH5gpTRTBGO0N/IwzBreczKlZWVe7lvn9CEWB4OAZQbGiF6LecL/yA7BgvddWT5dtgQPcIJfHQoIir46t4JwlV5RWaJ5ubnvJBpotAuDAzikD0huy2pJztpP5Igs6+UtA7VVFeVJ5Hjc7R4K3XPCGx7VwSulZyhb15Ma/vK2ku5kTLNoUTNAz4Nph6GM5EZMZBS5A15TyAL9kfwgJe1gem4QOw70Ap2GbmZx+x7QFoIEw9l7bS7djvdNt4YoVtkYSbUIiG0M1NOirKY8MT59F9opVFTvc2QgCe+jZbktveFP1HdP3h1Y0ZMqIVJv56lv1rWOYL1CtXOxge+waIhPflTwq7dAnj26jzjBx4CeJ4veusJT/nIHPDSXFeOIjbwazeIuF2Tfw/0kF2osdr6BJEF1bfBVlEsw0dyGp16LItT7tD0wJicCtybNNqxuqjXfpC63GM86/qJPCQMnI/StYCAAIIaswbAI26xhSeWYM3NXa6Kl3ELw7TwcFUdZBXUU+TW2cRfZBnL8QYX7sMD8P30Qe2WqiSZ5qCNzrzCHga7ZB/UvmvRjyZ8kFZP1KJwNG2fUGMquaXEFAdscP7f0GZLFFQbu1bIzfa1aY8VxY/KfnFUHnksGRAFr2S+ls8lt5uHcu2QKJooRHUNlxfsrT6x6dGTsAO46/MOTFua2psTY96s6W2CnaztpZ6hDYHTCoO5WHj+tFWgcKwX4ePU+agVs9XWih0ciaX6kGZC80KckBgwNNwYPphbgycg2DAmG8wYveyUQTaSmupK6EtXmtqqC5q3V0NgLOqJQgyul0Qg2s6im/aV/DDgqv3dNrVonbJqWB0I63/OoQ5w2qLYPU0SF+1037Pbd3nAMI7IWqBuoA4WsvPR1k2d3W1ImXYZi90K7c+gahlDByssycK1NpTceWbQybu383ZhPjwi9KGR/ts0/DybTfBakCOuxeYs4QbCMw8STyommPRyYXv0IBKJXySmdOzu/wIXvYr3Sb77NQ0Ge96uJevwGXGTh2BFQuNduEJipUkQCBW7XlkLehTmkvEhonlnEz4gRVsw6EfE38kNZ9ng/pz7Q2jem6GP8Yq/N2KwmvN1KjpJq5oCIQnbN2Rly6DkFz5pRcaWfLtC4A0cNKzD8Ury2tAEs/ZW+UQJ7N1Nq24qDJI5GyLqiYGqyqY2c0IgkdOCSmt0jHjPJcR4mHrFsa9TdqGGq9pngTKDJ4F1Ca4Z1GpQR/3KZot9SSunIltTk9kknar1XbvmMmpq1rzmJ8OrPJThuUMqgMsmafprS6iasMeJzf0ji/zpVaNg4w9ZEjGt4je9AmiZpju740epjj23luPZ1rzBEuuCVbd1eYLuy9y3PN61/ycdAFFzy9uwIAx2DzNvMeKf19eqyinAhBr25/9zXnIObjrOQH4XSLmoaZkbxs9pGfm7/GJ7uCrZsGDd/xCIacPDQS9KPzstshDJzbwuwbsIb5g6n4b5a07/pdThvXtVtrnx2O4Q+S8D0Nmqn2GumWSahqXgjRSzSWyE0geQmvLXjIPK0/bG9vWo8yZ73Hk62DWhbiHL+oWs++auMzFeYkMTx2UGwXfzlVso9HczQLwHeJA719cwAZUd1cZQJyzbFfeAywPmaQ+AYBwtPkgW13BCc5CCVlE6JAMSpaBiENNXQtF3L/E/KFqz0wjYl4/x9Go8vD6bMSFVZMFOVSeKMaZ5G7t0fW8bfg+034i+QYqEZwURI5p8MqsqnAmQ+IDp5g0qEMyao/twAO3qC4s6lDlDsQoXFeMCPy28hAn1dkcLoOk9hdeBLfJSYbT+Vpx1it6FFpX8X1lx1qQDUwyxMMISyg2HUBq4wgp7tDciEABjROCXZht5uYKmUoio5sBwdFZG3jFRjaBUxafCwZ+yPnafBUUumqjqxRpnqg5zwXejhv2CUlYTwPoUAMgnvkdQAiuVoMpyl1oMAluUXOFWUyuwS5Vw9NpvG2b5YKoFPu+zxUku/Xu8yBaHGiA22yQcaFGPyqOycBl8d0dC+cr6KWI4Ha0xmMUjiSd2ZVPXvJm526JXIm/Us3jagSAf/duvp9RN8BnF8v+vvNVwzSYZKeF8m1rR8j4o1O5VYjlgu7xSpvT4r5/xQofRivcuNFtIImzQ0mHrjHUVVGwkM3rYdPdAHyk7QlRnnCUm7x3rYKx2TqlMdUfDGjjRCr+RTz8G0YrU7E7yz6HF66ikJITuO2yBe2mqegKpHe1ZWgJQb5ULX9cZpa9tENzpYjeV5lnAI/6WFFxxneb2kp5F+XQ+ZUa1JBM82AhyU9/lowyRzViPaV8dY7nqmeXbZ0hYuTL81dqE8tzIbmgcWgdNA7Bs0+bYNQSwG9bjvzzo9GVUP84cGB3eR6ajr43J5weJgoPvMvURJOEUJ2J0zGaAG3yUCZSUtJzwmRgFRJkg69vpPzuEE8wVUbRWFSDqdNSuXTPhjUo40KqCwy3xuJTOvszVIKeVG+aS0/dsNOpNUaSM/pGPXCZ/7SwYpT9QAf5RuqOky2xTpRC6nzSncdLmvn2J1SlEGRRTM+L07mC/2K43zWIIkmav6hdExBCh/AJ8g2w2iDUTAlFxoPgjcj4QStZVTuCNjaNzBEKWB82dKBYW3jsaHcgeuM118r9+7ZMTA+YnpdRCHZmZb9v6UjmlXQ+7c+htvfj/lqOQZMvYMjgy02V1u8+owShc/4hl78fJmN+xYRaGv9//SpFrXD+lfcJNK/5ARPPuAzjgpQGfXM+IoDbfbxgBTI/PHQfKDd29uhjLMspozg30hmznc6Vbot730lKOZts4gKEK4YU5WVcdoCIHwuDZG9RSJExsZKRMMKfY2G9lSXBtx5nHoWSnc5htX5y/5SjoZwlhXuaOrfQh0j5fHZTOpSNYdl/tConQrBUG0qN890ve1rGAwYqJcMg9Y4Km5cVNw1RptMIN7o71Sl4dZrT0x0nr2KWstQq29XMAr/q1Ct4AdYQ3H465Mhwu0vJuynQUqsoEcG55ilO4tvu9q+/kZJ1LizhcWEa1DL5mpAKkFQCK2fMfDKsJyVUxWA9NrYc2/ja84aaa5NOfVSrynQMK6xb3O5XEjzJKcv+UBOq076D7lKh12PqNCYNzAvBpOSQKaXwSjuepD/VS2cO7jwRmYhdyJHAe7OTgJtwYleJc7Ww4dc+x7PrM98OF9jxB3gjbVmt61Bv+s/OymZ6IAqdFoa3VFBt8MagL+tFTw42lTHqFI1s9wK4lOWKtzr/DvOiXF3cjwWmNUbPRvmsqlxDn6qwlvT/ZnjOFVwsBARBfp+bLU/3NF08j/rKF9+iRF+1egIbodNSSSgBrsvo/jfAS6YuY5xmtoXrHl9PUB4uPugyla0j+Kr7CtkBLQlQ55nuC4O6WLlcSGnWHxEByUPDSpEUaZMAjQcqH9iJACa+nLv+vBIuTWKfcH4TXRpsuzqVaDqQyrctOe7+dZlzvEH9xooUmwvkybaDX1zkFw9qdP+yjqZy8qjHXTHNIyQ3kem9K7JQTDaR6dgJ3z16jdstmHJXwpjEZ6sPNdyJX0+vlWqPwEM+5UeKr1BIsspjV/3t97nT51lubQzyao7fJ8EBm5nZL5V1GhaXto63D4lGgl/oy3v+Qf3TEZC35zBNclVcbdIeZn3+5wbBwQ0r+V1zdux4o52GLKbFw19b04lUVq8ObtW4uN151wPb+ghFhJyLzWvzzf5aVy7cyYiCzdSEWjn5AoxuK7RcnC8r/68CkYiO8eh08hzW42e4RTQ501rDDd6Lj1IdUQOODRgbE76sr5JLVoNTdv/SwWMlzktS5AHRuLOfEtq8Mh8cDwJH6AKYGoamcB9sQEhVOylTYfjS9RQOC2+Ym/cG+5ONfvxRI48neUSVbn18HTQmVVeQnFRCCjdlsA7Eurv0gU0p4nb6oCsWBTZvwOvSjuzQtEj4+xuTfRRos6JnDBV0QNsx6s5QB1KkWf3fd1qpukqs8EXMV8zC9qemrk0gcxHGWjqygA29rF+407A38MoWtSFL92gQMSDk9ZKiH3GbS6q4rbpKulLnxkw6ldLFx47V2Kq5ZylYfBuwBp5m0a7POyyNxzF0wuJUhNUFAsavuc69d3Nlz6ZnSPVX8Y2icfyO0nuFEhvur9z+ZWA+nKjtNPm17aONQNkgCZsVMAg9inp6oGWHjegK2rtaf/hmJyRvezorLMY9InIcY3Uj15N5xMMhh1CC999vxKYTk+dKGdYIe5BpQ3ni/7Fwwj2ZOdlprfVw88dhA3Vn5N/RP3ZfpaYV+mAMmPhhMYZULGSK/O/lZkIPWWG3WTKcEPctftr1PCioxaf8OvM4QmhniCsejxtDcBMTF3wn86D5SOmnY2Ylxr1XqFkt2lTt8HyBnpq5nN3S8Ozn+YuHQ+kUCvnzL3R2R6nF7+GXPUCcqObFYmjDTPcnqLDfcOqoHWybudGMeyoCkBWxLcMpq3ltEsHFoIsC/pOTL/a5B+8uHFkc4ap9qMA9F+IzBrC4NDQTt4C2P9qhXJLBqVm10y6HLfdI/IUX8afxyMM8dKPfG7vbyHCs/o5a7IvAFv42V8yOxi58Ncw8/nt8EQGL6uaE29ySSign0mkQQMR6Fo5+00YQkx4TeEGwgBq8L4o+hxMcBBeidaWMcv7qbdiu/wNGhJPz8LAQCT+Jv+2mOn60q/yJaE6g85/VIhB2j2Ma7cAoRO6FWqenNb1AxC37/MbE8TKmNiIfqjJf6NVsnWTp9oHMBm3OdpLQw0mPW8gOyd0Gp2d8RTVlX3d0dH5J7Qn1y7iJAGrZ4J0THsnQ8MAraqXhi+e9fy1Wffthm+xiZFrwu/Kyq5BNZ1xNdjC/Z00VV+DtNHssYKMIE8wPnD/2pRF31/KhnjXlrSShq90YtMVsWfDnUuJ2uNmUhrV4bVSVhaT4VrOiNr7cdck9FqvHtgy4pLDrEQ2oraIrbOJ/mUKB9LRPYW3StAXf2F3hP85OamvnuQJbeS+OQI9rkh2NQgp4+q4wjQpW3HOIdNr/VFhE6qeLwzaZSNXJhWvPdahXdgOeP+Se/ikD1/Qx+hYRvnXsFxcYhwU9IcHj0tyNqFHV4DRWtAOYmioIGx974Zl4R35uomPX7R1TmTwWTcXHHJ+GS+M8WmJeXLuj7TEkQDAt8E5vDQpAzccVlPz/3EnDLe+gnpjIxcC/Znx1DB55ZIiGZ47YaQ/EYPM0YTNgVQtre4cbvQZB1+LItxqoT7XPs8Z6oUxwf0C612z0G563emLqn8gs9VC6JrZK7tQfF6pgJgzjO1AcvAo2Qok/Ga6SLav/tRM14NOycnz/Q2U7XS+EOBRZ2MMho0AkvWtkRUAkZ04acei3QCN2G/LyBWTA2pTSYb2YvdpH4hlsuCDwKIci0F7EjS/FlpcJd6W0eWgaQC1vVFD4Za15IF7nENqmO3upOeY/nTzYNiSTQYj03SC7/DVsWCkYmyrw1rkVVksWH5y3dPXwbQuO0BfPJI1b2dSA+IqE3hKu0Utyied0xs7mhQAbQX2Omvdy0yAeVqI0Zo7aHIxeWPY00w9tPsqjj0JSPCu3ubzOKLQhI1NIjLgGjWkx1bZ1LbhOoAB9X+GT/iksTY/kF9jRxP9QvGcLr30Gna0srLXs8Yjq3CxOIkQihhPsmO+tAtL5MSOSwv84CEM6tQjNOfzLi9fyVLRFr7YSx7m1gVLiFQE6UHdX8vfJeJiRGNPHNIQzHD2EY0Bo28HAmIdxBi4K7QWI5UlzGrFV8DTb3uhNV9nLpmMVi+ZCKEErN/2lejElF8NqXEr+ad89oRuAlNprs4OsYP0wG53ohUBMEL32pUBTcZonznwXNwlQK9vHizxAsrCwkOL+JTL2UnG0yF8MYZ7rWEsdQa73LkUdFhp30UkBj0fBtCPb3mPDl1D69BtpPA0Cv1WbyqLjl3Rd3nSWfhtxAKfnLZ5WvKvgKhnT+8UNMD0AZicN9vKP83z30sjBKBmlVdtXyh6pPlhDT0G9lBL+fEZMB5l7Ixoj7ZrfUqnOpeYmBBEOVH5dPBnSDt6AOpJrJwD+25Cg9aBOcbQJcCCEDRz+0b5DlwR0u9ljOmdXYe0UOId7pKtRbshx3WxBcBh5dxPbXJQLoUVKDbOb12BZjuD1nrYxDEIM2YDc8PCkEOQgftEDpPZcoXZSJItsBndFvp0pSVKrhIFELGCvY/gO7xkTjbqYGatGjPGRBP/4GMR03X+MKBbuzcHLztzJ5fGZDqH4HvX+r4JV3hmSrgaXqr6+EQkU0zSFixMHGINYP7jg1EEc3AIoVSQrRITtHe+vZeg42BJYI5TGBx7zgwODfTWUBoD8+vyTGvO8DfOE4nSxhCfAN5Jh3gBCxYe5hhAt++Y20tA/gSj5uI89VIhUpN9oB0TWW4afIl1RVaqsArIraY1DIV+ygKV0KS+mU0VmhfTv2pe8HcDoa+iLSbX1BBi6EOfLwkXjILPTvk8RuDtYiifObC9LLE6U12ZBDsEkYKVh+nEorKDj6EM4SC2jUghCTfLXR8q+JMwrifKDzRYlsT7UhtpC7hAnGndXJ08BSzoezLRx4if1LZ3ZvS9a87nXKvZ6aP0IKog6HuKLkYYHjXt3pUR4vxTXxq6mWY8k4GYccVRbnO4kYhCbZyEk2HUNM/hPghVbAoMSM/g08+HFT4c49HA5TN2Gn8Stn2aQOXUHSZPcPbH+kALbQ0XDICgu+nAZVPjhdljZXkH6QWLp3Djd0kRpeGoW6YZaIptpmERwSTLy1HU28iNyJ9dR5TMMCByDno3Wq4GHzTRNXgRoRLUB/HyWEkr/FXIRONC5FK749Yia5kIjyesoozHE4N4NEroMazGeDw5zqwc4Im7gzF7wqvDeTkIDvVrcgwcQtOlmoH1nL/oLpDU5bCJP1+YDjfLafBT9bC9coJ/LZDWxTYqLH8DfGrxSG3x7awj59uEug4oaPoP1QERgOlV8Fioq6Maa74jJAltkiRYW+iGzxPSj7U+g4IF6iOLmbWZ6lRh4seD6cCR94bYl00iFsGG8veJ8Zaw6fh6o0x/QAbJuRuJUY1mynTt3kEK0/yb70hvJ1e8XB9msm94r4PzBZqV0LCyqiChY2RG9LYdouvaoStvk5iYB0jYRRf1cYggMG/c2zVjr4J/1JL7WuRpnY/ztlDudoqemQSHlPDetB+FUIq9CELIjBn9RnFrlrhlQ+mXCjdqn4Z5zhkVDdhvmcfqrDAnXiFwqJYtxkeFsqrFRFa2dGjUyaA0u3lFlwOv/VbvswHbL83PsGxfhwzsJyj38f8iw9GoDC4vFGHpx2siD2CGOYabH7KH7iz6HtiY+W7WhwnG0FJY3aoAgGZZJN2T+/emsCBZ0Tt3gI1z/H7/hyMDhfrCezrSJEvasc+6SFu/c/sTM79zne99J4Y7yxVggwEz90FB222Mdfd4xkC+gUxtAwkS57twUFF0b30Owiz+GlFc2JzRs4WafjoDW3KN7s+PKlV5pInmobXaUK06Q/xTzEcOWL8fzQA15Z6+dLVv5WsYPRZJm7hSxJn/s76DQrHYEgoUwgyKiv+U9eWGlulxlSBFHMPWl1waE7QH/5klpFij43YfVrDMnsdNKesR7EgYVye5mFDnqFnPXDKYyY3x9glYTZwNKwl5+kPAICIEttmE5E5qYDL+Y0omubFr/zgwOlEX9sgvZ81hMovVO5+xiYyPaly1gap7W0vHGvmKOXV21HTk07b6mGZL8WGs6+P5CX4/+xifRYs2wX3owr4UK09ZdPzJUeJdU4ElKE1TESfjP8jCK6QEDitTxoeUnPL7ldZPhprc4v8d4AheLWGjcf2Z5U6F4XSELLjUMt59Cjf2Wb7KfL1CUHRNaCaP8yT1fs4PUUrfmGenZ72BI3MwrLXTuuNj64JiWyNr3PxeFy26t6s1F3X57mooNz5XDw6RC++svfIPJ6slvOy9Riy+tnKpwxYtzZbmPj3CGXxLbIAvhXhGqOFQj5ntWsfMGGgPjl2xXmXAI6lilnobLWZFWWs/VMEhlpBXI2qrcdcvXyV6jSsm83z4SvPujGfMkJZnUm6JO34hyCGJ0/Asncfe8QORujI6XwxBaVfwBBhgAvh5LlhTqwR8uUn0HSgHamigVl3zRaXkcbWj2w1Cap6Ws6lmoUvQwa24iPd0qWg5WmwwbM2B+8uSRyPtk4PIWSWWL/Tbh/g86VpcoBDfKLfC1RCW7UsEk3zTdiBjUbDKMYihj0ZeSf0T6rmEQA9K89K0X1ZZbWcWaeY0vqA8ERx/ioEXwGi7EswZr+CbRtcgk5q8yNMH77f4ACF1VvrDCsZrvDMyzTomNUWBX8TVqdmoMAk9Lr8tFNGoFLQnarlB59UsHFlbiAq3nH8ooWPfofGJpNQaIrT+cTTUuK131lrAa32Co7Mq6wDgF1HoUBascHz+qw4RrjAU/fuP4G83/CMmedLOMrjyNKvDu9ZCnMLZoFJ9czDsyeG1f+92LKAMt45SFWWNoJSe5t2lQ7a6FXPthnZ4udh4t2qLNVVe13TDKVuw7OZIsiyBKFz1jdMzSjYGYcZwv7rSFTgC7Jknk2mfD3+O2jAJ3ksdU+worKwE/0geXXMl9lXSB/OJNe767DBk8Y0SBZz4GVi5acJ7TRfQqPCTafNR6T64LYU58dT3X+bCzoglSqOlr0e6d3Sppd5+dKxbcd3PT81JyU8s1t/C8OrJ0K3BPK1s5gYWMhvznaK/n1kg0mktmtl3BY+k1wr5+2HuaDiVRsmm554xFjn5mXDDkoo21vnRIjzMprxQTkMir7NGR0ZPgjZjK2kERGT9FUix0egLzOFydqxifyOFdCPKMk2CjzilLLP4cstO67vhOqsgqOmpURw9HkBJ+S492t6RW7SjlRw4C2Q8oGmHKPqxK8BSt4TSinZqf/3U+UFsJYboprokHXO/YxTEDNlQTWdIBjOhViqrEvbx/CughIm9+AKjsMUkuiz59qdMvsvhp7S0ZNS65+6j0cNpyxNGTrg0qm5aXbpYA/oaHyFxM/UnivlTo1ZoB54D3I1GFJyMQgnljQPVqLkYGCIpcduXGgEh2CEE66UhW7FxlLwmKkeZut0ippddLjUUqq/SVOT/9oSa+MierqvsZUakjHDpZ2lK57pN+TydIPg3kGnvz6/X+ayn8rIKqUzhlZJzAcF7iIjpqWgH3G8LmEL9TsZcZ7vn2Ppfwme32s+R0nPonTaF4iyUQBJiOKpw5R1vig79nNvOdq+wDCNIMMJrAxer4vPTuy0cfOZaAY5MIIito94W4v9U+5Yff95sDQAiGmctJOXeDuXWnw+UfYeaIdTJJIQNj99ttzzlZz9KcKv0Z4e4hPyoBLg43NdtthkgIT6pUhCnlcJvgKChlqP/8w22htux30jPBJop+pkI+r8j1XRdBF9z9McLfxScc0lznrYRZmsHZFgGXslVmwDMDmtC91mqqqy4K/j1dn7jWeY+zW4AcrxZSa2pTXHDA2L8nHYjLPI+3rIN1YZZGdmCSWjTpbELmW5lpns9nZsvJ4PtzKbsMa9HYvkMjyFI+EBxDkGjV8+iuxdRiY5Q4WVCx4fWkqb6VaGl27sGE0iO05c7+80W7O9f/CDruvslVwMX6/yPb8qpotCSM3RKrOcDL8phIwwZYdIMDNGPI8mln778pkLrICS3j2Ij04R5yeadbB9xt+wInY8SiKhOPaPq4/FE5BuuOyJCa4BaXYHY+3fHtQIrjT9owm9I0rNnAzxA5nVJdhlUxZOZqYjjfustG8YPdvffAQFu2L9/Gw+U2OWV1VF6GEWRtqLpPDqpQk02KcJrdTj1MMp21iTmWaRJ5to1n8Vg8bn+2xbb2RiZHZTGU/mJ+vkOcDuxJcagtJYqvOTVLFgn8D+x9+8w+WgUNGaZ2KxNIbh8eXvnnRVrMtochlDHCBJGiv1rOPPtdyQNSFKgPrh0iW/k/OCguFufFeGRA3Yq05D8hd4XJQAWN0dzVNcS3voik//b0Frmc+wmbj50S7rIZZuNOh51bQpIRiRo/YBnp5PBss/c44IPUd96u5yNy9xySCyuff6eQo88etDUg9Uz4q/S40u5BZ9MEvGMcBwZhMvSuYl/IXG2U6YlmCM9gbSi+UDw6FLaAoymVbhMHo4QMU2/RsJN+aKk3A0mqNF8a3PQfkas4e46vB0AF35h3uY1wm6/fJxq/BvKisYvwYpUm/059WK1h79wFipYC3Eo95sbwLjar7V4X5vceMd3K/vEs44zQYBgbDIiGJ2lFHwZqFP+v99bOhYArfAe2FVMBHgTQE07aIo2ndQE+sMZBQL8Z8CljmKV0HWB4EG7gBRsQe5GOmYJGi3nB7v7NsCtdzyNhDI8/1o8+7YiGDrXMWOmF95tgtz13dhUiTbEjUnDbH9Q/DwA+/PihrSU7ZVfwziGevjLF5mhPpLJa4YcvNxYvkjrtSLX+hPODUWjvFw/4snxvZ/3GHz2OarnbUxBRjc45fVh4P93+R/ROx1bAErrlfmvQytnWksoVoJYLBvWdimPLpGkysQnVJ1s4BLSd3rTpLJ+3r2FReibEQygxAyGthmPHzDRWWBCRE12xxE1vzXa4yMbcMHT1H3ywgJ04FOujN0zF0dde0l83O96b4v5gf3xMawS5CRkSz970ZgMMv1Az0LlrFiPVUlecUU9nFOYzdBAdjTTCu+93DPnOdqPkyh5wqqilSYXMzUvn1nacf9+JgNAWYog0ekI0jDEUsrTqjX5/W9iioea472O6Hyky73LQ5hCJcKaaEIKi/q6K+reuDUI2tuyD5SIBjZP+ZBLzuSojXUVsgYvJ+ZuxSqHOupkZB0HiiaIQ/bUUQWW2Cf9jLF5FsALbb/whiIKNtFjhQiilqRag/8ZSWNKpxhDXVK9RJM+oM8YKHLcZg2imGqmqHJ1K8NUgHfxSBLgYRa/7LnJrmLgTjSyewjv/xyRu+nx3siw/UB8ysmPFhUfaLuZ5GQ/E5Cs1HZkVhPsamItQF+8shA7fSdp3k5p9xhNkkiu5QrbHQ8iw1SpjBO48pFETBr9ET306yau3UbNaVC45FACyXaeTUaL2QeMwIjQMcxGoEpCXrOBCjHs1/pS+0WGxehGzgikBWpPUgfd0Ee6pZap8D4wWWLdN3/rIo39iUABMxDtCgTX4DPLkyGmMFhAGxIl4W0kkmh0aREEiabFFvm4vHG0QVk8WDEm+FapRMF87MEKIQ2KLUuzKScYrjsJL1OqJojVyZFKWu192E4+zYelIOPi3a4fr/vsZvb4/jdf17znlEZXjqKva4TxnRoiiGJvcq/GM6fTU+WRhoBjCZyqA1xs/wagxNi+FCVGMXz93SQx4h6mCRPMVWF2+RaKIMxaHGW9/eCjReB9txM2UofE1IRBDbtdIdR00qItdOtBj1SMigARJUhMkFnQZQpL6ocL1PBu+h/VJNh0mKsB4EX78EFx6e3lV4x07mXvPVxydn9uCLiON/BlTDm1WkDsgVgbt6KbDUZlJ4E58tSrqer/W+tyfn1LtusTrz5wi10AgT9G6NzBRb670MnYO92hbxgcYJo3qHhoUGTI18QgxDqgJYr6J8v3OHV4iZPFRdkxfk2X4X7kUeaim/dnk/yKx3DrJAUWbW3+SED9Ox6Qk95QeYVK6fxnkbZ9cUINeURJ6OXNTyUD3f2fl2TJdCd64793rscf3HjC159BsSRZ0UvZ9eg5KOpPhlR9DBbuGQfqsN07hbJ+R5NutSMu3pHGxaFgPB1vInK36wPu7mFxuBgIvCc66COQ/GTmgfZM9VEYSyvPU6Lgtc3a6hNZ40eCNHeuRja8sEn+F7xk9ILpEEKXKRxIDq6zDroWp7NcRlTDnVRxAWcMpWqvhYthFGTyD3gNB1xyLpOg3k3eLdhMK5Wp2AmLFzVkhA4pPzJQfAk5HIOMSbKiGE1rHio760NqZmsvMx90RC18VN1cTPfEOc7swG0cjyggZJQeCFBahnYpRYAVSje3IkCVc3YQtrqU0GgFYG6y18J6Qbbz25a+Nz0Ubz2HuqebtpUJaNAeWk1Hw3vb/9us2na/3Oy1+dce3ymP9kHNsaLsxzcwznV6ghyq35nDcxrqSI9/9AL0i15tS7UXV6ntDsPmZeTN1Owo8yTe+TcUzo/sYzUcnSQ3CIrVVq6U8EbteILOQx1L0xshQk1Y8bS+5u2Hmitb44JWG6FXLlS+z6ge/yY7eDn1qlxx+n0WP+IOHGB9OV/bijxyvOmxKK6Zu7FN5FRsvdeiLIUcu5htnb723jc8zTifKsIaUsSKU1/wZsVKE4bYhMZ/OXSyuGLC32DaMHXMSUkBpcO+L+YXxy5cbYru2lbAS3TLkNXBTt431E3PuL7mR6yQdCGnpBEgiPaYZIZm5SWsC+tsiyXWj8HEvdoc+wpsOj81Gptf6vjOoG5ew9ElfamTFdNHYjtPa2w+pDpHAT7iTOxAuO1raIff/6XClMUfvGf2T33EvJHTThOjeCuXIii5gNLXDbysrZxTRAyPUohMh75MVTMThT3ubY8ozsMd3ymYTawXwUTg1EZabjzyHUYkNauWebhiwBJdzGCe4Tgwt0jMIv2eC8FTXIiZIGezjBInwgUn9c2oUjNg+XBgLd5sctlUK07iE/bbvZWJMsVTdRBBGSwW6WVvVEJm4ggzsYrSHkEdEwUdLQ40wU2CAd/F+JZG/soGS6I6j8/kshivxl8i68AkEhJKemsZc9wNlge8q2nJtwjjP5+ox26gagBMY6BHfkmqVZMqAdAoJBV+Qo82T0NCoF8XXtxmdQRnixwLUnYaZh0HFd3pGBtNSoYratcEa6s5pSOjEsE+ftA/1vUvyPW2v7m2nKCM8FU9xk6UxJEgXRHghrJ5XZIZIq96SNPHtyKPmRiBcdDOkpmCzFTddTnqX1svgF10NMtC1/zCu2UAts5W9q8u0skbmB+hOFnhQbtk8sVZCp3VqNtjnphJ4dbC2JtrVJrUMKI4cOzl1iJ0ZUZ/KblDmxio3GCDKcEkjRrcN7zVo3uypCo+ecY6FIXB/GxSCZqYl4At3ThH7+KN8MK+W6DO3vlJWGfP4xI2uktpuXoAiF3TuJi+0Y8OLgOi4eST8Ce7b5ebwB3RPkgEX9r19HauDxCdCzhV1RsfRv4qkXI58wqg7yM9BxunPIzp6F5nYRv+liWj6/GFfaGmiDj/G50B/9QMYbKjcJKB5KQtrEYH+O1qsl9PCQrou7NyszypgYuMU+ax5od/ErK9dxWmaiHusoCssfrOPHzUhKqvTr9HcaBdBakCT0zNDmhgtZHTkEfXg8vC3J5sAxs1hIYyJcXJHJzKuoMYxsg3GwqwLyVudwF5hQNc2l6mHiSmIQLS+lhX2bXs2wBowlTc2iGh/SD0+e90d1jQRZcRw7dmfjoyWxQkICNXoxrtgpVMsVHeKATWp5MMKgdOb1J2TFz0pYhhgrLASqDyqNImGJ7+56pK3/vT/sjMne4N3SdrMh9PGbKkzHVg31PWSJfFIDBY+E+J0md6O6KA2jytNc2ce2uUoeqWD3M9IWstUqiNgw9CSmZMnsTphEEVa8u5g24OTVkSKUu9MWQ/Fv3uwHQUr+62wsrbq5A/YN68ISsdo6dKbknHDd5tpvKf31BNkZhE6Y0fVeEUiwGL+zFeOODrbgM18syadUPMtz9ZM3OJkPTpLEvUGs1pMdb4fNzp/H/T9lBvl9BZ9zo11ZXTWrP1YFT4aAXMPDG6weX7lymYgp7Lons3o7vGH6F7k4/unxzr0/6ug7wHQzHr3VkNujyNGEEE6fGVjEJadm8GZEFH8n+jFQmirNYU0Hb9XRlmrmIxXk+BkKcWLYgo8HZDZQT9LUlTZrfUwVL6p15viOGKKa8AaQhzBEofVial6k+bfx2xX347GUVPSuJrmCMViLE9cMtNmbojC6Ze2JwyBtEwTNLE8MWClUiPfiQEOrPu4UExcCAfrfpFsbt+t5FS9RleeSuwPvs4qPf/k5f7WivLpqJavSGgxcgeIwzafsQq8np4nYnAfGudJa4NF6ilELexTNOSDQ1Tq62M0aFghhJQBVUxgM4YKaBfuEj3Zi5BX1uX7cNWAUJvJw3caRmNNJn8fjhA0tDc19L0tcyfRh68N1Rdo6hBVJlW71S/fcpnQoqRCvfW8eIoTf1hC+401QF3swZtTeO0oQmzB3uMN/i6JFWIOOTXoIOvufCIJsBeWMlO2SJRWJjVvcrzD6vnn5zI/yPyNMmtv35qIS/Su2TYFsMbvUUgv80T0pgdSeBwn7hnAO8wGuXtMkl+qrNQVbxirEyUROxUJIYdcttFfthCGtOxG54Z/9bA+Vcr3mYVtXFfXFN8Nx978KX+mNHNHZ/FnNKfRYm0pl8bunLU2+TtuvMSbErQ01y7x0YAOfDj7Yi/Tm3wiHHU++v2+Q7uWboFv1+V0vZZG2s1HJF9fW2xHqjUeWtv4nt5SiEL0hynbe0z8QTf4YTLRrk5dESMj4VbNgoXTjdy1ZXUpvAxyDOXyCVPFFUxkP/BIyU+mbIWCG+PPi/+I8Nxh2aA/tNJ3IT6KVLo0+iyqnL6LpOxnnZhQKD0FTvhW/ewoDCOZpVdrayA7DCMU2HMlG9Zrj/ljsgObKXzL2qSLE15auICZzUe7UKFiRE9j3jg5mcebup5HahIZ6WfBRHdO7jx4OZVu8L9+VDSOZY/eCkotxTkeSn2OF6j2WScZadf8ZULWXZgFyl6uw66grwUXQ8+XEytCtnj+eSDRTnp3lEYIvwkSamMH2kpZidORdOOXn13hFIwoYH09A9vUcLXS5uYVFl6LRavWpJ++P3mpQnrP5RX/qHLOsCrN66wiXsCm/KSUpqLiufaRHnm/Agho6fYYB9mdgrTDfbK1YmpRnwnEeYwgAhuxXIISN38kQn2SrEgxSIxaBc4h5YOOm6WEE1t7omq3ba+8+6tw21U5rbN4XYz1eAHwNN8TbG7S77Zq4WrZ8bIev8blRNljt9D8tTL7btP4yrGa5R84t2pCgqNVShCyW7oITZRtEqqjj2Uf1eNfqA8MdREg5/GMz4fYKFzff3ATAuvgMudDw+aAW7uU8SqfJMb</x:t>
  </x:si>
  <x:si>
    <x:t>f9eihVpgXEUb7e4unXAXhWnxxfoNQ3oIWsemgu8OiRF+EzJK3qfa2ml6A+QCuDQn5gyEcmNgBCexx+zhZzwb5wL0HbLH4uDRmSpzUCKtBS902tLz/lrdSYZof3RhAHJd221q51ZPnzilJc7s6uZjHBCOuzBw/n4IASEFaA8JWWDZ6ygNwIT2D0HpPGVu8OJYlg2tsOt8/6/XJYkOl7nHGaPkeCQwKdGRoCWzIalPrYaxAeGww+rurOA78tFRiwO1oBSaRuk+l98Z/NcRWJ+CSFprgR1Px6IzFTwXrHnySH6msxLXZGCz58AXMsUgyIrki1CloqpSgMrZXwC0jJSHQSqwfmzXAJulsDM6i0TcBvHnXEoTQEEq0TGY6P+KBOG8CKEF7XwXAqVGLJW6t3wnrps1YeA0WDk00iH5m6Z6RG90Qbsmuwum/dgtQagJRgCoMiVkeW3/1HXv31EyQ7nzfkjYGmnjTz7WdVklNePLiYO/UV3jMeCb+NSo9hDbLb7MBF3IYZWVf7SUy6axthk2d4uoqPLP/H/v4r4nbsVgQMvqdrvMtT5IgR/m7+E1iExgbINy6CX4FKLfPjL0mfIg+Iklnj3MkVrBkyMuoO6VaRAxmgX/unoTJc6GTGmV6OzK/b2CsnJBb7d0kwuIq01ori6vPH7dAuwicYJ1qEc9G7EvcVS5D3MDTfsAB0d2yoa2A+EGeb1v7f9AQQzQGkjFUNhiH/pWT9wrvix0G17XzIk2Me/i4MgEQ9Dqycx2ZX9spE7RrPM24OoqByuGQKJENWRsMEMYI7GmPRZt3fCpkZRri2TIx9HD+g7tPptDQEnps5UOcWjqMmUZbpLl+HuXBM0gk98819jEZUYgTdFvCOQmFeY2zeN/5Oa8xgM30boggZAHBpihtn/tNmKapes/U0E+GnZrhDdNXnjcJOYfFNdeI9p/FZZ6YjfGW5IJTZRDZJ1KXvQ7kwczr4rlNiBwdaJKhe+pB09LnKiAZ59N0gLS9iDd0trC4MhoxTdeEeuLXF+a/dX5bMcbmJnKetrUetoYAvnMUF1H5OvfmAJ1LR/DCNXcma1oPwAtVtnnVDdus7SK+H0vQDOcdYR+Rud/FwnJAAN30/HT1KQ+59nWB/BASYuBjcYwqJ7T1ELGsZqLwKBVTkbLivf6N13MpSf6mfwMzi0VJuoirtmUdydBa0Q8TXc8aDMqMr1iBpqwdpICgUvXw2tDFNLyscqJb6da1O07DrU1F6YXFRlz7DXsqGSqOfiIiJakIa0FF84aIBB6t3XzOwULugDs3aVKapkqkrHWVN2+oDaeNhSWTHr1eSoLCzVdyCtM5c1Vfwav97Manzt7QtihZKN4EQ+AZaEZhk6bweeab+fJH8zzeMb+JyzRV79PF1nPcu2Zh1kMd4qtBfnD9GSE7Izi3v1jeWbemlu5xqRkoJCl7KI/GYWArB6mJcnsjNDAtTZimNmas1Kl08ct5MD5eV/chepG/1MmcAQ4plJ5C1CnuB1P09rEhOSOvhmFbwOhXoRJOkePtks1yGP2rmDBDghVl8lOVIBnHjKddGZiDzNprWzo+9XkwnJGn4o4DcWmgaU6SALolpAcWqwRo+Pj9aiQzo7gtX+XCtYZdN24NBFMuUgpmu79T5WlW0qIWNcKDp2wNuVUtqa1o19RtNwu5IiVCr9S2FWFhaCw/iAGgyKAOdXMj0w0RIooo/AngssCeUxdvdiSsVC1bUw6vby4Skt063My9c2ke8//y50DxjLKV50s02z9Ka0NqJzHFJ0NwenRuexaCYecFBQf8KQoHZcD5yCgyfTbExvqRnRUlQUp5ooym8ZCafmOSjJkrRyuBeCdnKaH6QICCvxby6qV/gCtioov+dNWGXnuoxCrVfe+uZY0JOnZ55ZJyMovHXa3ICrFIh1rrLjE7oCgAwEcmsYu8/EU8/N14S/W2FnuRUqFETK+kIlsg7rVoyVC/Gm2PZYKB7eJODDyFzxcyJLrxzexVFxcASi6Jp2yPQpCPcLTOECPTnTihyRmxox176QJ5dqa7GwVYv/Fq2SvPJJDM6F3Kw0MDfvs2XeRlaagUrhDTddMZqWcIDHBB1IdQ3dvtYKSBJFSa9GjFzRp9r6Fpgu9fVWvjgN6jNQqWxX7OxpW1MR9i2kGrVgWwdcmenM7f8OnqSYbSkxihIWZujuL1Uj3Od89O62Jiri3UjQ//elrAbotCe6bIJrOQatglofbnx0wkj7PaSLijGs7BnoECGAwc37dEJhL47y1Vs0zbMBAaOvLLCC+byhAthquDUEgKfPqJD5EIGk+Y8cux+9tjfJ8K6GDL4MSUcahJobRsBVOBwc0g+phA1Efk5gaz0OGgHKuR0N3dxan/qBQkmjjZYp7R+3/UP1pFRofbJD1nQwdNEcuyDIfAGurVRqmLwljMc95ppY4DMz+WM2ep45dLlSMoglQL4VA2BFNOvGjTZzB07htHp5MvbICSpGomMHYLHqLnTUc1s3dcF/3XSKqyNjeqNSbk12Jo2mEZyEOiIJUXS9CreQFtWqIAl8jKF50XPQrIayWXmI+qHSdm7U4H17i5uDEo264yQR6BJ6grIxsP/5O6x79mxSQmT5NMPIV/rybS8lhHt5umn7Qenn6gu/3e3eEe+UCMXqxr66Pr/dRjNMenm8QFuJl5lWL3aFul+hz65GuFChg5YvsHmLjNbXQhiAAqi/++xw6INQHYh4Mtd/QgFFwIFZZTLxcIKlXBt2LzwY+qNCAotIltpMUJQjwELTh9tUu9pKvXYfgTHmfJgy+wMBvzKKUE92tcaPQ5T5NFB1S7w/v9IKr10K7P4CpWRAWtkdDoqdXokri+fOgKzYmZwGAULyyEQHLtPWM8VSnonDu0WhWhpWLZMj6x+jgBYdiGQKLFcI3EOGSkOQWyBhHkDcSpNugl3Os5vJ+SjV22OMnaIJ2vTMu5mAlwv/1s1NchQcMmHFXMni5Y0Pe2cq2D+j4Lk7hl9u24aVU2gq0ncthMGVnO+VI4mxDFsMx26lRRu72POtje57m0+07o9EPFH/+kRy3ETYDePpJ0H2UmSb5A5UE+gVh5CfC+YRC5X+0rhhgUQY2T1XQF2s1XO3xwDoO9Qk2RYg1unjnPtB3jwE1oLl+LwcSMNPjV7rBDzFsb1znBjDGVdpVhNh617UJ8zVrgHEV5pefOwy0AEEfnqxtR/g9ENMAEub6kxqciN0sCHtls/THb7bmBxBFavy5bigYF9c2NnugpyaunkOr1fGvtJCgJurFXMMkMkGKrWTCrNs125KpPbSuEZX1+4mI0hYeAQQOiuQjepTQ2gS0FZaF3VYmE2CIS4OGzRPiPSOWTZMyps1lXoPrYgImIupUqa+sRkGxFzdmTgTb/fr2m+Gp2/XImLWua4IoCW0MLeAtfs94aP55O37lHnpf91MFhzPMM3+aemA/wpFasfaSoESbqkJPO9u8/r9ZTR2bPdRAqYXp3jl3n4r7w4FyU6PW9DdWwkWQBZzrdMBgkq9UFZETHe9zJSfNkNwy8zQLeOKn4i78KOZD+ARMvTghld5Z4Yu/BECYEYKNXH5mNThtrsAGwoXVL7CtausB0HgIVQFVhJDA7Gc1kcI6iAyU07tci26/s80NZ92jwlLAvIVWqeNzHzAivqHiYObPJZh08p2GZV7pnQo8tFgw5yRfq48Wd0EU2M6/RaGV9l7k7WxyCmfuqRV1KhEHg+B7+4clNwoKgdbUrHX4cFGO5PUZksyDQoL+Yi9nMBqKXIVjZT6AyoZ91LDzDiPRftW7SPePNxCQPti1AjRTOeXraCCUFQbSQKjHbQOxQdPPITaTFI/vBEwYyBt0yrakPyX8NrJkB2NXdTQiW4gGlZGHQVZstKX6RFFjHfDknKk95A/a46ZP1fMNcYWDb94jarbsLChgPQA5Aom6aVrxPVf254WfutBCn0FgyDp8Vza9jwkGALqIe7lzbrVHw9jYbN9BoF7sNQga1QQMJi3hPWhkamojNXAQtTnZ3mbx6SP2VACUxz2MNmusOQJoCQPsA8rdsIdKr5+QVDxLYZaauzk+U3/1OtsMzjYhJzRkX8sbb80eQ+YTBH/Ah3qdq1Eb8/q0VO8xZJ94kHSz7TsdySWytyAw59MBAVFHsrqvBdt+zQWM8RAy5LuW4v7x/6Hj25yXCvfOcyrBixlLAYVYfQitQKB9Di3gvzss2MjAyQg1cjSkSfdgOaWZ6qxsEszSzG4V8zYynQqo8E5PmAFeNTN0MUnE3+NaKTHNGsqheLLhMnm+jR40SbffFFM97q8HsDFfqYT2FEO0G8ADEy5g1gAOZxHNS/7qWLr8NPVJFcf3gSXaO1C1tJosUcmkf+ZYRl688osEIBv4fKyIEIjWm2fMkXz3ojT2ijTvw/kAJ3EsNhtEzmX37aUoUPAVSDD65vjJbLxM2G+bNhBjhETYCFO9bLwuQoA2yAPglnkYnwzYxE/BzMVUrkeMcuuRnXmVjospW9h0hPt+N9mGpm69mR2XCDNKPCKmUmyao2yJSmaB+ojfUTKHwWQ3WhD4Mb9Zny9kfOMZ0YfCVwtV2CGtbXk4Q8LBvY8iQbjnzVC7kfUyoZhNr6OugSwfhHLJ17BvW65c2yr/jXuRv/yrLx9F4KYs4L+mQlohR1XMTjdlMR79qejpovMCo4we5J49JIwaNHCanvuSaBFmNsAKdCuU4jz5UDpnfz8Bb7FQoIFoqylHUU2TE5BG21ulvRwue9MMQfz277fQNspm6spyxCzsg/r7oV1D2QmwTMtoX0k7H4R0xujArnOnia7GjjKI2ImNs4Q5IcNEGnGmYWbhRQsgdtoSbKje/6fFBJjk9h5uuuod5W2qgAxiHwBMZjvBXSaK/HINIoTza3t6DQorMhOzDa6FG4/PXN7nRLZUbisCcJJ7ykMIabTQfSfkX9XZl/o9ax1cy7qPjPPfSdCRjsGsMVigQaJC3BwOMHZVZPPEtFxMsO3Y3rv/Rv6dm1K9DNLtXzh+54khIPxnnsZSm0q2iV2AeKcSTb0MF/ni/CJIE4gZAiXX/kRmellvGLH/moA9ym2kwAwfZt3nDGpD6OXlw+rrvjmK9AOZ1xBhJ0TPqQgswJCUJiIjmQEHk9eRkgMXbkKkJaH3nR0yLfZ2kHCKtJSD5Jt5ZiZ4GJ2JrLTMI6vJxLM/DGblAbR1cYL/RGKSJ5QLdHjhIO/HyyU/NthDEFffJWRTiIvXePGvxtp8rSOll4WFdnc4aPL3IDK9ZLBL5PtTbQHEW8agfGo/OduEeLqfE4sllCSvoUkzUeaMaAsLwiU47n+/PwlHu9zpcvIeaCAgb/Ju4D6pj1xBT9Z7+bxpk8YihNbk/1uJTSf+z6fMD+nV54tORXOgFadlOKUysPR0F+20gDGOzRMp1uHR8POKQmWlREqZ/3uxhhoORjprOXc7FEhq6XQpNy+dSMqVLSzJoGup23JOvVrRwD66RROACIaP3P1Oybqlerp+H1OIW4RBamoWfbbGHFVovNItaHTEy3yx0Hfqi8gRSSg9Sv7ar4m94Ft7mk872JNtWleuMua1tt0LM795Sf3UzIsXorfLtXUXYDMlDE+UUTWI9kbmpTjnk2Cz97UjdJ+rdySo4H0wc/f1swk79wrwRAm/aGHJrwmWxegApjsn3P/iXaZ4+cdWiV1DxalvjOdAD2RZziOJzCUxh8GdrHMDJX5f6KQj2ZWQr/QZZauySFirK+g0xgHonlxKPwykR7OPMpLO9JxW+bFCIyr7rLed9X9tbSoGVIUXqxKL3UbSQyqn8i7MPYb58cwQ/PuHFkZVlVyNoG0ubhE8ImBJt4fGpl2DmY9tXFq2wqIZomK2NNq6RwHp/2/+cXXC2foIFYF1u6h5XcRHyU0Ype9sbufPFn0AufKwEaaRSNh4lUXfSa6mKxHQj1FNmZZH2Hx4RbmYhRdk/ouCkp4D8PoGPdbKFksiN8BI2RnBOicybdmCaGX0ZM6S8O9fNnB8Objck4xHUJiKO6RPC0xYN8+Evno9tK4y7zNk2tRGeJ3lJdNWAiAybzn5hATl37917ySllzLFgJPTFZ2P01lfEd4V0lYG92YJJOwNzPeJ00HBlp1mv6WlhwwgCsiqnYUFalKKNdboBrGMTSkhxpqcIO8JoLsCIcGcbHyyFDRe+tQdC6/w6HOxjQMtZNgEIS6lfHnm3RIa6iIHZLUgvuVfWU1fUtAGTs9/epNvJmMuFI4B3tJ7hAABNoPqm+SNHA4lii+A3dnIOsyGkyds0WBTmLab2hN42kv2+D4tkQLVBm/wdqoGPMQr3xyJKLEyJARPutVESNDWGA7UEL/Xf23/MdGDYmKb5tWhjUusUA4gOQqIhNmyItq1f2N3ZlX8X9FvxSnltrtBUVlMxVfURzvz5brVrMpTLcprunluyrj9QYmOxAmzFRsBeEffOA4VsdWOvSsQOwzUM5084JliqbwagSN9qz2Q+c/w8xUjlRwQWFZnsbyUXo4BHhjeMmMXYDNaMvNp3b7hL05HnP+K2O/PZOOKe9a6QzPJs1nEIMbuQ+pXZXKLj3Rf1J6ED/LbUYrK6x08KWYNfXmojy4Lw7nN5u1xkzLsGEMQkHC5omleIxPAkacOnAkrCH/xh7FxMtv2bMCsSHPWFb37N5ArFISiQUetFbnZ8YkaMxXlElUiZOMMWv7ZuFJRXbRlIakuZrR0SjlWbRG3TMCoCcR862dajjE/n9ara+XQIQjxePi3Ym4fv9ENzbT4qR3Z1K3Q+e2+0cw7wO0D+krn938GGl/ShErAgKkwwX0CLR6ceUQ6fdag3piPySOaq87dwz5hZ66PhIGdCA2VEoR88HzFTpSFInRll0bodKFRV/fuT3NVgJgDEIpmBcoIcASEGwIkL+NNCYheZOYOqJWNNkSHy6kRKE+5wHHvfgavtT2afpx0W8FowdSeix9COdXGylZC8/TcsbyWaNRlf85wJmabBcAmjT44fbqVWd5ButWl/E2T5L0Eumv+43mtNB5k8WQpd/Q4VZCk1SOShYmanKxSkssDxvslk8ULqDmdGtXZyfLVOeTlkfOGLtP9bMr8pxNZVdcQdRJ28yJgRG5FG//WZUH84grX3M3B7vpe9EUuWvQ77Cwj2/LFhSW/jZsWpfXTRbFWgAGOszLQVXR0tKlqDFl12EEM0Hbad0uOpZZXlnLChF7Bv+auqJcY3G4Ptwnr5IhuTvbG8M/IkUC+NHCJqRVrrSHlbJnMASf5YLj9iWnNFqUSTXqxAroG0g3GyFMX3OapgM4vMAPR3XQC6v9tcuHwQaSagKk9uJccoIgMo+qDtYXxGz42lJv51Ne6pzcPZ1ISCAeCPhWTATA4XM3TIy1OwbL5cgARJ37cQ5TrnNTEplm0H+Mnkn2h5IZuXF3n5swLozq6psmRbjJZh9UlnzTtk3ANVn7v0+S5IQv6+lHecQvd+7bibxsD8v/KKvfmCARUjzUMWzKb5EUzgnICLi84oF54nIdTdR+xAx00tpMNe2f2yoOyDgS1CNuvltyrUhHbcJasXxVXoMOk8UqIqj0DLydtxyseV8MppgyDSuqJFve/H2kx++Gcqaox5fijxM8QkEYVUMo3zuJtAVemMZV/JxuMpQ0/4Nsh2F+pPB0QvBn6AG3if/teVruxLE+wxzMrxC4LUsRo0Zu5QYDgpqTsXhgFsulUdsagkWZAgy0+E7/CbCcl+sRt22GNcEGcMnYyGSn8Qo18woo1uFvkGwMfjpDZ3sjdNkGbYQMuVlJO0AdH7btGYDXpT/R4sJo8CpdbKg6ptQbPRuM/zn08AwQz7YYksc1aj1MOUFHajX7XBDdRtMf6T+q+HSrxUv6ZnlHNIGdJg/udc3qEZkS0VPqEtxrQSlF4TigKuy9rdRiU1GUrWRrn6xBQh8LyjGURwEpQH/u7Mdk6GIhda6T3IGJPwa49kzcJKOQV7jmtHcnUKHeef2K8+GeGyFIKMUOfElih0Bdnm80dbOh5OHvhyU64LdElz6oY0A+XvPE/PLUpFjkHWEKSaiiutytMn3lpbYqlUBv949+m7NIVH4LFeSwyB2orbt44Rl29Jzhm/CE2FLOtZOtdtuzNuYi18PHdW1OwBFOI8MPQLxR0VMon2enQWE8WKMZ+o50rEWGvf6h0zi5Td6DZema0D9E5npsvLAZv1DwCTYoANXCL4JKLAwes9IU6ns6/6tQdsASn+igqrwuiSGVPDA2960u2ygTwyhJh9Mu8c19DL27d2W9U09ouwCr+C3+FKLbO5U5Nmi7Zo8I/cn0vO2UHxFF6d98/TqqPjlZayddiL1GPVgaaXaJX4aeOctg0i6J46mu3rLHn7tz/ZJggikTwy4ceerL47hGDI03KYSkOBwfnuZvfbscxwpcnB8bxqGsjB/+Z1zFDZggIPu/rWSYSjeeuPQ6CLpFN1MaV7WsOl4mAOICqd6ApaLru1edA03nToGQRiWVjR2hASBzqMSMWZYxwwwBYbFix0iG4fjdvoNNMNNgquO+WGIwUUUB80mJtTO+tdP7AAD62c3VINlFcP9slYpKWx/ePom2fzAO9l/bW6mEOf/WXwMFU99j1CymE/yuC25oVJ7v639ksH+/aT1H2q7/iO+qIr9rAZsq24Dk1XxNgj5XO6URQlwzckMJ6YUl/33n7/8pStSsVTADB8mFI42sM3nbPSM2dnAo2dzkRyds0BeOL93HF6hSAfYGSyCk1DO7btmUg37gELRE7abv08+fIXrWkGq36pykEBQLAs3TAjQi9WJqjBmygzqH4vlif2G4/rc3NxPLjcilcWGXmy0H5WQetL1og73bE8s08dW0OeygFzzBaozsn5+H335QKFQO0W8/kenxhHXydmhkFrBbMdjjf5dEvIbU6MFBfFZFr1e6XGNHoDDE8A2gT0hX49vjqauTdmTVz49ow1/CzHFWX+WZrvC0nvJ/ZT0BPx5qGVdlspW/yohDYDw/aEI/XQcJxvIx19a7ePeYcDB8rlQRHCobNUdvcjzjwyFybCNPYgGM8kGkOv8USCrbwnLXJNmiHDEP6fOaD5m4f9H25kdI1aHqNJnr7TvCpk9+6K9vEzG1fefTtKzpdKZmWmANYEAHNxpK2+MReZYAWTUMHJxCCAegSVne9xEHwzLUzy1QL1nrJG0jQk01JRN40kCzw9ZPm/igxnkQzjbhoLJzC5DnOROSrzGxoj2o2bNuz9WdXulE0DgBvE78lQbhTFFVgQKDsvUPIE5TkeXg4xRsuuGmojcTPVEcYEmvoszXodTpyNOhPM9J7NV7szJ14DUX6zudv9Z9viYr7YIZGXm1tOE+uGrpEXzkNwMxBSHkb0bzMn/oOLhYUXomUWwW1h5g9nzEwIhBEOVDmaRrEAr1o0jefTbuGnZLTVaaBFL4qZW9xH+oSvdLKL/aYHkRMDeRT2YTVnqEcDhbXVeZBIJCgZDuYXAB83L+90RlYMcLySc1yfYVYGkAb8rU2vUBuc4/e2Fyyk/Lc18lfvEdQgiCDCHU8r+CRmIlZ33kmA6HWPeihUW66t7BBC6BUS893oa9Ejx9iycn+m2Z2OunKJexu9Uw8s+0g89PLhdncuVlWHVUduo/wnDcRdYC3Nn6877R7C8eHGEw+IIQxm1WPROZP74vUZW3nyTsMadQs4SuVFy88fEnmbBqtT2cmdryazqDzm+QtOo4byAnibt4WaYMVq8Dpaugx1QfN8R9fc3a6JR4tBKa/OnNdtwdq1PwMsxk3rKYhEp52FSgiltWNPu5Bh4JKDZfuJ/cjF/Ur7O5ByZFXrmmjJPgNmp6rITwpX4gAfT1B0GXSyF6rVSRO267i0IPXq4tF0G7F5o7nmaFcsVhXcBt1FXyKL5qkC9QzryVBdf7O9hwaLuEQjWx1KWvsVFyJlM2+FFKy4lo6CjVWry0HguwLmtD2919FZv3WAGIFgnjMypS1+wSphfTbNzGCRwWL7E2Usbz4e0rOnB5QHmu/+OWpXhPMzWCw7r1KHoTEle1Pv9mzvjgVymebhuYhxBHmtdW20cv62f6D5ACP9Rk2pNAASqf8stRlAb/f5DiNl2/3q4rqjgyXReHECJdwOv7a+u2GihouBRxsLxIDntObKf0VDfiaTZj3e8YmXqaIOC1NUkZgEHc9xvCttqpFfsd1/Z4k1IvxsAJ5MYkH28hIVPm67UOMLEVw0Khv+XfvTSWfYQhSgbhly7h+J+6kXmmVpTkQkUKk8KR2dqI6++g1hS+crXspyBjrdwDEud35U11+/0zUdVFduBln7iO8if6QdlB1Zj/k1yNwkTpgMs1iLbo0AcyGozoctcsQGgogChDJcw56rBTyM+qcG+GrTq+0HnnJLBA2f+YtK86cpKCwL9D1M1Il2qWPUEt+G5AM5PUemsFDMbs1bLen0d7H0OKoNqmfdba2mkFxrK/QkRpADlSnn42mkmH73PCdwY9YiPVY0g251hXVbRpGx+jClLcO5/FG/NCpdm+NhjajUljCLY/s/Cf4zghpqDNwNyoNKAbl1k+SKqbrqq1KNIBFAR/wxCqt6dbOX2Uy0pnss13Xf2onaWZwrzN/eCZyvltY536u9lQu7PERnCt6xa30YNCLFnDbGGKLI4D9cNHx8GA2r0b28FRGkctOFjiWzVAHOb6CtEG/hcl5HhwMq/uYlFiXhhLoL+m/IbIN6IpcuLkoamaiShts4xndD+mdmHUgk6BTjDkwaUyPr/eD7f+8akLa22Bpng0ulUGhJpwTR51uREHftCeO96UsMIFD9XZIb9MTRQ1eHGxBzZIxvDYroLR4W/uzgF0UwEfGa/7zSKDUfsjIoFVI/hSU9TcRYfjo9r4HbnwWjgr4lVH5n2O3bRPa8MkOH3LPXlhoWoHr0YK4Oqc8MwZUw/fYmran8ve5MS5Vme55N8fjl+Hf8DT7RUZ7xZbA/64XVbYwW/Z3QGKZhiw21/IMr+e8JKA+ifBztUDrBhl+rLYqBiRwSNhm32i0grQUfiPyUmWcXxHCXHNF1vPfTX78BxmDA4cARhBB75iELZWTFu21NpExClkbLq4MYFmvlN7lW2I+lEpI/SaiJzUVpqdE/IeXlE5ZUPeBkjtm/GukxwepCctSlAZ4iO/aSKZmaFQaRDt16fFkROQu2bGFEY+X8yQPdWWxW4SsG8DV9caYuSfhoI34wWZfvlJhwEePGtTxQrTO9NDGh+FZpIRfODABHsRnJGdDIPq1jgN1l5hQWEmMyXKYzC8HGoN2F/c5W3GFH5FB8MMhr2o1r4YehxZK50Z+KAi+hGTAANlWfbslQ8Scde9CCkcizJw0WjL0q9HczSzQvgp0bTGfbUkH4Kj1oLEaAlrMxauQreMwWVcDAZMFyF0f+L3kABgac7LwCYsJrgbfmuLpt6H3LIkh7SRR9c0VHtiizYXuscRrLoB6wSOvb+948joUr0KFOmMSoVX1jCVCkabi+yRo7yv/nesYHE2Vpp2PmPN1+0ysJmC7MKOgNF/iRypq0LVmw+qiunE49Lp4Q63nfVOhThos1l0ottMhOtGWzj2Gan5WpCpya/666TdCQTU4PbwG3if7AnPRm2oq/s70Pvy1puIUkoGWdEWy2K34+FhWRMLRnFhkvu7BtGQAv3pVIK92/a+nsTS/BSCLwwsCC2GoHormgk+10sU+xg9zUYooOCr8+VdnGSTjcG64jpEwMpZ1cq95zvCp2FdnKQ3ZAhXzesauBYuD33RVBopi1rk5BujSA496hLVlz6ggWhKzyqHz5Ghn23C09/rlefySMSt88QMVhIaVAPwWnbg9MN70qce2JcEXJwWy9mzTAW2DtfvPi4h3PbrA7PoWSUnYSEfSBYbAweMdGF4lTn8q9GOBHCldOCJUkqHp3omWnhneRbt5vA16hZQk7Wee6QZ1mKHdm1OWDJzGqHzKtLdUZcOR7HNMtXWdpQhRuQoIUb2duaLkpDOX7MWN78FX9oPxdQEszgNhHg9pw7sw/4DYWB8ftnuB6Uz2rJYK0GDbYgRohdZ6+0pBkZicVEJ8E2/9RkJQ8bfwfrPJeTcfBBQiizQ5IWG9/mQadAIafAXpnpWOVfTAHjweqfQ51UY8+pB+McQxlS4o6gEWqjdM/mByl84Aw/i0alQIe8FjlYvsxIhIMQy4tCY5VxfeHSKvCG7kNGC1j7I4VByU6YdIiBJWjsEqPuqEM6WM/OpKmuGHQXS+UbSXnL0C2/ZhbDlqjxRdJESmIwKBqQ+aGd4QUmCcVwQXTLwhp9iXj4YF+LRRxn0RormutJIG+kABxyZxqiEt7d9ZWsr38ssYhPEm27S5Lg9oKVI9uPQKw/nIztEgykAD8/Ah7wNXM09N0muYTADWkVoJJtgNwVsThV25WJ5yTiSQCRu960IEQ9VLmFFGjs4U2pg13ino9oWXvnSBOkEXT+bJ1aytPIUeL58qLEmBSVpGww8Lcu7ykCLfhWIw2gg1gN94R+Fr5e+iVyZaWTC3FsLpuGf8Jg7LHy/CEhWfMEq8Avz8MmSRfQhgzKrMu85TVBS24+1ZYXNLwYkzOa3Ht46eLbCHZamDLp4zEdpjnyKNLZoCxLncLO/t8kcd+M/QIRAJ6vAJ0l2O5dBQr9CCTTgfUiRnfY2leZW/ACiXfbGhEbPRZbWwnHPzzrbix5L2QNWYujqAhzrxlrIRVk4la26ZCTLsuWC9/1KYpVFVGqxE9REYSRdudXH/oB9j1SYN9XR2rrSdBP/0wCDtaAnx+UpxTrMfGxPbFk8eJJmbFPG6Ked6hB/VOcUudaJVMkp7lAP7VKjF8Iuuz0o/1cE9r+DFFPeQvtRzcjWnKx9Fhol5XPp3toozg7VzWxSocT8T5RtK6x4dB29jhUeNztvmI8Z783YxKN0BCU3NPcL64vDLxmvvew5a+Ct3xcyc+6hIqjAwLWiJmeQC9ptoW9P8zcZ48s/edDlxG64JhNMUpENabIl7A2krA/zrhD7iMUAxGJZBHc7b3frMuwJpZUNnsGP8HVz9V+Q+Qp64O1264VlQHQR1jwWSXqG7TJ4/oRlEhdifWQlOZxcpUxw/0v7L2Aq12CzdHRrw0CyX5gFcquHeU02xSEDzrqYyh6IJQOlzXwk8+/BTQRsY0R+s9WScq2jR/GFKsH8guYj8plQxv5Rf/NUBd0IDNQJ2wYcYrkUs5qkF0guEne10AY/pH1lklgelq3Zcd3oSd8+K7GH+JP5ow2Hlejksh489Zd5dpE67ce5fjwE+KPWVo91WBZvMQsp4n0KmVovlMPC3FCzeIQ331gqicusYu4qS+iKGRNUpesPxsuw1XaYJO6VdkOlV9RPGuR92UeuNA35vbHzF18eE8abZ3TXFpmAzoW//uQ0fVt04Hwb0H819qXPkgDolPMB/GBEMk0zOEpU0vtf3pfGxnDWx6xyKFaK3Z+68Ba+2uEdTD1XnBnyQSiIx+Pe4NNiaxgD/5+ZUwdThc1SulyU30ghuMbs6qnhJGPr/ohHcVJHOx6Stw2YBE/2OZsnWRamLM+ALPOWsPGGmABVRb9GSW0wl8l4nlJg8D8ln0T8vDRzIWguaNcsLpskOsduJwMSqjpp3i4i/QFkllg6Jr1q7huhx6ZZSX4NUNoOF/7QQpvTVQtKNJ+Zvvpv90OBsQVLm/O4cyYad9/9dvx5Ea2Y+dBt0/vkAcBSkanIbATfKjQofZnTXITVz3teCtHAtCjQvB33+er1E/4LgLJkTwsC1n9zPTkKKL2nHWCaGwFJsMloQniXwbxPcKseRR/BdLpjESHztx8ipEWsrnKMR7d8EeEc4tXehiDxoj0jTro1EOMwe8/AJT2GlCJHRxv2qfozZETfYIROMG+qM6ahdx3+pD2jH5/L7Cax7M6h+kn0MsZTg8O+1zmwBCFZOtn0RhtUs70weg+XiMPdsSYDC9ddaRey0+prE/rW/rBWbKxCrsoCxBYP++7ua8GqZLndw5npQGuUMYbM3zZgyEPSn+Jq0NGWTVotfgXcTezJMwBfLt14giHnh5I7VmUtwmeVhgZEMaaHeW0iSr14tNcseSTBVfrw0BlJriMSoegeAVFWQTwRDdjh937hE7/FBwsYgteBHEtL/F25GztOW2+8qn2WsJeoUgrzOPaa0aYJFp5CbjQ3i3HpyN7OCLsmSdFMNC4uyQFWnpeEoLHFEsUb+kHZqv6aLSvdYrwjr0lfEE2vDXObpj2n8OJuEsVhNDMwvjf6m85X8dlzo/6GFZ6izmzEm0mHpPDxSMkIaux93G0TkBjgrY5q1b8M5YczM5ZBZZLjExzy/iHJQP+9fdus/9pvVfmcX9S5zw/81392JFUfEkVH1dy5PGekGkkGEsGSgjDXJrmZr/i7JQEot09I+KZWDfcXheJZmsD1+G7YqcBZrfjKbxdDNAX4QHACPnXio1X1Ca5OHmfQO+pl76pwB+QBrXnEXfQ+aJAywiXAGKff881lD40OViXPbQRWoyXmKCBI1Xz7FKAwGgcO2tjw6uGEBTXvlYiqUAHCgzE7FOMZPxYdFN/52m1dOqHVBpTD1SG3GNoNH0j4vUekPkPPQwBecnG2c8pnGJhn1LLcRQC/0FOOskDXauu8y4FXrjcMxtIa9nJ/6+tvyXOFJ6YLne4r4wYWxdxAsy5CTs3TJdNq1bPcECX6MsFogB3pEUMtQ4GGXLNB6m2hEiIE+qcH5gj4GTZ66ve3hcsI3pJgbPyjt1PUkyAgc+1fgekqfUHLzVtEswE0b/fnTmP3PbA1Hc9gJA8vHTZ+HihZzmScLqOfzkjIa5n796O3OU6uFkbHLvf9jaTP0+d4hjwh/J5a2/xJyxNZbVtr4s6k/y4sc8gh7njzQhyQ9FLyG8rGd1OnFc4oKsvhPRzmyhP55nRTZbNLRutMMHFUueTbLM6deQXgNl8OpRXnGwW++gJUTuGCGJ14bR66VAVxS84dk1fu0Wv7WdbZ7zkXXq9ZIAwBvdE2/EuBsP3dcyOSUuhMBwEDsxyWDe+t/gwO75eTyF9ggHAX1ChNxyU7Awxscyrwtuwf3TViTZjMjQr99JjHNXzBrPHWZsV0bXuiLG2Bgw+9Qx2DqbmhCSdvGK/AAaluCOUxn9nYjNA449+fXfmgYxYh7hR/SF9VxVHUn1EHqx7ehMXAK2WJQrTWGPPa8itqRmHKSXaIAnzaERIPg8jl1O/qc4mbDMcOz2AN22gBnv5OUze+0pVTyvPXO1Z7neYLjA7rRPC07/Ixyz5Nh185lfpvgcN0pgAemBDk17+nmr6jtr53pMnTdESWGtmDBFZGp71LU5vK0MSJ+xAGSxDTaWISXgVEC6deG9SACEhF0T3V6vI2YWIpuQLAM2jqAEeWTnV0ZCwf7QKop+Joo4WjaHGQNieVXWDpiqFg6ktnqG2ODi+XY3FhZkYk48TGa0RDImjinUusDb/laegRMqt+u1lIRMTN+imdVzRy16c2fIfbUyr5wXA0YOD35rogZsKleSXc973veeshzBqttV50ujIFE9c/cPyR+uCbL7n15/ucIfuju3MKhBgd0KqK7GliIBfoZtymLkRpGSmrVditw+e9JIOPwqzB6HD6g/zwZgUPZ0YW4/5h0mXsDhoKvMZbxVp6LPdukFj6zqG7CGvDk9WlwQ0XDmTjAcVuXYdSz7jm7H2otGBDur65VLS39lyIuPkT31orsIcEL29IbEod9X+QLQZlsfbTkzVI7mAsnuvQfrcte5G+4daSMen44khJ3r1hL/Miop19Wc5JyQF2fT81serLed+Zzsf+n4TZoaZbXon4iCy6MYOYh1UZ2Ki0J3tXvrEdEEKLC0d5RcvbXWcp+yuV3XXCs7IgSVcVde7xj5AXacCTK8T8Vvw/1IS5SJn0+yE9Yl6osTl/73RYoFiqa+k/K5//lu4vuFRiiCQ/lU1qhEI1GZfrB03bdf2wrm6cg+tdfLNcLr3whzH4ZOjERdPHwSRgQeefAHAAjqtMlqTfOTXipEJKl4zqVZ4Bp6nzXc5Z+kx0oVFP9GlKPLJ8mWWalyk4L2fDhRs9omgEl/tfKkoqxRpIaiz/ZTpvrGKSQkQy8xfix1IOVdfsp1H3vS1J8u3T7echkXShXuPNrxqobQnVACzf8X2rYbbqOVQ6HNFXCIqucNXAWZHOsSEh5GhfngkSYOKRkoDVDkZeHatpqJvW3BEjQynhwEATHAFUFvYykphlk2f3JQbs9iX8VaEQGE917XAe+TggAv8xi/ZaiMrQI3ZmQbcymoxG7MXY4/tSv1UGCv/as1bxgq68ZUTxPgqnEsLIHZs2s0T01ZqUtpDxPRbo80DyHRH2CBg4OlQrpSdArSWJ15iFerbpJ2yHjzql2DfATh6NuEyvKx+jZt9lOb8PAjYnQ83Aqmzm/idXvpgcu2Zy4+8cJiHZt//68MzxS58ix6zlK4a4V9fg+rZ7Rz82lD9j2D22qaK4nnjcYczNEtLq3mwwNw1SDVSbwFiDZrxd5rtavxApCNkS4ifeUlaDOtaPZK/1GTPMDU34rbmqcWmnT5sZL/167rh+d84UukDVqpI50JU9bwu6LJp0s21QzUtMTQ5kejyKk7GXyxCNLpURGOF0ru73S45IdXD+sYh8pthfEzuNBbqdWPb4K765/7j9/NHm1CvzduHKZD58V5FjIMMc5IkGcpRcsCL7UpvpqTVfk0vE2CAZ/NfzVy/Ny7kgHai0pngwMB18OEyNBq4NG8xAKHzS4sLImgNHXLhoedt4HJwgLM2iBrxnhuN2WA2i+tlo1LCzwtRXO1XgImfP7LBHNMyqZumILGSZkVVMA5l0rSTdd2XaeNrGDvmc+hVhVpxapOtb4XbypQ0soWKA9muc4Op5VP3IrH6DvP0YoEICrNH381V7x/jr/X7JzEtjUfYphyWNWlADy0P5UotEPlGNbkVXqRlUwpBFJ0HCShSFYUCHRnOI+Tx2t526zlzy1N4dyKyOAS9Q+xT5SVy42BaqkZs4atgEZVM8fJl5PrTO2oAvT6UeOomKzDP/d0aHnt0LmqFXPN6g3v7upHBwcTMPalOJ4PigjJtITeZD2qkb3I0HbRxG6ycTPqyz9SkkdeG1BIhI7+tzaqtMEMXi11jjv2Mx5KzfB4R6g8k0GhC7A/hf7JsF4roPy/bhsRD12NWW0KlF9xEUjq9y346hwP/RY2DR2dI7DMn2+2tUaW+1z9ZbCKg7b/F+soIJRbbC5DHqu0BX983rlT/PMvC7BWGIT1QHUpDw1g1PyuOo4lpk41M8z0XK73vix7fSupGUmyOpaLoDLc1h/SfHj+O2WEzvxYoc7mzzc0RkS/gXW4ewTHKKC2ofRM7tSEpgaJK8vAfnObUjiARZoykntltnFuKxE656DPxxSZnpjnl+33fHtyNN32XTWacUqd7Mseopzvv9P4q+k8RYyod/CqxcxDaxZS290M+PjPnh4+Iw9/6kzgoOp3KJO0Qkx6EhFfpLdMgRZ64VvDkIGR3cgMnsWi2DjKroVJawKxfhUZ4Dj0WDA0aPp1Q2YEyM4+XMBsKUUaUD1dkTYhr8j4gU6pJgVK0FxyKW8jx6/vGWLP9ckOrMykrJ0gbWouYgZrJeeV2zQp353bYh2yRbZduLog67/YrwF93MAsezPy6kS7idMXTN1AL8rXBCvujgAbHP8Fv74M3/V6NrNtjMSg+kScKBfOwcXK6ACqC8X2S2SNqO34bSaKOvwoqdVNXQ3RefZvuUwqlsayvrX3WsKUSkC+cl818dx9JOR0nNgfGBxu38yC3xdXQvHq7YmMXa/QpEIMgTomCsdcxyppGnUiFypeZ/3CAL4QIfQCO2/85+5pbfG8ckVZxD3kdbIwkLJgKtCuyHlck/84Mz5+TkvWZYnhK4ejXYMkcyTa6UmkgMK/deIt/iJXh1x71s0qYsotgGKyoJIhiHlIw5mG0BPs1RjZWQK0vX53uKMYpXMSJZt16dup6PWyd03r3tyNMlVTEGuSxP2VALt7DMETdXLJ3XV9IzIb6e5LWeGtbaMr6EK6dEIAENa+uWXc8Dr4xygLfSgttZXHbVoQwX7lG4MMhXlkgfmtudSnsZNvp9qqY9mGHohGxB2p0Bt+ZZYiDbMWubru4ecRujjcgmOVruB55RnG7FoPPEdxK7A0wyvXaw38mgGEYwwjSFQ7RnnvgUyfa/YR2ZguWhzgwzWadBYWVdpMECUhLslzwo0rRSKEXsTun8Ci8YlyQ6++NMmG6UUlEd9H6IBujS9FGmVtDNBfhAEyZhTrWkrO7CE4XJvXMb79OzWOHbJKiO/gSkh7QLjtKX4MU6bFhNQiOWcQEouCNECU/BvZ++QV08qFkcde2UB8s8ny6t65GRj1GubwRETdYsVvAwime7S+j0L5+8g/zMriOFETROtzmIrtPE9kG03cA/9dW7PzynBJ4HyrvypFmNlrOqhsv650TA9e2JZpo3XDnsQ9TvD7r6ATNtdZJ35mSHTLsogXErGSNaTqtjs/+bjOnWL1oGB1kiBidSUuSVIuo5Lg9qqpDxVStVomoVtpdBHbc4zI3I906OMomCXkRcyVQvGV6sIRdt0/HFwE2H3AXU0BYH0n8K0HyrE9FQGBY44AhDgrTXSONCEvTtOO3/d68zC7XjRNb4YfavT5ERMKXRdOCiwwolnam2Kvfdrdd5P2jlIV+XClRjfy1YHS/hre/YPS6sHm41pyROhpQBFb6iIQszhjUuGYwBepu6fB4Y0y7o1lHJG7dvmLZE3iV80vYrGRuK5lGzDy/KvruWv1RwDd6t6+fbU/Mi0AcJeLCKl0S0ob87ms6mLP50kTE0eZJVBCQVm9Ol+UkVYmeWZPURXify1d8o3e5mUgg3rnSFs+LAC/KCweS+o8TPtJywwummjU+mbfqTgHdZlqPGbWOMkPKehoAWStgEkTB/QRyhjB+Pp4cJK3iPEhDUtHO3tYTmApneU6hwkF+/AK2Zx4A7GQ6vxZgfjeLp2A2t74q+TRVxF8N2i7gUu5xadAHwpC7N9UwPz++hHO4XHddrJoQhh4kp5tZXBrdKiCSWyb1+ZUmqEHWM6E5uVxrD0mI9kHAfg2W/rdq2aQgU2xi2C7UDwCn8wmh55//xXN1iVk300IloX7l6xwnFwoAqyxA2h64PVSMgNAx1A+JKMB+ipnmTPEMn/AlfwM78Rl2bwe8U/+60qrfjhrSNmKKkyQT+/rThhQBYRXMGyU/qfoPdkoavhLPF1/p5lCKur2T3dWeUcdI0ILQc3Gx7AFgbcYkiBWYr7UE3bKWAl/ug+EWiNlA9eGEye+amwbCXOgVdza6T0xBuk/LzMNWbWKG88+aE2u8brP2sIhR2WmZ+Cc3gOQW4XNOpzXtApKvpzGMpUWOGx55je7Phxl0RDZv+rp1R6IB9e/ft30Cr8K7uqrIEx4LOeR3usRU89vS5xcE/fFLwSXSnlL55VHP8KoM8aQVJWct9yW1G6YvKFh4Px/XjjyMVkOrxB1nxaznwf4OfBsdOXbFlv2kT/aJWjuCLb9gO61yD0FpH7UPzq6noeR7JCUXzdAZ81T3cpCa/Z+7nqAEpK1vJOSX3gbHC85LBBQdAXY8VRlY3wcCuoqJ8CZgPR1d5Hxo21Z9WRX31bhXgfpXo5Kulr3vdlh94Zrw/KUQDq4nMERHjdFj0DFWrCzgX0CF1mrXjUUzk1DXc8TWLrO6O3OVSkFcq+dr5q15TN/KiDSJgBzyLt48p5akM4U9mxsLLGwZzCMQOtWmC+wBr88pAyXYlQlQzMgch9/jkUm/YuVOvMM8nMqNxPB4bBSKTGctURPtH5Qr29hfqhxssbdUCiUmeZ9IKeI+P2IplMUycyUoDGL9x8K1NB/40fAIF0I5iEJgH9xxI6xS6vU7JH4mOJBrgeXRyxFFdsJVectN22H0CLJzmH8iMqKSglJ5TxsKxiQgR5AOk748vjCDA60tmwjZ4m2ugvNTT2x//Wvn08KQJxlbX5YF63+gtE1dsl+vLjfOUObCEgW/u+xUt9Y60C+qXumfD8A983aMLA4Ga26HZMGnmLoXEzM0TLswVIyqRChPJR5nAxhpVGwkPLkNPidPUF2fbT6YZL6dfPlMA2bcqMpSApNDtrLDwWwCNRfAe8DcIZ1UP1FHMJoLeY1kV1Ejdi3TCNzjsP15BMyJ11TnK/YhFLURIKOxLuWMrTk1AZ8H2m55wQuML9UJ0CUwnySO7MHIY0nWQOaFdiKjHwcPBFyZBA+P+MuSgsepEQX7rwMLsnnJUcl63cA0UfM87Q3NMT5FuaTs/vfoWwi0beGME7I+Bw9TRQdV0l4gBAEW0vxujXFAB0nRBjsDRldoZNwkhkjvGnMTZj1swWemOph8e/72TwHiWoNLlUfm6ozbxlOEul5jF2j0DdBP/cgN3KgIGS5uXSn8m8EzcN/WgZAwSIEtxM8+R3DV1UQEAiRDSE7/f9K4J/6xJUWFc57Og26fDFgRmLdGJbi26ljcbkmCf0VvOYeyigLsZ/zgbGNyskKbrvvhlbqnsoH5/BcolsMgQgE1erQVpZM7bZ8YZ8HSfTSKSHGPhZCYmNiWzV33HIehBb/AsoL1qajg+aVb1al0FwJnjzZIADvj6+tzeDxEwXzvhWpdTF2mX/I9y3rY7UUIF+0dm3id2h/D5UBKXE5+qhA5y62QQA/kZ7EmDGjQ+O938Y47XN/YT9e+4+pkW0nsBRADHgQFaOU3TdgliWjlq2kTt7M5grZ4KKa1biOj8ephnlcI1c6Hvt0C1htGRBBaGAVvtPj7ROG3HpP105vPHlIQdzEvK+uNpr8RxWQazyQ7/Zv+m5ifMG/tWxcHXfSduSwVdQHO5fLCE21tRuDe8zcWdodl0UclubG9sMwgXCStbx62a6VagwCSfrS46eJJ/tDF2HbPrO8xsps67StXi28T/lDSfRIyQkwsYffDw2wQvPGdXbOgsgMTRYUoZF4QP8nx+qS+HXGd13BCwx0ZxQ7g60LxeV/jAIKEmlaWdroPC3KvAdp4+0qys/RSwjc74HFzKrtNGWy76nQOQ3G3F9PgTBM005ldXbcOdw8DTqKgxfy8LgeNKXlQiIz4h+w4T53nVdr3Oes6HIUeOOMMGgtJWQO71W6fS4EYdqVTxa+qsq7Fsjsmvzyna1O85txe04OY2P4oFiM9l9XtzdmRLkl4Txy+aD+8sDXrNe31MxaG/Am5fPdJecQzlQWs+OzQoRbww2/M1sHp1IqC9IzSybdgV54MP/VQmFtKCMLchG0UcqbrnnWChlafwk7BXlhh253VHP1UA5K9sW4wGoMBohnlHIPa0r3mDKLsa8tKX9m4XylSM9SqmBNgRM3AiPt7rvJaQy5F0iwpwhVp8HBrqx8070wSEDNb+QP/tdR/tdVv8D+kXZzgqS8b/OwkhX+R+7WrD9kDJ54KrFQ/4NRFWVdtx61yinSEbnolk7K7OfIX658G6yTANf0n4V6qqg0N8lm+IOwguWfk9C3Ne41j/ogTvbDxv9T2Od8s2edEcpsTiUhrIbzJgW0WP2iH7Wh2e14xmp9y6XgxF9GsMidWCId1S3vqmBgJtoCYM7UUhXc0ZBWoHdw0TYNccd9bI9JM6SIvp9t9yzPWUS3MxztezcJImwI0Vn4KY8UjGJlX2gwOSSRAR9izs/XJgMI4I8VrQD6Ow0YirvguZRE1lLnjL8VDTQ7+7rx0gfqxk5xHafY+uxBbm/6VvLimLrhB8RdprExlKUvXgEDHvXTiVOLIFk3Vx1CQem4FnE7ZrvcVA3IBQPv0syRlP1oBWdHzP7EunnWJMGapyU9Ug7l9ef69/wkDVNq7jRBPqkDucb2IiiqXK4fBwIxYzKSu50HnZdr/rjTglnFNTrWzlYIrU2EAqFKv47bd+8HP3yN29TB+iHAGxJGGTSthxfWiVolFP+GS2/3+VDXOBdxs/fDTrOJfpQchFWsh9zZ3/s8NAl42bmGiksMPwpMw2S2DZ2TIBx+IGhV1X11f7uxGuFn7zhhSQfyE95qzlb66famFG6SdIxrdrOMoyPTinPz1YM/nQxMgs4550OJHS5FQCrReNrFsffdRAVGCI7XCAKWts8x9xvGIDDzW4M2tbK7+muiw0Hv4Y/lkWJFePGaZKIIKl94QmyXUFp/7czikfpE67PgmCuLMS6eBUVi9Lm8Hw8eNPi593Spw5dZ3zgeKadISG1saHFFf5G8HuZskjq+XjG30/v44zXkbEcTd8stRsd4awInTT/GBeFokDkrJKCMPS2Y8Nk9pIe6s0Ne984eKzowsFyh5TZY2O0iGRaX4k3638zyoEZzfvGGMgGykH7MFxpCEbCJvOS5v+o5rXpMJzm43yWvzX4yRG8PLzuAIpcZawZbfOBKADFNTTacXE8Yl1J5GKmTw0PTsJxvx0X4nFz33Ei8zI4mYMSYdct5rtXDRTPKSgamV8w7bF/ZHDci76X7rqn+C4tUTJ+ap94ZDkOWcdrDhytL26vLqIz83cfTa/Ya/VXLlRwB/i/T/kstfvsLmz+b+3aoz0dfQokjN7F09dA6/IsUQlqo7kmKLz6UCvSyGJXAmEOQdtAHbw/itO06L/xasZ/6me5RvRBo7vWVQKxX55LOPTqPe2u1pMPEkPgzaexYYd7ry0ZyDNS0S040QbNtPphVK8EbQdfjen8lizCjduOHBuj05RhpkKX+i89qpDGLKEL8pMQuqUmKjVPNqWCyUnZjxJrvTStZeDMDh/JF4ARIZj4rndt7VWjiQkZM6J2VOzmlMJyMLV1euT1MYmrRLWN2BkUH+c1dnZNjFcCzrskQUJpmfspC0ftTyT/r6z28+LJEYlMIR6YnOYH96m0LwoEqcJ8LbujgCxXjXIIe1LdwGtAdZ++MGxeNVT1PGV92VS2sJtFarkAPKujr2xXNyVRu+3oWKuwtHICUOapEU6PCgrkI7VYGWF1P2Y8a2F+xTIrNfERDQx2C8NmZ0eEDchtICmIWC4WgpuVdHJALTtl/DEKAieddeZ6kxG7Ob+fUdlDp05OnNiQW8OJ/2NvXRw2OqeJkdcJuJq6M4o5mK0YYqC4X/4Qaji6hasvZxrkd6Tjk6xHu0fTB5T38AjzyqvAqWtJLveW5i9+ejLOPHFMmgXDpawv7ol4InmNchX+9S1m8my8l6rNrYgvEqqiqkLrDX3kCmUOv/57WZrWJpkJH1SYb9EEXGsbbQ64EApe3prHR2+SXoEXywK4fTuSN+MUP99sIvb5du2jAp8CvRRkfy9DPX+7HnwyCEBoQnz0uU2JZJLh3fkO6Ls8FxuWTbe+NJUxzzakx+CSyDYZnLyhacTejGQ8XBEI0v/PSbohEqaw5PLi3qWjtiY1NwU9C9K3kr61Z/YptS/SQxp1bRk6p0Uq3Jje6cRhoKeaLGYpdHB4KUYz1aNp2tJ/g01gkTx3dUaCHix2JDAYRRSBX+w68GSIXABRFSDHARWA9kRcddiwGkvlAQj1TJOIckw2+JrEhcCdMEgZGKa1R4XYJBs4RKHW+Pn+daABQAXfjNvhWH5Xd7F7vMdG5caiWoGkVSAVyBt7N3sfaCs4uh08l6wagLPvMzBs5t2ovMWelEC1xrm+xS0cV2BK3n3u3KAhnjtn/Gx/nt2Ebr2T5XzHLRk51d5VIFs9hMN7HGUng/dlUWAyEdpR7becSqS5mxs3ZE4zDxzy3hTlzcEfc3HqMtcfsjf1VeFVSH05TnjFmSVHjMPwICNoSGfmNFMwUlOH3KXLkxWwi51zoMRLUpZ1v7E2TztJ3BsIadLlxRGnU6tr03f3fqYQQ37gB4zf0NZMmtmlDeRx9TpXwrz32m8kuahOp8qMVk3rDdf0C5tPK/G1bdnBVnMXs47LRMnxWqZn1HlfWqeKhA3PPdQzDtTLxJTz3Am8Ki+9zWe9Ieob8Cz2V2owYOST9ZJPetEboGIs5Eyo916lWaYkibXnNQ9aIvWkLxd9tCfF2mDM8M66p2QdeSQ9f68yyr/IwrJcC9pDwV3GcG5C2q+sWWgb95NFRyJWg+Q0FJoNphonEkD6Po4ETh/0xDdy3ZWS+9G1QxhgR7tOLlnY3Hdx34Hi/8mnYN7mUdFjL8jRmUmV5TP4H01dtya3BWx1pUs2uKNSSFbe8o15exYVPZSmgVkedAyCDpCLvcxeY4gcUvR1127z815HUzw4DQDSmEqKohOBgmcc9RkxWzzAjlUJohUY42Rgjwl0EfQeStLt9Jla/74sl6OzunPtTJptU2+FoS4ffJKHhVdQRk/vs5MlFrhce4YPX03RlMVY2TVDS7kI1Ib7D4ssAr9PRIEp63maWuA5ItaIeQcePUjvixjveT8Tnya+vpeYR7dEpfQe9C0RvL+cxek742FQFDNcvenqyy85w7AVyat6Xwmh9s88eakRKAGom3AmY3o8BtxORgbYBDhGRuKu7FQYG4gEfaNJjf+PBKK02Nc7LdrtMmRoLMC15OzRffSp6Kk79vnUkrgBwutW8692Z9neGEEBb84zW1gfrQADi9txGUajCIaP0lqCsgM/GvcsoBYVDeJFonMUuItjo+4Tp4MWbsXB66HEI7Id5YR6ZxwKjtubI7icX+vr3vJKCj1mZj11IIVSLPTzR7N3zh/TQlSV3lyIYNq0aVdvfVDqkRT5na9+QrrI5JWFAv36qoIw4rZkYUZ/SRM8hoFFJmMloymuVvg9JId7b+Denp8myuAI+JIcSupWJ/GPfPSue8TYqPdjio12saOY0i0QQaZBUS7Cgsd/b7XlZrVe1KLRv0sQlWDPT8A0nybqmgwjepE4LGDMJMdEWDLNba3FYThmdCrZ7lJc80RDZJ5VEY7l9wKIA6+1esaBiJFoFTdhCjaeNu5MmNOfJFU3BTdIIS1EmunrG80lNB7u6oix5rLqulcdGzsljB9ROGpa77b42tOUzjF5d0VFYZOnNKF+Qq8GEnNK2AhiiCIJZNKTe4ugx1WbimCcY1SwuBv6eFZgu8UkH3CJOYrF1FMtgGY5ZG9O/m1tDZiZtS4eA9A2C6ifQX4QDx/8yFgU/+GWF/ZKyWCN8uCvusJ5eIqj9hFC+B9c4ANvEaKwTghXam75+0ONtH6Qw5NmoF09xiP5fMGM64IXZLCIHxX8roJYtQ2ebeTIPCekyopP8dqejWwU2jKbGHj2KdoIjYcAJn6jSaugb88s23DwqDeOUz0U1eF51EZgXxcNl3tsvca/5bilEhlt785MTFwDOTf3MR5d6mMwFLQv1a14X+Dqg6cKezPAQmgfGhOnAJ5NrgEDhzYog8+LYJjlCGdEP0J8UYvT4EZG2YfmI7uw8tDYeeZ7+OlmQYc88/SE8hX+rY3QgCQrCgVy+yfyajtrpOGhNc65AA5ObT9n9A9Ua0dWZgB/O2wvV1Lqn+y9Us4XiFylUiUewkbpDb5TjO2karaHvIO2XUgv/IV/wyJalRza6NFJLuKaCqbmBfYTQNGdm6yBLf1c9mEbdXfhm9xY3FyN84WrJ0n0h0aPGl7EAfbGnyMdiuknAGDukIYbVYC6/cbAnJm747o0MdVGe4gzE4eRE1ES9HU1SACLHZMxc/TCphjvf/khmWZiF+MXRPQi5BjqIYXvRTIFXG1diPCRc1Duh2U6FpSAFmjitJBezaH0WjYSCafLcxzBbm3ay2JM7CXlSlMG8aamBIs5aNpTJYq0lq+4CtKmyZXqCg9kO2e3awEni7qH6X0FF9qNivytgfE3H8gXjpUHZDivNZQ7VeaUMxCoCErBVZbpAAzBasYBDwytd/QxB9gOLz57AGMZncjw9Fcd0nzBQn+cyf+0jSo3kE7qOgh1oFasPH83yIwsdbfs89hNyGKMxTbzWbCD1r5WR600Msvt0eSGxX7gV3yCyP1ineN+azC4/yHjCtqPHtQGpx0gBroshEgaFUAYFN+w73X/6XDjSpK/Eplgps+wWq8nyis75VBY+MvQIh7gBkPrGLrMH3RyOld2g4dsPw0fOjm63fFTmqknlb9tPDopPmuqgp/rOEZsmHQbzRxtrul5tbriiwIBrS0oD0lvIke+OQhfSR7hLeXAfz8TDWKa4oGEQQrioMyeVZAkgqxmtdCLrbXwRwF5tCutyhMOw+wRwUB7UAOjRVoYo8hZ5KhBcyyS+sjsJMdtxGKptYhEkjK6ygxzFhPjmTxiIQ753lI1lG/QBZMqNrWj5SP2kIKi8EeUFbFVyD2nEij1SUUTeNYzs4exUEbWFqJyLWEmt3wQnC4Rv8FOPKfmd9JEN9JFFIw1h2fKQwJpGE0fiqCE/JNxKm8kH2Xc+WQn2mRRsHEulHiZ7ECJ44c7ibX4ourv8TQw/BLes1jWjU2mmpTG6QRAynODi1e+baNHlgkprTNpGhSFCCqyLR6n0/NEhVlQFsaRX5WMvOm5py7A7SfFCfntSoYbpBe8c81ii2ucuY7PCNYOQAE7fU709+lg+YKNoSZ62lyS/TD7UXUvnbMrBgJmCFIQbuZHYBGY7fywnKyME1uBu75gR6G6ynElMgIaq9WYD9sC7ERi1KJz/oST1crlFR8PA/36OrCS7VcYInr/gq6udA4DLjhj7GDTAgu32g3CmIMoVPB1XeAHEFv2oMe5KwaBtHGCybvUyu1sO2GCBAb4NvBuLuqxNu5UsTz1Vdr7ZK85pYh5VQqKKjL9WYE76GXR95ltyGSEM6t8Wg/bB2GpQgTUATKe1VYJES0kxvSumZ9aJYpqhKdlCBVIzTW0crlxNBSxiZHVP0iG1WAn+IQZUqVKTnEDc6DstVeZeWhCFXGS4VZy83qOSH2ZOUepRsS3Rrr/R7W3+HFvq6XZ20/OsLGhOYkJ8/dXWcfVey70YNjyf98WnyjeIXU8hIw7w1Hs4iKmeNEqUn0oamVvZcVkKhunc/yBlHzFeoMgqWbAHEjlBo1dmQz/ihsf/SykWoplE2E+nApWhX2Y5MJxlTgSyUpGQp4tPsHBcqATSDUQ156adpyi1kzOtTJBO0gg7TLWejBIJoJeO9AycryRmFpaF2A6RvUdmeNCUPnSBJ8hjK6O3/OC6kXFzILQrh/6fMgYOAbpcuZD/QqmzQVfXsMYNlFeP0tSPKpcKFAIgBdw4oCnzmKfTSFreswOeSVTgBKDvuwkb7tPNw9V4yRoPxlO/4MkUJJGo+ccdca8+v6WMRYV7y9am0KfzIlrgSBZ+o8nS3q5W1bAeUHtUavTkATyYfkSd2SU92jesaT3UyV+GR6hoTk31sSv7JfoHq9Q9pm3ctOfQOJw1Hqx4xFe7RjSp5qRSj5zBcc2vBeDWQkzHYZyB8yURdVE6OR9i5oTq+gVo+939UdoQq8pVOr9QWLrVsTzPP5pJjcFwPX+KftBLBp/C3bVJMKA9maEVqF8+sLC6gz6W658VSJkCRj9UMYvLUVLyCTnih/tpKMfJf6poAcWEzbnXcQd1A7mVPGVW7oi2QQaVzR96P0CKnXqS7wZ3xDawjuarsRr5kMwBLQ8siL39TT0oJy47q4w6LfVce4pS+6DLo/dBcrwUR+cHHHPme+qUTvjZhqXSpSyJ96nr8QCPaYzRCcAO/34dgTId0O1kaaZ9f7xEkizbii/CZm9CLrG5/3zEXYLY0VHo073oL9bS1QEENt4bMh9a10ggrkfx2R6GIlVIsX76c6PTrHh2qU+YXx2v00DYZymYQfVIKr9Na/Nbw4A/rONbZlpdupYTAOLVSkc37ABmtwjbUX7nPrCd9W/rRsg0dXMreivfJU+k+4LXADZGxVjQNJ6+Ks3Ty0EWVdwQW2KlG667NNafZWTrNR4igYa/OHuOhVVMg258UbKJkxnxgCq7o72Zog4BjBD8vPyVglapGpd/edChNrtMKRTrtJmRtceR3PX9SyS57Pxev1Mfw8IWMU7xIoSxMOAeAC15wahS6jmHtjECh4RVBcjcDEXfq9dbY49UaopXwiOF0KHaX2PTb5XxnDXwv06z+e4QtSQVSZBMG3cFMDh/XWCQErDvcbMYOoicXe1rQUwyJlFAmZBxcRIRH+z9fvavxcqac93GkThJf9ZiojEK+LWOuC9nN8VMtN0G8HtfBr8Z9tyCSnNHIAJ4vgpBjeYsOhslWhMNFS3AEX52XQ1PvFJD9L+2vW4y75YQIs0qp060GabVkJNXZ+6E5VsTrStcFTeJrOvBTNycI5YPeu/zsdyrH0nHRdE9fB6XJmp/y328xYt5oJu97CEdQ1mEIykh6PU/9BlMCjtlYCcvA/UMpRuXvg7piFnVJ6BO+aMLDNVqJTQYaEzMU1MNH0PYFd+brPyFZpju9EkXx0UOxHqnV9m9qL7/Uhg68x3VRKUk/bJgvYhePwjnf4Nd9e06zPEpdszoGiQd/VIhMHCTnIeYPYDtgPQ1PN1P+0dUzwHa4vsAXG50+JHbOeC9ZjIQFXFFwmWE/a9A9FkbYeKlI8zlphAIlkw1AYLHOd4cXTtCZg3+eQp8/xVO8iYFxPd7MBV40nRdC8Mc+r+0CmU2/vJjTdX6cAaXBEsjxRfVGfpraXkEqxhnw85VAWXZIaZrPyu4dWgE4SPhxL21hJIKWjRSNk+W5vdJTrsmUVgjwk43IEdXd+xYPZ0JrtRanWMYJRnKolmHZitvEp7qG/jj02JTi5ymH2lLsY5LWmhJLq4PhSHyeK0kEO7BPzss90vvofYjF8QbENWAosum8M9dmmMHyBTfAl1kBdpnqmGtuVdt6pcOlEkhOMLbgzbzJ4arWw3OK/7ciN9K5IK7rVMt6wVvKrsGUe/Wu0tsBuDXjpjk51tzJHwK4sNtZLcVuI1UxSLwS1mlzrgoOo4KSEXU9icuJPrFvYjq5UdAmgtwFp042fVFtoZDgmZ7PMAEJImizZXzmZy/J0k8K+Od4DxZoFLRLlwNIwtlDaK7ws4ASPnQPLvKER2NbcwKPRJ72bW4AQ0hPQ3AN3XeyjgidshYvZZQ+xCcArVseUSINsgxdONonO4peZJ/UOR5leKZXn8bRr++YUjxp3hTfgqVg7n2V7N7/GKfACNa35qhydeP407/Rx1Uohd29Z4euOIzJq5vbQZhCTHGH3WRgJGWvMZAXJ9UDaZ5DwagK8IzswtVx0RUA7EfabMMZlX5cnA0/dYMUFnZE23VwMKd3HFLEjhCJby/4us4djkc2+mMoZ8UbT6o9Ui185pWCj0bkNCBQa3VAm5Rj3gsIbuPjVEJ2+wiCC0PrK+hYg7jr75oTo1O5tyG7QUsvxA4xFSPrDzDb+m0634JlaM5dyzgW0JgqaRQymNcLKGQNID3MNY33g74Wyw2J7vARVekToc/ss87L5NcG9tdpKszjHpQM1Ofbqkv324c9qr2p2UT8FADypIV/3abF+oHJlbs8bvNyT9U7/eE91Sc4yHKpBeQVuOY10wYGB8Q93XHlibHOgGIiMK2QqQZYnusSSyxn72CKwwl/TW8/LlJHCpwEGRW6BUSadCPJ+EbAlzs0g5HJNV4suBeQ4LzfXdWuX+3mUXfd0NS2qAU+BRyaxwSD16ZYPBm8SUs+rRNczvO3fiba9lJLqKcpnENZUOIa+C+gjYUkTA3zGbAHZUDDunt/9gO1gFxQhSPtF/kmX6vkJhdCvbBGZiOhs/xsHz098c5g+4ecFf8cQ62l0Isr0EuzLhehsw2mTwzUnWve6T1zIydQu0m5GHhmPlBD+txAvAFrrOp9ZaKvhgBfdIDeXHsG+61k7cW+x0rxFw+1rht04przCrwt80/JyPudyAYkcOBC0DouJ5IHKdfCjcRMMziPWVjKVmo6oAK5pJdkKOOdX6OR/D/nkT/WnlGsSP8OahzzuU+fwWGi70jIJqh/ft/UvucmjGROEq9Iy8o2mX84UD56ntwOIGi4GZgKjzrbHoe2oQu/3ZHxwHfk0vWQjcF/s81Q8Cg23UxpTC/v2sFsu7AmAEA3L2yEzD3jdkqH4agMPC7ftOQJJqydMSz3oBd6e7j/VLYFuNAEL1urW03q+SGFNi9Ie0yjPMksHovFfaw2A3JLNdRcNiB2Fscsp8jcgXiteIm3lolgzyFO7gMRHIPXFsHJr0AexgaXjXUWOtdE7SxtNpw++H7o7nvQVegl2n4c9rF1lTqXH7A8iyKHzRnUcx2lfRvzZ0ln3rest2CQuiHMpqKRfUzwcJu1qAXhpPnnso9vW0bq5e7Kc48Cn7i7B4ppGyJGfIh1b3ywwCMjzl5KSEwXn5ua2gdMMzYVQ+rhZq0/RGshomDNKYAhtMM4C6COcnGEs8NHVAGJAF0lKbg5jb2lyo2ksEi0jTFUM+H1FVHZuoyGaq9toQdEAgUjlyMb145CDTBoEwphkk3871njuCkyg6GO9NOID82xk8VC+NCeLgK/DZBsQblWLiRoDzrNI9uYH4w9R9xTGKepeDmvSp9VUobp6+9LSpyJT5x8i1qZ1tEIC/bvwtnhKMIi4zewqAsuywJmI4jKsVytUdezmuNUKLl4XxP1ytIDYkaQkCrHNdKgtAi/R9BjcKniFIhB4v4LA1vO9suSh34TxHFP/CuEVxwDDNdXn0HQGLXABPjDrzKX8odzGBIj4sJIFhVu/z4j9GnF9n5J+5dny3aXmqlPeKNDO1dfJhl9NptMK0r/fpvgu4DFW1c1yu7djsnietv7rSL7mFwHChNivOLTSxLTNTNRqj6ry0TNqKdfyJQQuxYkfWd40RjgWFGJQy8mE3LxaYWUOZ8X3D2QLXUAZ/ORZR0xfzdZNnVOmz3s0x0gttmKXUgtunHnXXHwTzrhBsitQhXQtucWHN/QtyIS8pFSANEq2UDSXWIG4qYs1gFyB8xumEqBoYGYJDfUUK7ZUwaO6kjNG2cdkgD8t0bNHiICBGPU+NPd/K2jeEM5ljAEgbBiFn20itzOTtKMbzwDgITsO5i5ZxR7Y9QwE7vjSJXGLw11uESRQLseYE4NyGzezhxx24q6tL4CTRoLiwghdb00Bjxw/KHU8g9LXH/PI8lyVoyF1GCFVR7qmSvM3PlXzHFlmAPvFfaK2XpNDN40EXdjX3EdPBgyY/qT7dccPDahTdseMoYHvwG99Y+sutTOrlD6b0Cp/wmcvBd+HCVfx4dioqmy7KI2r8PgqwcMKeQO1ZvPxif6kC64r206xCO1rss+wavby8lLKScV8LVzKam2BjYm+PcvK/o1uj6xFf7IDvWoSiO2JL7ov3zQrGhjHsPgi5lZU7ph1SAgjYdWelZL9Ei/aHkJ5H80Rlfxen8GJv3dzyebBwBka8bC7fVZEK4tjaclOxwUXjJhUw6cd0nmnjhwuBRLEiJLPWyfeAzUXsWZzGv60DTeLZFBTEX+7Cn5/7LtnoHC9goGowKYbytaLDSZKmmkVTLMG47PqjRMUjWZZUS4Jh5ciljMozZlD07e9C1aUFwcBIq0iIe6K7oX0bxEUkNxogK0p30+p95MQu9MElSXkDE0hitXT91HmZajDm7GOcjB/0LhN4uwK3CwS3ToIzaZPcxXe/vTx1HF7zmztUVd+I3C9ILrr9HmCcvc4WSokMza+iPor9aUw97MwRbw4UpxnlYVkCWkdxZY3tYUxZlvj6PWFq856BXSMccqMCniTgtTReGzuGQrYK0wnqMRYMuMEe5yc7Xrv7NtQlh7MXAxAQCnjHnipKJUui7go3a6Kg2Z634InOlns9VjWfu4+bpYaY+RcQcIPLUGosC/5TOvL5oVCf4FvAqeg0gdx7v7LrpzyiEUtkRIzufbTtMCF+pTeV9BfwOawnSmu/hYBdiSbq0XE40OdfccbwbFsf/I+ABQHK+6OU3w/bWB3vTLdp/tNR6CNNBD7667HV3bWGt8aTPtA+0LPYn2K1NCdJ4N9ajcFNWdN08dXJ2pEWd4JJw3GH4bXHzVaPCC5oIAQJf/RJ6Srn9DM4RHGzoA/gcOeh2GmSOc7C969yjGQcZgblRSf3X67+95hRswPg1hnoWf38QV9GrvnOjvh4ENgt3rrJ4ONjpUeZgImZfnKSdCrQg44HH3sdWrJfg69FN8KsQBrR2PuteXvYYOMJx3o8aIwJDQKgcAqnRjCVeH5Dro8ZV6eTLqo22XJ3mbMTapJdE8t0eFJFRD1qiOUwYP+Z</x:t>
  </x:si>
  <x:si>
    <x:t>t1bO21Rnx7/O9Qhh1jlsdC5V1W1PwrcNnk+OSxJXiw58s4OdgpSD0plIIwuqKBMC0ppOCCm3V+W6fWNmC36oMk40s3AFXd1cAwi2YVAzLJAv/I02RATDlYWwt4cfS8qk1qHiAG+Hicxt+Ccy1iD8eeH6Kx+G7Ch4ehsOs90e4jhhxpzqULGCmmg2rme5Pbaa7QmzHYkk425nD4IeW2zozsxm/TUeQrZs31YfMhtf02/V3B4tI0AkmgTWbyxGvt0budqoAmX9p8rynS8D/qUEjqqXpYF05yMGkeTtE1DTXKqdSKbnUfqDcL8RC1YogqqRVjjHeCUuctnqkgv9cbdarpJy8SPsZoUR7oFSrvxU/4BGSKru+mTq/KDieVvdCSTzPXdIxTrfKqk13q9R+CGWBu0XIQYGjwBh+qjIF1MeJWvMGuLqxUrjpuKDC3D+fMC9sVwE8MzH0+btYFZzCiNO0X1mGwGdgIaTiDr6PwyN9MIkJqgGU8rPGaOGJPMmd9srhJ7KQJbhxCkcyyLGFYP8019TF4jRsMBVDodXSb8vj4qwIbK9Ool6lIuMItWBhyIdY77uDY1rmA4aV/kj84v1nM+165dVLtOf6jmBVck7nUdbbBlmBU8Ur/DU8Uqik4+8ex8U5g3zNcOkHZ2Bz27syzd1LlLEVq/z2hly/HgeYH+uTjb8Pk5ZWeaE6s3/xjHMdB1wuEGFh9VWu9brPOmfr4XfW5oij7DreoFjsK6H9JdGoLxELRqIMXlFT+5MqWs63Np0/svpyc5mp1DGIq8qcmrv6Es8R9UlJc8tQYmfIy3FH3sWwH26TWQwyNuPEitIlO+H4xxbZRs3T0WRZfNsjclO5+Gx6iD3ShXEZGxJttAY9euW2w2cZFdWp4yyXJdyKvRWgrkzepy2TSV6Cl94CpDTnnbhlY2DBPjBvgDvhPu+cRGoJU2P+46o0tUo933MPKBZgdePGY/fTpFxTgvX7x2IPkCHhNDsVlUJhcXsiU0GexDtuJrIoI6JY0usxNtVyTh3thpP1QHJrd8C6e9Xd79btM/7rIr0twFbbSKm+Mm6QPQU7Up0JDRnlLIZjnHVuvblS84yywzAL/WGBolmQ1hyfZJHexCo0K2JjVuRPo16vc4JLMRPzF2d2gRGLFgcs3kSyBlwzhY5Cp7w2Xpy2+WJQeUiWezqXGIyGodh5I36fY5d7nUH668V27P79tYgwSFeU1YpnGFA/ASndlJU9zcpGDIbJ6cKmbk69LZwlKibiXruMm6MgmjhXoGRT4DC0b/9PkDNIWLTD/ZaYpyAiGv4C6cSDihcwKltfXvELameVUQ+eR62TCOYN8eJPDhF4k95CLaaxvGzrFe6PrGiLtQWdmTV2/m8f4mTW3z4ryB1GfE1GphyM/rFvPP9ikoDZItanC5R3ZyTSy2DcUowm5J19HHBk0r/TF7AWyndq3i/ka29YobHQpWUAMNRHesN5g46uqc5kgLxiMgo0w7VkeuKvuoFF4tXAyKhvGX1cWtCpKv45sh6PkVt1dYKGHdATwa9EIFPn92ik0uuBewWI94j5ZzF4cIWH5C1UP1k0pMGurqPo6DggzcMkXg9RAKmF2ZlAoLMhVtbLrSNrJo6Tu7IWjPLKQct/f9Jqzs7duw33+XKeo+D2NOwUCITAJfS/77Y4yphwqD1p9iDb8cxGGJWkBI7HNohP3SJuI30X7idFNiwg57S4fZh70Ul8vTetF2xXvvDTl2KfBvGex6mZvA5p+aF/tJuNj1+kRKwkmBPHdrZRmykPOYJTDdobcoLbkJ1D3Q6We7rowh8IcLNoTPpcMU3hg5wB2zEmttc91RYTi+8shts9gI/+8C3zpp/yT4l3tqnliZuFxmOLlQZXhJfgSvTv4/zlAdrQs7KvNZw/i42ky8N6vagoDLjnDpSdSTWLjEQyV2SZE4g3mlILgykwVNhajff4vAA1u/mic3RPiRYOiTH4Fh5RHlmXwO6/fAVP2ElGamBpt70fFFBk632Xa3x5qb3HiU78DW9XN/OYJvGeM0WCPRlbe4f6m5p7OEBd5XIWBZEKaUflpfOmpls9TSFdWnPnlG/ugfKIAqsZxbZLsGP+Eco6KaqI3WZJmHLOe0/vhAVOrdy+l2/UBo+2R8g0dkDBz+5WBjtASHrLwLjujeAHuR8/BmdZYAzSpBgvRwm9CN0KhRJHvXZA+PmkzaA+bfVXvwddMbYTHMk9L5D9hm5Iw7Id3LsORCKAdDjLqP1Iux38mz1QM//zICcnRuqk0nTbvRO+1V0IhlblrI8kVaEe8JOvRTJRa5NssrjjVJLW4KlfnE5EdwA2rGcg05vzNBQYzlQtOYQk+XSa/plVovUzrzaQfXLem3j82SsF9idmGkyUo7n7Lp2fNfYhUkYw3Ybk244ppiWHLUXi8/iNYpCphiscYfzM2l8Aunbfs6f0HTcSyuwoPy0S1NuRwH9FV35oAxdVgWUqGVH+JBtkn+KHZ3mbO3ikR/SFDm6ox18J6UufSC6CvE1p+vz3ubcQYRGXWG9Cyk/2SJQCcwYXPTBrLW9vuS6JgoiudPxXF32zL8EKagKD7p6OsjZed+ZoGYgmXjUEJiiUalzvgVUMGKeFvw/SZFvvdkyvyyd46zKZTCQYiZA6ZNWVn5eRWdHUhfAQSsGaI8Brr2Z7k5+7DSd33vzI5V9xu23Adv5xDD2e56hNCwdVf2QhsEZCwyL3M9fQSsRKa4HEAzrSOeXXlaiIfYwSkyljRZNU6YY3JIPx0yqi810q86XRGv4VKzziszBuSESI0Tw6fIUQC+gOl68ez3j+KUXMaaAgBvTGxmjkrHAdmoAXFmvIxo+B0uTqMqbV5mdV7AkVNyH/ZLL1uB6mIxQPb+fZFaIhH6er9zYadVGa4oYqBjGOivLUB36JSZGa+o/C9pjl+FRtEaKRyhhYTbNKMkhJc4TW2ppSX3KsgWtQKC/IXU4UBvCqtjjpx2vh9TvmtOHvrXL1uNrdDSQmKMwinkAJARoxqNZpmjwEZ4erhNhTu5KjLeKH9MWCqcFy6V3OMq5j7ipoOTNViryQldma6U2sgdCSYo/NCfjMR3FNGKsqf1lBELeNEm965foOB8yrHF8XEPdYvSvDvG4PSCH5V44AM8LGHtwQAVyWxMwE62gvUYpqndFkUqMY42FYxyhejLoFdIr6Ztv81omT6ctaCO5AJ+qY+PrrBfhFwO1ztx5bxmNzeoz77gPXk53CAn4USXYgGGHh1Vgl5ODW+aRpYmgxLjL3oka6mS1j9RpUKChnJqA+Pzp9cF714k8GuKaZNLWy9KiaGlLwuyiTq0vsQ7vtn9l7KGv5MdBz9/FEwMBu7w1IACIP4qfPfw2Gm2dRmtSlgkk04zgJ6+j1CBP3XGkoQhOTsulaFfsIoMLGxOrtVTGSen92CofYN3izqrpkkKVTvVl+EOigqTddGi232SlZ2h6Nfan90C6+qLl6eNtHMBaqD9mp2miVJrXpXKwa8wAj2j7vov6svshOWsIIKJzAZsiEaOEflOWTs6s/r0EejjXRb05q0O+sen3A9h3JJm14BDL1pwuij+CCk8HjW34H/KXik3VfNgQ2J+ympRtMFA3D9nZxjURAG978t0n+XOMN0D6vyyH/7HTcI4+mTJKq2OXUTUKAK/pBk+EnhY9Xzt1yQUYa0evtNb4AeKkJJ8ew0zcp2tmvxP7dGzZ0neIQWI+5xF0USBgZu/mRsGQx/GbZUHaMyu3N4Sbk0qStlmhoRFcHdMX8Ti2JQmaPx4aRjvCZ341muBjMPKS+whsfG0P6SSPnomylwpi8WxNpO/ZAVJY0nl2phmsiA3ohl73hfF7KMXb4U0bLCZmbxgOvoHai8Q6gw/RmhMKtQpsQRdZzDQxC07YqBT1Gl7L/xY+py+LGfAonRomZ1eS8SsXmEkJaP1bAuoZe+N/uHzbuQWllIZK/+FeDxy+AnPwsZy5EAsLTW+FtarAWte46Mdt2gjapLbj7xMGS9u31OYNzWF/ZKN5EMpsT7Ssctq64ug+7K9Z7AoAhgb+EdmZ5PEWaQOGWOLA68sC/s/yMr9O2eE5rZvfw+YKow/VUJy+Sxd5MrAlVSVBIAnFRskI/iWbSo4OmyAIIIE5LDlcsaq0Ob6Rsz6Buid0A8weJWlAQsRD3nYcE3rVNTIFmD2Y+blt0M0fQTfao+lEWwN91Ro9lZxPNSjA5OWkXiN5kCDtDWjemhAEpdcWOUrcKvAkE/aGobVToxf2PpFM9W7o/B3yufvE1Re6h5sLiNZbIBDXUYmORigV8kd4HBp9hHsQwgIHOk0kf12hiyQwCaQ3m6wy6vziQjQB8hiqQancDEBy7UKakBzrT8Eo0kp9GXpAnw9JuRMUjDAc21ZAwMRfzUhgzAj+xQVLY32R6hB3pVQcZTwgV++N6Zj5yiM1ey8Oy1j6b5ifvjacEpW1Np8cix3WvHgdiVtWxNi9ScreEXK3o3Jwd1MvaiqG9gdvE9Wn92cY+0IPguvP7nN0/JaXurNgHF8sxNv93pO1dVaRDGjnAJrF7YFGm3bMiw3Pq0NmHyVi1f5GO4Z9zARNGVCD8W89NB8ME8DJbQhUhsR9MkrnyLQZhfWN82Scj/LbZVbItYPm5qRI4Nmbcvq/dlxye477xl9wATj5DVpAlOMfbSA7a42+T1gg92oolBSeWvObxKhSsBOAC+yrwnDt6v6BVj2hKO7W27HcchEMZxMhVIWj06+JlG9SGUWNt8+7lO4w6+Ic9ApYW+1gyB3JpNu2gc8aIxYrYFvksUy6AWWwmyMkKnD/8pMFOQ0a95ERszfRVhUvmeGVu1IhtkdcaZjYpvTFWPXBTVk0Om8/ZEajNXu3svJ9pA8HSbj04seIMRcM9D9Q8F9VN7zE8ERD2xI5pK8VxZxr8mb065YjyBvq9BKMiAuh7mpCMP71P7fd6Gk1XoWJctXH+a7kPSbnuLLjVUZb8bSy0zm+APmFws4PtlVlDOCLHGXSSecHK8MOSK9TIts8f3EvOZpkUB5Wya9kTymGheG6Ks4dHl0x/XVb5nbhYFX++ime3BfOyhLttaT7vix0A8dv1X6hPfyfOsXxI1lusKwXCUw4GsokqE/9a7jdVgwWf3DrB096hzhfZ2KDNlXkyF/hSQ15ZNqFb5XSMFu8HzSZi3G3Ea8Vh1yd4gYpt3ol8xdBZKKHJkVslgRMLjFn2Bsgd6DQBkKgf2ok3HxUcOyCQvfxjhgsXf81BitosmHmVCRVvWKby9jZQNIqkLoNsCR+CN6oubdVR0a4U/Zc4o5BEpD6cHNfaMMgprM++Y3lAOCuofc4/am3GUHuxmpqLqe2oCD5apq1d1WaTr3PJnh7h13ZGKhmSHnm+SpiIew34Xb0lkqD1TWfm5ZT47eBKrYF8rMsxnSssrwTghjV1W0Ols1DX8hZElI09cd2y0wlPMwZKJWT/BjjIkAV1n6TpMuqIGlHPv8E6/fq3MhXQmus+hxVJPQH15JcBQ1WDjpRCmCjmsCxEgyitPHU+cN4ZDnG6FVDsV0BMj8nnCVcKhaTa8ns4Sul2YQNkJUWstMGQsJjuWN4Ka7RaB5VeiVhwr+1InCJQ+vTeXMXrwJqt0WtVdpPjzK3AXIfPyFHU+atJ2HFwLKCmYT/FtzgTOw5VZmUyyXESxdHgs6mqis+7czbnWk0oypkwC6Ql8E0fnfcsX/wp//rgoHoooGPvCpCsMli8BtfoGozSOGbHX1JnWaiam7hDrdayQ7pt8menZHrFe2GFoykpOnm8oVwxZu7SERUY0/jajUimPELgPaFVEF1S2cSpzeznFK4Ryq2eyKBUNbfSYINEEvO2zZbKeJ8JtFZDxYz93mw8/kxwXVfo3gPOkJuC9QPLDFyHwQs5vUJ8ibAIXeLYo59kB8gEtD8uip0XrZROAnPpR48OJnNphwlqOJGo12mxOyjl+qj54esp12sPjZ75ogFoHvbOtPNngF8NwuuvHhjS7xQjYa6UBQ1Nky4kugDL2QSEAaLnzgi8nskitftq/zJKo9vNW5hbFPmkup6XLUnm2H1FZmX2RsKa4Vp7sffJ2yAHDM05xWoB1xTsfcp/1AnKj0I2XeULj0qfS6I+MULVIz8VQYPAveizsvlG/QvbCRogSUGvvnhGv2aMnmu1f9djiqbP3JQLar9LXt9DRZUmP8DdGVxfvSxEIpXsiUP9pgp23vWwDedJGAuaYc+XRdZunkac0pU9nNtDZDQ+DjGOlg75ppB23N/9LVj8q97hDfAAou2WcLtKs3renTYVBJzFXXuwx9dPVu8aMc3xvUDqaOwzhqoxQRrzR2cnq0iSPfbuYDeX39ENN1kV94altD1IHPGLu0gaW/ZkMUuK/pJavD3mHuidXXSCVuCNYlQWT81x/Nn8L2WqAQ3kiK7ZpddPqq73LDSWTgrAqStpEH/fDMJBYOVAH4gMwXlYjvlo333Yxx4HIaQByIKho4cDjMqk1+7Br6B+SaQOZHwdYW8zywvvL+J0joFkxpc0G8CELiNSSFcSEkRHrgjo3OkMVLYb1uGzhlV3Xei8WwqIDAWNjNaLEpu2Zm4tcYMhVG5A2F//zS4OkeDjEQKUjYWyjslfm4P32rilzcvqCOhrOEcNHc6jVyCv27v7Ilxm/jBl5ucNwOxjuu2rnkfpuXvbswM/tsjtxZgvzQlS/T6Ck30RHJ368LRhj+srj8W1zDqgaucQYpJQMYcwUKV5mzCneyM1PfFYJtRoOl9V0gMaCf7dtRRN8YXZqsL8j+WtewX38245R6pW76Fzw2YTT7asoTG9eS5IepPppKod2YhTrvhW5lQ834kuN5vRo/G6dtdDUI9sPw4BJ2o9tBLe9zAhX2hkUNQC46+qxlb5YItqAKBdgDgUkKYd54xPhOCukltp0+fWyJgZCeflQFyuIEQ7fVloUXBuyjDyih8DbTPxRkYbEKhQPxGng/6acZwCqn35A5aRjAz5I8rSFPhxH8FUXlvl3DA4sAc2IKAwFRLba9ukKYRMXgG3J+he2yzXo6He3zKX29vsjYpXX26d8W6ilUWPHbLuaFLIm5gm9a0Lh6y88MlwtxreTjd86jJPQgFARqen7FIoCgQA32skzc4zSOyhbfN0s1T/ECvud8gMW1c/nJ5wUrUZcZcDmrnM2aVVZJHn8t8X+zjQfv+ivtHPPpoAHiX0cOKEM4OAwh02WuzGet1PgB6gyLtvhkvvVoy9oorWdC2CRv9Pq95jMf2p7YYu6wnkIw+4MQOkPSGVCjFWed7rEd9tUcd+6lfp3ZQ8NAVJsuAlP+uKgujC45ivaAjhgwqVbXbdlP6hBtTjop+tZsh2cbVaQCUPTk+j/1kiRTSWpkNPYbKqfIptakidy2aJWgJvgcNcJuszjPb4As/wcxvhEuVHzPcz1ETKN1hr29zcl+PQdeb5rdAvhN2DS/9E9zUrSQ73SzKfiUrTEptqvCj+XR/Ux7GVl/TYa6oB6bV2LCwbrcfYe9uiuPcMpWts2XfKWN7YTzuu4dbErOuYywuFlSEbgSDG7clVUPbx69e9NvppwA7oFvLqRDTHpV9e/JU06e2eJz4nv7sfQnLPjip+zkMGnfsiqCDbI0TxetUWRS3Cj7qrvNUjx3e/pPIpk/LkO0eWMkQfziXceafIY6dL3ksgeQOO5C2sT+VOHf/vv0CNKfxUubj/9r/l3ww7ym6vuMua6+rebT8SVsdU6m7RVooxaJd4OoCa5qmm7DFIfVFdAPsEty+ZWoSU6VvPEPt4gyZ1MQMIG2V9ivQNRcaAwV/zYgOvk3+MVqLIsZKAJZQI6pF3UbNuRI4anKaTmrqd6nOFJXrQHZ60Kd/rSOt26WB4zqM0vzy8kjKgqJh6prjO5JUfKdhuQsZutd5uBVjRfMciCTAmmxpflf6c2JnXqj1HqTZtdNl8lM8mQgf1FGUUqoW2SOKUfVu+ogWMOe/H54mBDYKayZZr7yl5tB2eQyibPkQHnye8NRkZkfuhZofN92Z/UzQhHTenHbjL3ccsJgaYNoKnSMhu8h4GO441GFGNMVCAPh+FVLkgXxRHQndAe0iPQUtVJQPVIIfIFSp1pVSEjJKMVE1SFzpRYOYEr7NF82KTZ17aTm4oMt3wT3d+LO6YOZ52M0omk3tUj4T5ubbG2cS+T+hwkMK3miXL119NMOu546igyAJtl19mEete5D3D6/HR+vPm3TCQzkn0O2IQfTNRrLcniKEzVdnJ6d4h8oIsIx5bQZTf9rQIWYh2FY3k41ULJ28lvNDSrNT4UQdrxcYrMRF6YdWymNMfFTqrEaq+C/cS3fzaNY77I3Gt1CXA36lxRLG8p4C9R5ny9T8dIFoOPotYeYybH6j2Q8S+UNa179sV5YtH+BmdekVXZP1gyREkHZBoghG3s/YUZxIBK6vhzYHQqTTJ8a7S044XMCVRnHeB1tmucl4yU8O8zv5a9b5l9zjxmb/jyonYwNrZY0nbg7I8P2UV3muWihjUQOl3Shx3AOWwklnICAq23GUEAzuVWHsh0RvtzK4Ov0I0LcJM3iOxQ4HAH903GRToQaI+0XcwTTTn01BKC9pCXKNccYOd+IAn8M6Hk0lVjpyddZybdTjNm95nqcQ60Kj4QK755U7RM+WONuaL/HI9zbtK/JuV3LN8xBrY5yu5vf4cVr0O1bW9SGf4tv1KWm91tTJvAlOvA8jnm+6jIse+E2g/JqU0RWfGaeoNsPFtxr1sgLEU9hVWf6cHHceJwN6FG70P9i5HfjTR35mTMnLDuKlsT28+gIL2zIBaNhGihYO2GFMIe5yttj31tE/BK9p4F1MBKAoAlhN2HJqWYjLxDzRRL8wWOmjhgtFDGHTdYRqRG4Bh2mpBXhzlunFovAeWfBeAkveh9unUBayaYr0l1KCPPTG79+sQhLl4uVdv72oexujAxJD20W6gzP314ra0SXG1GYDGO4UxkxhfszGyvzZPTqJ9wnQjRoQrYpLRNEvgBzpFa1hpg8io/gGDWZWZcUr1m7PPBNQfMz1+gwb7Uk5DtRp9+Shcx77IwQCozCW+bjjmJN4Siszo6Ct1QZWyEDg+8PWJhnvPSvyz0pquPAw2oxzqo/AKLYjXgHuO9fyNNP5IS6/YoyYQfnS89C3rYIAqSeBUfZ0K9G3ltDlG0lgTaMdzzcm8Pyf9sU0JTHUb8pT/MWYAD07jLWPm3UF79Z7ljKstPmxA034RnRGie7SxqEhzxaBILFCLRZLd/SNL2wSoXAMNPzoa0y0CSuJQH3c0d0xFQF/u+yPqpIu7IrvksmnHKJWFqP3/U5lNNKDK9ZSWIHgiSmKOSxIRdfsT34zvdROGaPNA8gZsppJ7PhQCEQqYV6n8H94y/VD6IqSu2FDcOPqrSMJIg/lKp5hWZgiAHBAKE4JlYnd1z6UKYCUUmqQkww0EDKE4at8tUvpxNmtVB4nLTNu3lLC9k/4kxcEUMvplz66HE/rRD3UqUTcD44CCtJFCXfVvGfRyZpjvt19zbjSDVCfLXxtpOBaXL5G14UWIYp53IkcLjZdm4cu2FJx6Sj6Tg6cXwYxEoDvsffvFXvkIzwzDaXJNxD9WKYs9i2HyOR9gy/2b1F0EF1LxfqQv9Ausg3OhTfyqkURKfqileG2NwU0/1qWvF+MkNd5e40mupynWjnf3x8S8N45I1Q79qFDIygwZHd3iwrmtp3Gy/8xEIUofaN+UXNw950LI/FK1KKtHGl9Ar6YQyICVyRlkJRMAOD45xbo6Kobmrx+qRDDch13O+olIBVkM7sgVbx+CPJLWlKOczr27a6fjZWMcSqWwbxDBreWv9RjBlNbblULa6j1BASqfgvjGXqWZQLd/6CgfFLq3CTPTmiJhbcMKqsp0wroWmsxNkvJoieq6tJGuI3UQlaAWDwhnv+iBjLxaEjutuVsOCm1DeSBF1BU7lKHrjHUZoGwAxHG6CeznJMW1cwhzI5xjrGw4P7Vr4KjK2lvfy84yeIjpyAooT2FbZN6cF/jpLJxqNi9aA2LGcMhFz+/1OAZNWtKPn1wk7yfrRlxK6YWcVozmLwrge0wf1RqgcK9diYqCcpjVrajhQU3CAyC82jt+uLab/x7zMPSmw/s9/czBoWMT47s+MOUi3BQ01EgoeloOV2O9ixd/pIMX0DdPInqDOjtCnwwbhWQytuFByeO26RNNbc2oopmjlxD3LPrfqpUFS099RS9aLZoUjrfrqNWJo9YXyuQZg4KLB9kxWYDdlldoz2GpbcSyCq+PcXTIXmyOb6q0gQKokOxe+JGZ4So+9ZtQKAN+I0CY+Kbz5i8wqY2RQnXuVh9ok12ceqfVe+V68l+y3EanGXnOEpx3wzxdNNSXyG/GCw2d1J1UkUIee+IwfuAZ0L0lVHDaj7GK6Ufuy2cR3o3j/2Nt4XsIpsxByxhQHwo2H8ongSqnL6X8z20XUne121oY/0OoNdOUzjze6lKFf9ZOCzWEf/9KJVp6PPo9Kz4BDFUG32ZzKLvmbOKpDKaEKfEIy/NfFaBcJWZKC+NwytzKXHEAJ89p6oxySbYEoQdg7ps9eoMu8M7QJv6rjfiaUlYShKhFDRNosxggmCab1iyuofwCtdStW1bM7ayf1gSBpGVX7EQKj8BxmHeGb8FzdvAhE7373gDhOycKASFgscN5jli3EFQVbYJ+MhQw3KUrfw8RhGbJ8FUZdhKN8WemmhjY++f1zRWTQNVRAxlscOL9wyUu05++nzHuCsiRP0gB2rbzVp68gWvXjb/VpstUbTf2gxyT3KGKNye46KDBZkpeU7oNSHzCJjvvT1Yi3W5FQ5BdyPhjkyLp5PC1EQJkVkKgeyka4RuUReISONVDlNUSOpyFno8CBI7AdFkgxHlifwNVMQjUTGzpVc0lXQbc2ySRm8qo8x3DwC+00ETLY1IG11ciZI0D2kozJcnV6fXA/V/r1t9WwZacmoRAOEGJ29lsNyahyNGTvJr46DzEVSu97b5eGsUQl5hvrfOnLM+euxXXDdDkjndjZ/LZAccJXT0reXCqWnagrpeDOd51ulov26w3hHZVNRXtBqBzhvbPjZ2Tb1yubesWG3qbJD2pvgJT0o4DMl+V25gIQKLmG55MSM45JKLj89uZG/QS9gCiy7OCPfAJhp7onK6Zo0RVqCc4U3tW7jbF7Z5OY4H2cMru/y4zA+vwiDjKIkIhht2OdXOwJsD75hVbXPayeacj6qs55z6Jo0voHt1ubI1mmN91Zq26xzFnPIs9o1aJ3wUbBUIvhfa0zmn5PFVhM7exDM6LAdQA8BMt0iK+izwkq36I7IvI5SxtDR00z//YYjV1XsyJotwLdbJDLQUcWeOnhYsA3/W8mmeEbVMy2GPay1YJJ3aMJGZyzEI/bqRd6OdcdYHfo0o+SW3YSr8TbZhl2rgk2DvfXlGDIXZJWavAbfxdhK6mc2Nyetsa+LZrRXf27pOPYLkROgyeMaP2O2JCVmwEdSU2v4dKQXQNKLH73NLIB5jHZyVO1nLSIvB0Bw11qtLf1kJvot3gnSyPwXORUeIIcLM8roMPj1eCsR99fCtAKGwO2xAVBzs8wuRm/6hPmeixls94POszCLHhI36rKiOnIz5KUVJ5pGPYRFYDQGbkZWjUTIVxiq7BaPUf/MaSBuIHkE5Pia8oa7s9cJtZ88+LG96LLgId91pBL2RWRTDQZTg5uiW2RsmvZTYkIuvN6b16x7MlnHWV1XR4/V5prVnL3bkkzQPl/LxZIpJ/JCu04iL0Crp/A/u2WBQ72WSMjmOQxobTVF2/qQB58sQ8MbuPRwwZTtBa4/WHLcrfp5uRAdv3D2MkWFp9vPMHpEPn+m53vJVRIonEoLMqrACxiysB14YGtYqTZt0FtS6olRggLoFVhDSyQCvEpeHvgg4nxDKIuaFvaFWOOz3E/Qxhetw9P5r6w7YkgBFB1JtUbx5+y7TSAaC7QPqKQisJvfOuPvJkxG8aZjNWFrvJXr7y+ClH+jSPJPYKUXo/pm1b77K9pB0fExrj2lNg/5QFJlrQh5fm6l53qMM31JgHi3JAZaM4hYft5sRnyzxV8wXr6DQ2xKeBV5bz5EmNtRQM1XGKFYIhluj+wi/7W0P+S31td64a5tEZL9MWy3jc7PYiMid4dG6Rwhbs9Zd981zgi4b2BhbMXsavXddZ9LgV27FHnX2VodVju9xUEWkUOYi0dGls4SYs45LwE7HosN/t6L8UGEySEez8d5R+2HLWcM6boljqtjrP7iGemFyrAYaF5uK7jhtDvrN+kqfYYKJr0ISN1pipXdSnof4AtQudXdSbhmCN96TkSQc1EQwZLsAvLoiUctJy/QUed+sLF4rP74xyJYxEUrSFAeVnmDYYZbeODn4Y+osEOkJURh/jUbyhof6yC/Rt3HQsmbX5MtcoOuBkgx3sIMMY2O3ELefkTFLT3Rp+1b1uNtjqITgUZDIAB3z9bfWjgOz8YCAYQWsO2KjoyNLxlDU3ZPTjuA8Nq+pkGe3P77MmpPfQbLLF5x5OeqMFIzIR/dCmLxIhFcOItwqbajPQouUBICUqUVZNkb/7rMkMGftRlZIocPqmPvVATBbT6DYoBaNuO3pz9eqvW34GEkxgoSCwsXrwtKeeFATPHutUurWsYiVoy77bBCXwmznDtOrhANTLK68vhC1N4LR02VFIE03tIisqmqXPgY3PDeeWPXWTeLavGyUlVF8ecRsd2JKyXMK35Ds3FbL9ATS78Dvw4PMXmDZLbCEbf6M2+vOhQixGORlrQ0+U1TCLH9Id/7SWQekLvW9JQctyOC0uZnSF+NGm81GamFfGGpuSAnRc34j2ee78cAGV0P89JfXN1W8NgOOYSVK9u9iRLH6FlWrI69R4kLPu28x30FjXMTvVHr0vqWntXYhbysp1hDEtOcCUVnU4s4WLjPoLFcFXsSfqgkA2XDSw204n11fmuTudmcklpxW0Rno7AY8+H76cY6qhYumJTLTdq9A6ESKqTeFvlYG1mVdt4bIKP0zM9f5QxPaYvMSQ6riRkG3e/O3aDlEAdno5Wb7D2FViZLSgwLe8O3Ge9ASgZHiyFiG7I/LYYPFQvbLj2WNh/0D4PhdxFJVgJN8P2Am6z9tPaxbyP4m7MCe09kdBxD2D42uM9ITit37Y0ckcXJhwTe3aWIQwTwXYPmha9iY7fw/7jnk5cdOWfRUI0kwi678swfV3L/cCY+siaWw0yMIafkZrGhTTYXGHaForIK1/iMGDypepbMXiTcNT/yDpb993G/lVRS9DDa9uFVNoAxvQ6eTfpFdDKxZblSHji1rOf8dRdDWtAOz+H+xMJub8AbX5m197Po3PtI/D/QDOJEoEQBmuOjdp08RYLg4KeAcoVfBT/yqwg91maro49ND9birby0iX9hFkQhvhF53FoIjCbcp/kqVq8hYZvv6VbfkPCO2QmbqayGD/V+/7RGNY/rGjOcqJcv0x7/p+npdtmvh8l5ShD18IwcZH6hVdxQKjh02WlT/yAxRmymFjoRKOeWR9IJyYy5a681x1OKOHwtPY+7Zbb8rb5J8a6Bu++xJrDJ6anrXp9ThN4TxGq2iPJ2yoZD3KwUKp8UpPA1FzKFIoa6b/SblP5QSmCLrfQ3Fy9PTjKLel6LYpEe2lihcoPgVV+V5OxOELeoIjsRehfGHJmAJm/QineZEY9zY2HpZcL918oHexH82ZBdeKu4NsAbAKI75Bi94RIARkhrzmXq6v0RGlv/KJjxAZ61el9Ax9hHoosqFhakvcqoFZ0WsfRvXp4rINfdmIVJ6Gw72M25mVnv7B4AuAgedgnt9SIMHFMs6GvkZei2it3nDsNTtY/Pi5PbnhlmrsgBF9T2RGadQLrqyqg7jujKDVOeb9k+yPmDizB0adNGmHTgTb7GIF6o/OhOhigoHdpu37M/D4ngkZcnliSKaZrjBD3jvoQibrgZfuVpc4L2xPBDySmfsOlmF+2yWmZ+LS1lzvY3kkPie7jh5rxvbv8YyaOpxy9+m4Tf8Fl+PP6/SJkkhi0IY3yjvsM0dZH22tl358jLHR8b4JqOIFrLyThZTWM8G26Gc+1XlGjUD7rZPLiPWoqeGC/slwZceFACQrmURwjARldCvJ9LUWdakNjFde4/vkzBKeeAKoXTvnuT9/iNGOiapXXWkBwW54iQUnIxRqegCgqANGyZTAyiBYMMj8BKQ6JCX8TbFgGvov51+ZOAWGMu8k5pWJ7CQQe0DSgGWRw8itYKA2YXhWiuymlt4BprikB2iJfdPxkiLT937ApVqEMk4xTyFur2dJC6NAMPmwsEB/ym75soeGo5zZy7qX8SNHbaTMCc1eizyqzHFgjDgp78w3lxH/uV/3YcSu6KviCU0BAOBsJHj+8+fank+e6l0EitTfC1ULFsxqiwL8ZXT5KJL2YArETEac/0b+LwGan4cWKZGcoUidpXZGWkxdW277hjlpRAOZPBszpgxPgYe9sRlMrriXd4EgaHbKwsDlo2RBQDxpGfs0941zF+SmZDO58v5jIC9ukWIlSbEDpFo7A3S0sUm0pjtUjyAf+D9rygpJ6Xy0179/nC3QfZHdS1v6/fL6JlP/ocR1aQTZy8Ln0cQUDMl0lL32+bVYZKzhgqcSgYL1Cljc4Gz3TdzQzscz1XXv6GqVjNrCwVKwdRkPNdb+7ppi6RbGdurSV2nNvppP9ISF2p1vzcdOEmwtqa4OmTZH1vWzBA3rm4nlx4pqjPErmEqa7n3o4uW6qmDIa6JEtX6EGgl8RGHwtfhGGXxrdRRvBh4tIKMhWdVYAMrjlPo8Zwxf5MohpdQsA7Z3sFkP1i6jab3yHXXzBvKLL6v6oBWP4xUweqseP9047NGgn4Ziflgi/ojOkfMiHZMsxIKf5Gf63F38XITztZz4OpgClUHg762wYPLKEjj/hdwm/8u96hR2IgvpNxiHTXIc3iH4+0Tk9q4hKgxIR4rUEt3ATbI3ePfsk3eFos4zuqXqyIsKk4eJszKdAX5Rm0QERQklVVQl3qgL0SDBNPAGBsvMt0ZcJk0HNyBa75kzmj1G5S6jEoYqWdWizV6xmeFcQ6a1NTfpIhKj2TXB8Z7qzyf0sbL1has56Fg+Q3dZFG07FaYmWDt7eihBSMX2dchiV6YQCoJsLEpi++weZTWv+gTNmFSwOweBpZiVZfK9sBn0Q/2U/jT7B/FJ9gAE9Tb1biMGwjCp5xJ9zRxJhvJd6g+yO5TJpTiBrEEOv1zYEAwHx4kHgOr0Tn8u1zCnszUEe0dJ2PkaL/UdGPqwowLXAFm4TFcrVLKU8uzNYOpJcOfoEMSipRjtmnu00q/+fjwSu+e7C2+NlUMNAellVSyta6N9Uu3rir8tHc6DrhqmEGQl8egaZl4JL4Yoy+BswqqffeU1YUSbpq9fvJo29uD79n4SGy6khhhHICUCeZRQDQRnwGwuNTELLdiP6KZxUTXeLjTM0s4y0sQRMusZ02b/hZkeH+QHnIhvkqkGhISEP5hg9CYlLq5AQhhrDuZz3nklgZtGUnJ3NLC8HoDESs0EsN24aJ2V/pgw5ZgavefCqzLN4oQzhHxNEZpMADO4t6YvAmWmVeE3l/RIz5QCpTI3nHn/poSJWPxHlA7Lgp++g984xowVqzNRV6DJnn4pK6EuLwZqawccGeBLifXz/I5PiOW+6Uj2j8Wst+6jvOm6CtZilsR+2gcsO1luM9FAc9nP8foAb1RRCHoe7iwnYTupYmO1VQkC70KikkxoJvE+kTkVJCKsMK4wJaOyWtdKdxwADYlnUnCBKlrpbR4fwzs9nZhDYbWkcozx0GmPquO94GZdTttZ1o+WKRPyks1KFvex5B5sf7rhvilNAnQ5xMBjS4bP3CEhTjuwRG0g5ws1w/5p0C/nEsVTxdQq+1pJKSNxMv0xjAFhD+Gagrl8MsYHvQLJbyjjh+qH/C8gZLt8qTNbQo6xrfPTKR7vRbVfMLD711jmzNs4MBdhMc5pdqQTCj+tj41UGAauYO74z7c5FVGEZkTIP4PVLSt4wMfyRs2zD77FjlU5XDDo/k1RiMY5HkKtQ4vXP4TrLTb/fxuPqQ6AOxpKgKJQYV6euRFZr+lHPoSW7nhmALI6/anQVUwWDUxeaMd87dtZBpRaMbMkWA0ygbfqaTO+j9fat3YXJtKijHRzV6VwgvNf5y7uDVnrmFW0viKTu+by9u+2OZTEBeuSIEHg0fHLSkveCYcxAj0GvoKmYhjAGcHAWKwRsWFkW67KhirbKfrHcLXfllaJfFi26dcUWceo76D1NHKpzgcKHtGbfJfShHO2JFQGedMDifHjQNPFcSFN++BuL8woK+na0kuBXYa3gJWliBiLy5YELO7APDdHS1hsKHIP0PitJPi1Xpszk4tWHhtJlhvMwPZrXT0kih/lFAuAGDojmq2i+F1txrU+Kf8aSK0R/wNpmq+IkLlm6z8Df7UMQZQJj60hQqGZtBxCmh+Pyd7IjxsFpH51GpOfWHdbXwjSlLc6ezgswyqPNxFImC1jRuLDOlHfMmC+ed7HFDczVbb0hgYkDL5K0WArYk9hHTptb2VjVqYDcZdDtEd08TM9rLRMMPJ9+uOLG/xkVTPsMZuHt9R0RZ41+z1CHRY7RHVLzV4Km1+RDQR3o6fIhsvZk+ouNTCZ/24icoLcvuOHP4dagcuh+vwP6PDpEFOiM0kwa+NCcpmk3DXq0588qavY8f6eHKHgs0v4ZTwMCyjVfp1pascFYyGteD6KBLkhoJhBwfIb6pOIA9eUW/EjinpppYadvFcf5GLV055RJD07JcV8HxDLeLXPgCSabBxMj8QXF/PuBVPyEYYoHGopoyKSnjplf+JKLMGi/YZ0UfHNXwMTplQVghg5vCLuPvyhmsvfsSiaOhrxBtdihqGpr+AxjRQdShQW9dO0MLJY67Mt5BwhkRaQAZU7uEDWI6GhWRtQJ/TNSNy1THldeBhlsHI2+y1WSfDNOircgMVh/+3N+yq7gPQ2E92vpVUE/t6vq/L9Uia95mRdUWJSdtVWwjMrQVMBvDPtHHjMBy5HoCsNC0UB/MssOzJQpcEMhmlU/aUQr8zDcaboAahUpRyRJX6dyeJaU+GCtyDyZbdH1c9SJ3Htw06H3LNOxjxjADOd1jI6h6E7fTzTDAHOeSFIrN97fFugykQAM7LRauUhe3oe8SRzhhUwbXiID7CwsbMhPKuJURhpXX/cflnCSPV9sZkOkn3UeUcjF5/pfMmYm6S5GOe0GRjbyUIT03aYeIhtyvoHNWXrdJjB4w/c1ukGJ4sA6USI16lYfhwuiSe6TcTyPDhhXqts7vMk/WzCauGpAC03wC2TKGmWiJI5/8W7z1ahNRZ7ged3OloVnuUE1P+oeroK609t+bJ2+3KBYV30kYoECdRTSUVSDNWVP+GlTWiSdWsF/gwkSt/lmbZricTVlIxSy4yi9Fp87BkDk8FBiHDXRN9gJl1bx4JOGJqiHNAy9cL+y3UqR59w1RmmojMYR9GSA+eN61He9wluXpeiCmlS1XLPUOv4A4glz0Y6/wfqvcnv/t3RgUSzsXHEmXMYtYn93JeTFD7VjEFGEqDp4XoPHb3Ua9FUM6FWDzbEnYSEdw5Jk9WGEPUNzT4qcGgvDjZR/+H0YahGJ3lYUKIEyeQD1bwBQK/8qk3YewIHfztGX4WTiDxO/wdXMhvVtw06iBvJtC3bvMnKkwQPAqRZG7L3XxaBFB6BGkU9/Ju7xGMtdEkTed12q7GraBhKWQET72UhR920TCY3Prma6bfX/WZMJzaORSsaedh2UThmycJkQIjPke2dPwpmmfLUA9IHD/QqAUrnxlwXRwj5qtwMxAnhnyaZpnovrAWOIy1ZUPvY/yt7yzMdAUjryDQLKYj1lKfYzBwwqymzfgLaK4yt0PgC43wVCVCcK0pzcvGQjk3l+k6ZwXywKHg3EbZuUxSNxWKXUuzKZeDoyIXccpqkD6qtDmJjWLM8/q4CPXRDfXp5p/aEQrluZtJpyYtmIPU9GfFlGTimzeK/UNzyfrzamWlmauSIcbxGnUinC8LlhP0i3FcyZ837QtTM4iDt+xKtrXnusQ6YXGblob5z8fgHq6U6jTi2OC7xJFJZ4maj3CGHnSKOivu8KR80+QeINyNkBSeErg/s0S2ikuMhsEt4wxQ7Stjr490c13i4K9JzZVrbEqgb8wNh21hCSMeGopblvn/LUpPoam5M++10mkESqpAR64cgX3/Y9g0Q2qeXKY8fVAM8DZIGY0Cf5HSpFeNsxZGT+nA3l8zUF7T+7nn2o++T0GKd+MALzYjJvXepAkZh69c8e+rSvzh3MDhncHh63nqJkaocyawdKQ7vwTS7wI1secFIKIuxr2R//7KCEd+VqgmAl9SQKZ2WojG0LRfTcqXEhg9TfpLUc/slmhv43PA2U9OST1yaHWEpJ4KXhfa3tgG5A0x7mFO4e2x8ufpm1keJ9ejRyEx0IT5n7PB8RTy1F+e3/NMtx10lRdmQjmfjne106AdyZRDGhRuSdpuCTSKpWgpANypu3S8z82e3k2aJ1kT5d2MNoIBaFiIsqWeiFscMVFdLtStijpfsJboB9A5dJk/eIEMh4D13LBdMCOZ5VZ0PEo83zQGwWFwL98xFYRel30TuGzt/k5pMMVqX1noF0HbfdWLacmD4PthIJarNvUeybUiAwR+4oMoIJwY+pAj6W/jgtqaAwe/ijhX6xbxkngiDV9oai4CeSLgbNxHO2Gq9XrwlCpJ/HA7e0FRhJd3Jgued0lX0xJV1m14743jMcO5ngWiPTZpO56vZ4ciZjLfTLOcCFDu5BcWBjPpdSmcXwo9Qd/an7SlP9luOZqM3rdhHKKalz7JbpQ7vBhQavPdxh7KLqr/Tumi+2mVkfo2eYrpheXwvD6Npbv3KXdqgOyKvjGCkPmCEyFWVG2WOTWrJYcX8GTqHHzBamA6/pUt1+OEHg1ayL0hB38Qc7NJMRlB5qdFFBy365NhqSpWnBIsrac0LvmUogUwhlQg/4OZBDUvQCuro2dMfx4RzMYLO5LE1cNL/3rmF1DZxKXJHqpA07EVpSKgIyj5ndZGu+w2PFbQrrI4wi2pIGH5js/JIeDD8qMCPLSGcn/DXINUKUbmPGktnRX46xbBTHm6sFs/H/4TqLVO/wb7aQRGmnBcwIj350NxE2BvvS0pleiZP1sXgvS/DIL5vRkpe2qEASvULcLD1x5vVjO0iXafB/+jdpg4QhGlp1U91yyctIoABWcL64vHLjmBJ2htzb3ciYLI/lwAem59Upxw7TvoSrw/EHwMFCC8gIq2w2o7tCBDkK54Gxyozu8wrAy8l9lz/gC9ug5lBvNn0hcwM9G3FGxve6PiXdsNl5sOrYWCNqLygZR6eS2dsjLtZlwaBGn399Yn6h4j40X3T9UHoZkc36Q8drq0gIT0V45cJI/U/MjC3ge8Gyouait2b7w0pOiUu4/cv1nXq7zdtHLuMvgbAl/SBN7mMABN6KHpNGuZuoE+7GlT8BsCpOfTV8bzZZvsxCG1VkNbziv8kRfiUn+42/YV3Ktalfj0XRpUx8L6wzP8M0pM4lLWzG2qy1eqV3IaulS87KN3Phwqn0xLAXxpCZdozsXTKCZxxK+ztHraxxF4tVykKYF4aN6Ky7kinqjo8h1tDWIl2myT0AH3O0JN1hPq6k4AB7jA8t+0DvkF69/6djjFU/oYUVgrN440nBfgtSBaAPyqQTikPBkXjugj1x6H0/IeI5r6xNfVLP1u85R09nBKYBzbkwY1elE5EiKovX1127iXx/D5mnM7+Fqo92Z04GSwalNkFV4pUa2GUD6Aoy8wDtEfZ71dRBmEOrfpsRNKiL0W1axrRtKHesRcx0fnIDp7pIobbMuhUCKlGb4xWHmtgurTromS5CYf9taQyQrtsDetL6UmZ6/gEMEDOpR4E2RyVctgio+lW32ZCy/Ekij0xJ+T0s688ZRSQM7C1ugA28rh7oT12liZfXXQi3LKN/o2AzcVJJeo5TlwE9NDkAZJHosoIWO9ksvUy8pkaYJ9I21COh398e61k2KdfIz0ffreWo46gdr1ViRZnzeJDmartKaewyB2fjMQW2UX5OW/ZkzNeVxi/TnGatT9X8KTPnE6j80nuqCV/b9hfKM6eOmhN0jLdxIVunjMutDIoLa99eaYtLe0CYBssffPI7NTO9iWXYCmz7kvvNvmCpq0EVSqtvVaa+YXX3TKCgaK1h2xHyUzMNUTwVUUAn3VhEv6JhaRfVA/xENCS+4QSNoxj0O4yNZ5buH0b765YYyR68NPxBGDmMjOXg7BZilpts/0MCyf5ahtuvqPY4e9fr0Fd//TV8lUju9gr4VKxs+CCU7uyMH1c8PI3ja18gchQ3ySJJfqz0UypOzAoqkziw8btP6y7u/kz1nTxIf3IHEI9TghH5ie82QyI1R290Ne6Rz5h5W1kMDsEGS+W4ZdooZt3ISvv1q+5lwHT9Tbtgbd7MQwGZYffXuksk3I82RbOWjn3nDOnhfvH6I75mAfV2hBf4YqSaARm8/q5eMaDi3pF7j9xA6jgGJ+wQT9LnF6R+8U39HHLnUHfyX8SlRyD5204b6aelALOgtAg24hzUVfIXTwh5v8bOPAkrRlfl39JwEZpJQ/GkTCI6ZxGW+th9AMgWeOgWc5zIJvNWTP1VvENmS8lPyQ5Khd2swuofZsto4jvuCjnaBPoMdNPpngwsp9dbvw73tkt0ydfyFU7FWrwzcpH+dM8JpYktfFF/3qeSOvdngs3OR/VUYO5vh0RuBSt8kbAniEGjZjalJzvrU8bRxe+UacyQGic5twS4aUmkWCDhv99CBVjaVHSFT1jvf8ty54B5tGGGucnuy8ukcP2KE3m4gPX14Mggk0EQYi+Tg9u0FIDxorEc+vlObUmNyD4TpcZxK72OvV3DB4AF661a8qgRNxk7HFLf4nCuYBQhKdXfYpjszqh4AjFjBP/i8SGp/uJjMxtFIYT6L6QA/cXxGkONLC0ePSIDYC+TroP4k2j8MhZEsWcbZ8zwgp8oyGzGnQGIEQLqagwfVQZAboPWBOv/tu0KS51RKTAXKnf6hGdL1SyjEKDfbYzJyHXVkIZNo86S3rWCCFIT1h2v0F02bAMb8CQqth4rdNBhCCcgMbZkvld3RKHedJ2sCsAl45iqFzqreIGBQAEOmbUis3yzlIqTRMl3XlNqdO0K8sgtZH0vuPFz64Vfkr79ZIPa+N+xYqpHnrrPcE26zYMGk3PR9BTGiAi3v+i4N/33zvGlacBeXptLyOsLnxFjE07OKXKP94eAYct8EFW6wDhepnnCHE83Csl+CrnKz56ao73YdteHGflCf4PRTKftDcKTFmHQhXXULyrQ4dXKvQTHol7qauVnpt3HSeHO5lu8AyBXNeRC/5yWxBCUA196fbTjfUY60a7peX8e/0XTpBOMwgSE31vDJGSQNH7L8WzbV/FDrYdXVNPl4YHRbNqQ8Fj/ZvNqKI2asSyDdnRruyxSFT4YpyMaot+STW159m5oLPHyFo5VjblbjqfRBVR/2h5PWShQDbd2EL5Yfcuf/ZI7ajtoEXaKafPPnNW25H7Svor6n0lx6uqMUfx30yH3fDV+PGuwpIa+E02JZyBH5zdLBNJl4JkcUMPOy3GD3GBuBEHZrEheMvu3CUoic5jPTHF74m/nFUWcWz5xCl8ctx3ZTVUnNY+KWbYrueP+DGR1q+Fgihqc9AgoX3znRDxRbAnGVpAIQLAlrge65FdSFlxuOiCZDtYpa1BIDPNTgwtqLmv48mGiuso9xmVimL5tdsPWUzyVdZcvqKYdz60IZMRwbZ8pD9+ioyRy4PYMVV7nWVkHKxJMniGHWIjRkwGIkn0I2dWf4F2NKsKLA5/pLwVoGsEdcj1VBBEuxz8Y+TqhIy4eLVAk1ge3yBsPEjkvTHzi9YCJLuCut+6lhejs1PCtL5PO4IqZCKdBQhEEi9quZWjgwJ+78o41foMbjfpJ7IJ1K7Q6KJA7210CPjFWl0pLj8Uu0urCaYagnFj51W3JyuMY1oVY1C52cDO2PGHmjaKzRSHD0A1ys6lYj2KsSuaXldcwlEcVQXSncSPk87KCO9w7h3y2sqhl+9jTipP3007LFSFG9lUwIRSCEUMyCShp8VZ1uBoRRjPoRiOFv84bsVwtE62+rYmZL+QiKrZm0tVwCldtd8Gjmm7HrHCkMS1qzXPb8KV0be6nbddU1F04r+p6uoco0Ilw3tgvdhxg+UYCcZ10mnhxoPG+aFTFJYBPGq1QMFGeo4i5ERv1+MapzW2eZqxMmLX5moMrfzzLM+iSep4NAJH8DO2MLmABCCKkUjT8L7aIrF7NLOuZn1A6z7hI5qgsPIQCLvfLPtD18nAsupaPvZk2fQawz9K9r4ltYmgZuGPkvS1EWDy3aTlvVxn8Pvb4bGiE2DM1FSC4kQ01EDJ/zxar3aZv7IihUFYl0sLbl9bjmiz136tqct1+g3IMDZN8JF65J6RLs6tXSWVKAAA71acBBQMpYhucw2/CLR9/L0nJ06uBJGS1oTiWBdy7It8YBjhmcnZ2eDAfmbBQFf4HgT85MYtLLOU5N6mhqnx7WhyxixThq3nopbcOhX+6gtVu/gkj9TedOm9J7UvOoeHz6So+/5qUCYnzzAiLGCXfitOv1Q7zmQMS8rXoJspMjWXm/fmaAjhAeLJQBzB+bd3Cf/aXDqCjFsZJ/lRuhJlMrI82E0IEieZqySFvZCHOwp3b+dyKhRB1B6nYDgm9H7E3OonzLiiPWA28EYROfdqMvX8NtN4lWQYEwA5aeAja4/VzHJnaDC/wzInvLvqgw0SLvLnO/b5kMlsyzvU+iGhZGVC940wEntF99YKI3ymvZWtXpuFil7mxL6rmT33jPuIJ4MttTcAAQvkjU8nxcTPQIQaMgCzqxq3W1pT1qQJ5t/r0y9jvP5KbP9JEMbuRrpq3BHGPYRCtXryRNZk+1ym0aStLW8cYF9zsdPmPiJKQdvhakyhWt040wrX+WVkZFSkh5dac9+OBcWonj7C5bG3iadtdl6Eh1D6z5pHBhRHCInOwMEQCSDa8XMFmRdW8u+ywLuZvRODvwgwy+6Luf+WaO7nAw6BvDGM6EWqEeW6ZB7NovTVqWAcFsQu4nDBBr2iS26tqKo2N/+CiDOb6E/UeQc4L4FkpoqDTkWW+4GuPQIWDsW9qhJTCJC+7H/vZ4fC3FYNgIqKTkkFUYJ4TAZcAffJKt9vM9S72y8rXeoBeKQoJqJpmr/Vb0Ho6KWyxRTw/vxwU3K4dy+QuF750sfc23g87gETs5bdY408IzAYR8z7qixIJoneX+lpKPEtEqiX//rNlnjXX9BqzAvztGal/Aoa5WV4fFbnuck6X/4sKQOfcw8O8k7UB42i64ncoNcMbRUCeUJ9reTJhxhF6myPYf2omuEp/X4zd4qiaC98BqeBfKAJ//Z4OnUXnyYoOBEfBjbBN/UCiwnliRHr5w4h0uPsjSEvbACfXQHU68gebZj8bcp+ii2zn0F85wkhvAXRrY0lCejImM1DCY/hriz0wvU/HhUY0YxPal+SqxLRlk/f0GBYlhRQPDMv8kkOdDQRMgOhj/HsJmziRz8D1/BufT4Wg9f6tRYqTE/p/XVDOEuMvL9CE8hPUDI9oIRF6NCiIK7q68bl3lDPm/Z1z6Tc/xDK7HV6YJZbrqZq+fFhOTtypeY2wdZkbZKjKUUb9ShlCiN+Hq2P4ItilKjo50oM0FL93GJDWNT+1waI6lTdQHBwddvs89fuawtVKNZv3NYLvS12yEYaGrvXL17K8T1MqLdjLwTpCGrCBbWRDlqo0jPlrk9fjO6C8XrY3o+JdfoDs8+rRw7i/JGyWimZxs4d/kR+oQSa8H9pdeEcPjWsEBweEOBp04m91tIVryS+qIDefnRVNUWj9Xxq4x5EnCgel4yFBsXGhM8Sh7ibaqIG4A7SNSMFnkIN+IP6SQ5S3AToGaZ8iebQRcQlHtvMrgIMwroluSPCRIyj3702bbz0ODX//uGz6EaQAdyxdAJS08FBadap6VNXRC6r7T9uEtymI49fkqZGqwhZPyIspGu1CNfqn4encLA6cVMUFtzAXbV/TPIIErbUflu2d0TNV499HJKfrrfcJ3yWD1HX86nx7vdH8iOaMn9I1JraBMRss2W2ARIJ908zDrAvwEVyJ7s+ZoT9jbRllabw51DYx5pNNq7MZ9EYBL3neXAAlWVljg2ZVgo/PZqJhlimTWVagqnzZLDxAjHp3xMhnvsBB0I47ZbtDTCyYYvTsTj1gE2fu3IaorBdfP5HXKajQDZL7Nnl7qbDvFkZkQH1W25TIJ9Kc7yO9x6xIpQ7pOIxen7v0t+5pkb7ripbFOVT6Ms/bDXWG7tfR5zWyl661IRSWXYUiXbEf7NEhCewpC9AXig/lkLVZ649KyQZA145516g+SBbFyTlWbYitMgD+5TkFKII1aPAIuDAO+AZ3RzYAF2iZewAzis5nLLco80EZVkg0ViaBdGUxae5LsWB5CrEeGVAd+2kN0HRbwdTpNDlLJ+pymnSUW+a+gUYvcWVnOR0L40pD4sv7ThLnog25huvHXtlG4wu8WMSimg0PNyjDvV7owDRVAXUIzKX7YCTCwg/ZJsMBNhFW7yoGWWEfZV9wjBPXPjm3gr4N1FYP/Zob44bZkVsLQb0LtRmwUYfnXKXOGMQzxk7NG4Gn/i9ivscP9voijtxmLjvAsltiRbgUbrY63fFFNYUUmPobFE1NiNzdahm9BY0FKRF6T83c7JmDAKcHMXL/lxVhvc+C+Nke/j7J8VTBYrQx/h+vX9pDhZ9QCBxUKBNr9JeyN1l9U/KZayfxQzYHiGT0Tz9nzSxJlqmws/lEIkeQLcSxZ6Tw/19FzjAwXAyfgdo4Uwo+xTlEd7HcBwpNBiR8Mci3weaZCcEHGIBUQ0D87LBeiTzVHbZN70UTY1aJ1jTN7I/XdiZjf89IiS1ezFBR52nbuDcq6ZgoDRtOWLZUz+8zu69ryT4e9a/CpkVqnuw29CiSPgJsv+xDccgJYJjyhmZN/j1JhR7pQmu1oEATiMKQJNhKc3oK92TTj4ek9C5jaxIo9Ss57+4/tBVtd9ewyYb691DzVRs52t4BABidoMZC9O/WzzcoWlSxzniiZUE9IYDdD8hQlaR2Wxm0hZJoc0zekeruRu5/pKuideJ3tHDHxgEmFff9ItZRkreoLHtoKqKXWgBbcvngFJ3ETUhcxHCodN4hmDBMx73bd/CV9hrdZdZsmhmruVV5WCHQHQkXjPBm20wCT3pVbHodanoH0Nm92HSNPigU7qtNzxUvleI9vmjvZvru4WYkg9GHJsBfRp6ehZjdo1/xQuc0FzRWz6K8H762lBfuEdqMUr4FSw9zkzi/OxKuAzZKYHKgEvzWxo2dEg/QM8syeDnif3EjVhueZbCfx9fO+PePbONWNuKccIeyZTaS/EIn9EZexeXTxbL40CN4/rY7+0UTwmFCs86la0Fuyw2LvzHbpxDR/wR/uum2OHaxY8AYPRgLKqmExek0ZW3EL/YyN5GD+KFo/CkSLCDttzrooqY5nTOqkPyXRgKtAIlz4H1ovolGsA8AQj/zdbhTXqy/nMu7zlrBD7NFqpogMxQQcOpqbrvhu2mKswBiKcFvCwApVk3yoEd15oN6mxyQDlYUqoMP8ZgpAr6Y40O3mIzkLx1MkDnXWX+J6drA1a8aghCksEXXoMtD6RyhSF9qrH9DOqqPm9N9wQEyNXInFYFJncRuAfnuyD00jAPjId6N6Judh7Scug8ILiG2HwTIlEmamcFqVZPrdErxUF4If8729tRNZENQWnjbQB84TrXLIw6dKpqVB2M+eq5tlL0jSqHstckfOdBtGdYc09O1CpKWMQRbZBa1exBHUHj91olDRCH8cROJxybYpCyMfLfxMz5l+Ap0+t4dXYIM6VqXLR7wz4TLOTQhUHL4ofWm88T0aUl6gMrFqHQDvV3wVLqbRbDDlDjl7QfcQi3rR6uVskOjU6lqtLHeMPuna2Hy9Ct4H0AvCypIhvpOF9dTut/zfoRZnDiw+FFkDVbgG1dxxADIZOQttC1lW4Heeza+33iAFLmoClq8ahXYfy0gZ2zqWw+iX468+unB8sQ1B5cC3RKfYbhCGQ0jAZ7kp2j/1LdQgyCMcQaBrwpn5BLcL73BMXng9atXEZMs7swl30skA9YvmLk+AUepqaoID/z1fO9ywE36LavFdLJU6KEn6hzvQr/jI00sr8+ibz0GD95YkWvrfuecZ9DkhUKAlAiX4IysIDbMTKfgUibbsVzBXBa6F3nVvd6o0TfMCfNraMB5RmJdc1bTM9tDazMEnv5hrvG1FGVzBIQq43E4A9QpeoDY2dPenxnGnrhLq4jwULwxqeF1enCW1esDBZJ64zz8iA7Z7kk9XLeNnq4/vfrjE+JzsYkdNiHHgOJIymiolcW97dedKcdAUivGjwC5rTWjmLD0YpFxl0gr5nOpbHIIYGAx+9TYtSpEB7X7T/lJAYidYSaRqjYzXWncC/za3j/KKe9kz2XOexuYWJFIC+/sCL6Vjefu0+IahkDQiEjqfxmRh2VrcOyW+Qhg3CvFzoeKMDWUT9HfWrE/mZDSjiNBn1W2x6WKZLHi36osbAbolRmK4EpD0H291Gol+wqjEmz/e6/rfZ3ZchLZEHaQY+84fBTAVc5Q5xYX1qXjOyeMZ6Zo0I4syVSG9JlIH7FTiOzlFtvqijeR2YeilCn71KsKXbEFc0qbosQLr6BctxshWgEf+IfSvXrNz0PkD70LKaROTq5OXwvI0EmutWc4dX8QznrGkhHQAqS/h3qbJZ21yRRkcNPoKGQLlS808Ogjcd5ijLD05Dt3MDqavre/fdMPW1EitqQYrqTJ2TFRk6xMgGgPtGr4wK6Vu5vfIbfxnE2jZQXYSgQQeA1c6u7Y6LCa8t3QQKeJSQXAqVwtXl8VeqKqEN5AmV3LpI+IMVyZ4ibrgeXuw7M7RFFHws0i9xoTc8DZOPS8tE1L+cnDtLe5uzuI5yrOODHHwPpzgMjI75eYCj2wusEwpNufS1FrxrWWK6E51Io197qlyVc3Qu5q4l+fJkzvwmqfqgaiaEMv8lxalpeBzzQXBAbiS016VZdHRzIbzgrOBzpS8L2iPmmdXSfjD44NVE/Q9nw+r20gXjuCXVZ4wmKwNTHeArL/g+XgM94/ZYbReVvmSmnX+owkqCjCBdPr2RTeJUYGebM/3Oa6EoGAWoutCkqmUFENtS1R40R976XACKgSHyDSxlYfZdxd/UJHHmVq7FzkwjEuNIpptfyuu+FnpKloHq3m/TR6zHyFVxOfq22MLEMfl7GVCbRgLEtrSwIvKOpv/w6aWh6SQHqNFIR1bz3JEwOuZOSdfSK/JNxgIkm0v1rxunEUsc/OgnzY2yehurdGNOPXMrx17mpSNdlJIS6RZROWKmFI4FUsQWHpfb1LAJFPbEs6oGix0BkG4HBnTIv980QyJozC9xH7rWUQ3ZSAMb27yyGU2xQ6Fm9VMzmZ7Q388wcF9mHRVY2a4DBZdXdvYu7G2K5uh89jKnpXJFOrshsKDSRSz+POp1nkSzIDaET0c15QgwEWRCVlbEDZpCxrpflIsszhAd9Yvr/wY8ax7AN9lrVvA5sB2TXx8Kwp3ZLdLMoq8cihEj0p/VBvyWouMkOYZIG4qC2mv9I0j+6UNy78Ruv733cdjqidrgP6KVprGR3AG2IZ7iQpX0/PLr2QGnU11wPevci9kvZvIztiSS4h15J6Fsjx9BeXmfou61R98iFWQlEk+ZNOOvUeJ3L5o+CI4HrpNlIajBV3H2CJr164DLCjxi8CqfLiy7q+l+er8SXH5/jzBE2Nk60AZOc+Wz1K0yHxc6CoBkARBBZ+NDFvhjpixsir90N4RdZbh8P6F2qzw0Ois53MqojFK2gMQpXIekaU6s94t0QjBDW+BB2cEjFpqEOHHFoYwNgnR+DF8iXJGQZ/AgFa6wlTzkCxAEeJSZkogvi6t/uBQB+NMQEG6dklKkS38P32EvoqTxdOHvlW9r3vbrc0YwAg0vrdkn/EvfZL+UmU7ubiHj4j6RL+Dzrh0/U+mQB5WnfI3XiAOo4891Qe+/Amrq0Uqonve3O6AN9LgFOE8GVPdbltKa63qtsw151MuhgQbiUSdidFuOQp4bVpIK9PEhvSgqfl6KSjVFZBp7U6sZ1vK7WmDGMQCH+rF/J7yoocDC6XCqkdWm+/TiOLn6YE6tUyshJ9k10DLqwBZXjo9XytYrTrVsRSN6wt/PXtjwErTJi4RBy6bwCD4+OdoxvQVCnH8GFshmQIGKBdI1BdWEu32TQqR3dE+yKWFjIDBTS0+VUsKweHwJCBSenkewbG2wWum8F3kAAc+ZjvE0dK72iQgE/5iPOsR8XBjKcPyArcYbey0GDMI/FVfOUQ9/xUCtyD/x6c/VhqOi5PqwRpp6JQmfVGxhZour37Alr4XEb7HCFqiDFbdGmA8vhI7efS6m8RPoE0OMhHJd2GU6QiQ+X8k3Rgr7rOyVXa8S2bvs9c1XU2z2aYB/b8UXsT4dALlUSm+QwYIikIJBU/6Cp4EXoDjZrxedctb2UDom4u38sPiM0pNSVdEUizu0vRwLagmAJHEizB9PmCwj9ihcsvh4Bxdl8qTirVv6OZOHt/8VtFEHeoaTVJFVfvFApXIWizn0/Py/Av8flA47Ny9gIKQvSGdmlEMb7sfV5Wt0glZD9nZ/aFMNRM1e4j5wwAV9Q9zCjFrdQkbW6cnuHh3F0yYze+DTW3hKfKvfzM7/VsZVw0BYVFHQfTn2ABLIfd+hlceAIGbqsQDA/Fawkg/QGnZcqztln6P1hWsLDv0z7d/KsqpoZ3Xrf9ZGVk5N9EGBscrnbygtR3e89j3U57sX76ipDNNX9btlfCw3QNRXQ2hgKcH03tt2yqo8PsHAfLuDbKHPE2lOGi9J+oviNp2NLvQwBYcvR9ZlhVHM0NZ7lSccl/uLoqCz+YAErLs8zUNc4wpc1r5apsD3xCdP7p5X2gbksMyTZsvxZaaWXKX7oPhbZ1mdej2fOuL5ag+xb2IVhv6SZqWZmj4KuToXX3o4QlKq+CetzyCONTjpi/UcBM+LtmPVR85U3XeHac1uSLhZSlFdVjAwFe6tXUxIcPFwLt2hIvWIH2sLSf+BuBPR1z7pgZtOEH4KPHf0WA10qGJAgOG02svGvKs2Jdw8f8xxTJT9JJ34FzvU+cMKCB2GNDoYI1igNe83kem6717Frso9d8ktj1R0/RY5Kz2Wp6iAPhTqn7vM2LbN2dXGGNDgEAP/375XNK53EjngZZdvki0WyxjdtJ00dK/vQ057gW0dV7IIAQMKodaKCzYw7Gd2npLmA8ZFoQHvMjv1+mTZM6KSIIg1IXeSN/cX51rNmV5V/Bf8KpLibl7mmUu9qA4YmpcynGej55jKgr4ycWDao+p0lVkfGOC51rwdlFiYQvVRhlMIgv3uNGfTEfbSj78vN2X4Fo1Vt/NKJ2k+wejrSrsTHMJ09URnv3Fx6sSDmzCkydWKIcwPaySiGNSNws6ELUKzuyCBm4tL82x3dDtUZuAMbAhdl3fsL5wA7rzm6kaawcbka0qDU/wRkNVzYmU0tTPMOLh6tdgRlbOJGECAKn+WEXuT2VWegKwg/sqzd4NnQm7BlOmjpL1iNGOoiBvYMBsQ+j/vmb1SugdaAIv1yp2xGeIZ/sipT0U89TT5T0QP/jFlM2zVmPrd9h5l9FT1vTQmHiPGoJxGNop6W0gef0+y5hVMbVSdbmMeTa42hD1dDqJmVgTBzdcy/uTFP3TDuxfiNlVWAGu8oEg2oj9edk+v1vMf7mUBe9rR6MbJPqmS6K3/2SNQHzIfZIuoa+cF3SSTJUeE8bFO18a1+vR8afTrfvO3DXzhSEYN3Z72m9Hyala/3xGWwCOwRIciDHm4u6EWOEhCDKF1aH8dfb9d3kiHet0YCAU9VFfsONAmG6y0lSUnSoFpotr/CZUSARo2Nm5aNu5P3egkIOHVc2M5mzDeIcELqAbIy/KH+9sPkbPtl7E5D8msFZj1Oa4570I3DN4EDONsbYm6KnTM1QrrU1xj8zLoJg1uW5grt/jJd5l42PFho6Q3reJpzJmETtiSbw7euUFT1EKGZ9/hjae1RBOIG6I9rFqIBu2JnU38DPavmNEqKkP3XkfrslAImHXQelYZijXH+aj8QReSHBoadV2NQu3kWKk4s3shYQWgDZQmkEeQrBJe/edwaNtKvlmlsDIHLt3xostHgweWChzajCn72l9b2ZJ3laxPCRKR874f0nyeyR50d1hGiH+QzTzFGjdzALR580vMwAE9bRlDg9QAGPzFi9JZvRR/KJq/fR4ZPQ7iQiG7k8D7ACncpQwEzgMyN4wSCyUbvcaNYo1erVdrgACAPgF0eV1cLPmEmh1ceKWtGIp9zJtSIFmdEvFSoMtr69vsRHDgnl+UretdYpn2TrFwWLZU2fzH7CfO0E3gL7NrPbejcR7jPb0wM7NPQGdXEN2YOGGumW8Lyz3IDhexzCmCJDNNe+Qo1TCTBThivK6nzYbb23JroiIb55ufS6bU0FZVHg4iyP+XLWsYguu0hevKXHLqxm+zl9ZxYmSxmar24K/Z7AdYfX6YoQE2rT4rrflf2VrYmSKS4ppAdDBAz+i1WByoD29wPWKRxS18ESlwamoKOx4r+gcsyJpU6w6p+dhVIxZ+EwxiIOFsGCTxHT2wnPbbgq9Kr6XwHXqGj+R3zxnJEiegSni4YKyuqXDBlDStwdix5WnUGCYFeRlDXe74QLwsHG3m5lokcP+udf1vrvYYp3Av7YLxuOZhjzObQ0/U28RgoKBuXIn45XPUuELtOMfoCCHeGH3xCdMyLo3PeoErdVb3JzhknK+MCk7pFMpRoApkXvwGgSx1eiQeu9etqynURC3BBahfYb4Di0/SGca5Hjpr2R+HbNw4DJ+lYFxlxt3/xJJ1LbT8W9TNr7LuRjPXPuWLkyJX+ZlNhXcbpIiEKxdaZy+BhaPjjjM9p2WU3t97cO4ODRFWI0HRL+SsSdMWyxL79Jz8nnIjC0rWSGNlapB05BLt7nXpulQqtTi6fuCz2lEhi108XJKgLZ9I60wXhEThCxINGrePToeYthxr/6aRqBxc9nuPV5s4BoZBVfKPGb4qlH2KevMfrqycatEzvQb4a0UcmskZ7W65OQ5GxAu/4rkaE3rrwyBCaM7/+xEAsPC/0FJwpxzTr1M2rDNbvrg/Qhx8lTX2eK/SWUwFJDVLe8qRhJzJBOydLFcfIrWP66hefA/U4XFWT9mG8288bsue0XRPVsVcyAiOAj3yXRAmOH2pJ5gsNIak6fosxwOmYZI50Lui/9AJ28c826sTSZz7X59/KUUTPv+9NZUmDdZjbaCVj4Z/h3mF3IkH2IGhoNhE/e3XLFCwoCUJfaFWfm4DZwE0F71EzefKGLy1SIZC1oMIzIOa68xfYlVWExtBIKNowKK6m1ewz0wEtAMQtq5Ahl+Av4Y+bSdqzsrvu4fLhQ7m1KpswBU3prGoTr+JIaNvP+3+nxfbSRwQfT7YxRPqKxld9T7z7esWMjQpSgRi+0IrMgllurcmpZCnrspN/7pfb6ZTAg0H8mLNXRSqhTuS9YSY0+ADT+6+0M/wLKCsMcqTS76NOX1MSbrbOhn1kyxfHwWJtK0TmRvqfE5/ejv4EgRVwarRyHwo38Oo3eAUIhYOC2tzVw1fYJEEYkKsX4mV5q7m2nrCosRMU2WxdtCbr4E8IbbSqm6t3D9994dc++Lyz3N8QUIFMZikaiwMPNuqcY9c4fUZDK35sDP7zsKqm/jYsIzWYhdvDdnrLMmjPcxIOH9fB2KXS5H6f7WE2NhJnmrhh1D32lQN9D7/N39DfbVlhFCpEF9MJdUqOhaAgOUWyh2xw6QVP2dTql+Bkjl60tjvPa8bUo0lbsqmpG5hmkOCI+X+ydlhthz6FHgDIp41g1l7NwfWG3nf</x:t>
  </x:si>
  <x:si>
    <x:t>+/0JUqJpmrais0ZZ+KOPmbfL/kwWzJGJw+Fbdl4Cx0dKBZsHKQJF1SiRi8rb9oC47G72gDmLLiwrzeB0fmf53Zk7r5kVh26JYr3X3QNm//WglRZSdrrsQURiGTcCxLYFWjO1zxelc2DHEwgDAikE/wdN2qHon3ImNw/OBg7OOefVoufcpltXBxbjjHGqxuIpnt1vNCiwgVJ1vr1ndODxjAfKk5LsCwXE/m7lDQepr+G1IW7FmES4I9a5oDHVLyItdHTp+EmrWx5KCfM/zLha9cCtov3KndffOzGmgSx06pHUSeYUiggufnRfGyf0qFzFBn3h3G0JzQGdQepkWP/EntOd3u4q70jA2Pi2QRBKivTim5fDKiUwSOlDBLDz5d4IS64U3Kyg7Xcge5q7TwJUy7SfrJbNry295HtjBnx6dVkmmWx9ffxTNvE3krsP+01J1gCBhyICHFA3HNDL2/3acPCLXRpy3A5+jWSrgl4bvbSiGcsa8CRvSLAVQ5VCvCH9tGUupQMrgSQRJPzdnQhHx7xPKvJQfnnKyyKwxj21LpltRctaWRt8L7X0j1mRiuivQaFH5gkqAbEGar3EtDo1wOUUJ7ifbWcB6R8+cLhAAMLlGpj09UfDU3hWqeVcpWvseWA1/YhK9YKOCUSAnK2BYAgImdVi0xUShM0SSjoJhJyYFnu08SsgGY4kYumPs3NCpUi2VNa7CQTh0VbkUmpah8OCdN7EN1Zlr5ulrOSV+8pjtJlqBbOsKjUyb6u7ChRT7in55AXil8FE9zNFsyHR9OHt5jyty/9iO462e2Lpj0+tK+8prtcPdMClbkBqUO/0pYUyIprDZTz0QwFf2foNk3yXg9cypgt4eByJq20xK29J0EKDEhHTlo06ferTjEOM2av3fliCiski4gxOBRyjD2JTu/CXBLLCMFL3YFznnc+8N8ECSZrHpIt39LkoCea3hfiCicnabJ0Q4KdboZwfr4f0zXmsvmgWEFk7cqR78iA2QEblGSnxjO907we+m5Rt7DdflKdwuR8nHmpIybnFLPZgfKbKqUoU4MOMW5znG8sF7ttPwP/xBgtHT0Fth6nm64gHyCL62Wu4EPvkMnQK4zrrZESiLe5/kmJYh6tGFZI/gycJ6dQIFpfbgg0HZDuiEAB+U2bCTqC+VERyvW2BNBKWGQBWzJcDa2yuLY7uG8axKy6q18VbrmHQL7EAT6gQzD4YFBt7C14u/DiwB7i5otOnw0Zs4Gj4Ed2tOwkhHI4h5jqUkVHAyIwjY1syTJdT2+gPH/7oPsFKMlfH1sLSvmnqE3fMJ14CpZ/AdFDScNXWVst8hjM3U2cm6+XfSa7bo2XwVHB6Yb1eTccFtJ4g3NoqLOJJeWd80zY70VN8e0NM8VsaQeeqnOo1ucrTbiQzyTu8gs7NJTbCdsp48Yf9i0FjbGSYtqHnkR/GnxGGTAGalb4m8R2SRYGpkb67W+Br/23WWHenNPSKoXUz7xUBP2Ucvt7d+qg0rYBv/Fk3G167I6v3P5KYwpiL/lebMjnEuQ2vqWBZhouI+46SSUoeEgztNRofy0eo3C6UruXLAxxxKtXaCnmROPg8wGe5UJa4KKQjHajrOfXZckhtcTtKhEkATm1C8BHkOPfyQg9fxISWgShyPgURq3D5rLRmHFz/WAn6M2yDLV2iF2Ym1BoYExPPk1w7Z9DAt6Wa4/3Nc7Bg6ewpar8f3TzWBTRarHmWNlz6dk5D7J0bIRU+10dBacycnP/kco3SL5tleTxljjbQc0aHBUJc8ROimWZPYWiYNcp/WfES7CSLz8m3W2c5Qg0UqqwhVn2/+j/eBAuGDLn0BVpCzZTR+KUO2PG3u9kTakQeg8eBefff2ZS8UZnQIQI3UjuUx8u/2fU5CC139Gpzpc3qyfsYCY3uxtux2g6mb5s1Dm+W2AqDMLVyg8h2V5U/RNJWU9hewSsqSYbzOpvO+g71Nz1oRtCxMOboeHJx6neEZxtv9Y0PMsvGf/6aCbgC8Hmgcojnu9VhmmayyzAIXSx+754+HX22kxzV1JhD67o6k0xKa3f6340m11mTO6CrFHsVU4Iqx3xALECMueNNJzWIMd84ea7hbLfcV4tM/WfF7R2Y4hRPVUefAThoAnNosZ4PehTszsI1NxF+jrgd+Xh2V+IPbPUej0EMaZj3APudXrKJjY6gcqupkvMIhcnqBTZJIPIyEvjuL/PFbMPrbSh/QQOaz4z+vhPy2bo0FwI4xgGWY/00ft5V/KbIrV02M0U5/nQ1Ee0/NvwmlkOEbT22mkCAvYJvbj6Id6SxF0vHmnnFa5elEbsQixYjLLfe3UUwgdQyJxFt9Ozf6cXPFhuumz6hA/5Ea/ohbNPLD3+P5ZNzLm+rDy/RVoWLCnnpLSLoCiwtuJxhIQVS0idXn8NBbTF1IQ0B+gNSvOipjx6lVqYyEZh65mdZefebHlU2Y8DiNLQ7YvxEsClbUnvEQSYKcUInBmapnHBP42IS6swQirCK+DD3Ht80N2kvO6L+SSHaR8qJdxUi3rFQtV2Y3uRYk2WlFE4jYGDBR3WGIr37FO6GyCIc7la+UizRPXH8twc0fAWPXEyZ3ZRwrv7Gxv6f44UrArAJpUhgMJJG5X61gyvDL4gr6yKSEQgOD1zGIU4z17ELrJxRdqEvVc9gGjOCaHMnh4esbWy3mcdlLgs6N8xq63cuEqb5MLd//RGQ6qGydFn92DsJdWgqgcfPhRTXbBsxFLT1oq85kFBYzuxMhBs2AFW8D08tT8WUkoAg2W2Y+fRbUtHj6w2+gmzGWSpve4dxspKDcCYKrDbDWewABwxxgfNl0WwBfCmwftbEZBfIEM8aclaV6MM2+BRxX5J+joOQ2n103GDOJoGpQxqx/eOihMic+NYMfZFQCyxRiRKtmoDIFEo3EuGaTYKdYjwAq0SvtErJmgV8dsKst9J+VXa+ftRi11cz8dFRiSbgYyY6I6JrIario2uTGCTedIV1KJVA/9m2BSZDpzGiJE+YMV7F2tUh+v/b+d6PTHtNOFNXDNO/BtFF6vYfdgSZYWIiizzS4hZmyseWY6ExXfzHgDosAa5YUAdVt+oeiLbQNxk4vEy6w/YqhbOL7aoIdLmW2vzfoOldQi2WFGByS8RoQfBqsfPbXPK1rBQ37cZ5siOMmAN0aMmtgRNfhBLACcIq/otaDSgq5+ba5hwl+cyYYi/k2EccIXlWFNJP7sJrOWZDJx1yGaQ+EVm5vOqW8kd1m1BDKaR4oXeQfQw19k9KEkBvXrwLp+WS3Cg4UbENNzxd2cMAOhfcviLJP3sPAXvlva2AyxmXaQDejmGgP2MxpNDD5ibrjv4NP9pURUFcQat6UwRwqU5ucgiR/BT49PBLtN1cYkExIcW7LbcwWJhmg4OAzUgO6ND8r0IqAieCN/5Ph7zC16+k4hG35dxTM0ZPE0rLK8SFeiFmtx+A84S0EuMDz9trExsC7QF9J68crfjvZxoZwXMeeYr69iBNJBfXfoptE30aVUTgpkq0rR6mj8DGS/WmyZwXLOBuJUqx+8bqrGCdgcZGS3wKBWk5D/KSZfWeHxwZXJ32Z16do/ek3b6NORKqIC//Z7+7eWKjqZokuemciC6MrTHnnVmwXhpr/4vMdI56iIx4Gm1kr3RTK9eGXlMKR4Tsk0MxWYWap56rYTYjSVntzn6LjFQmDNOXVcQR7PSdYDvHDKqCiWzxPszu5hjAaV+YMuB/yEENRsNFqg+Dse9ssC/+FpCsDGdTEhq9i9ab0RhXGA/nTPhhgeIs0y10NjHCLebNG7FHwYe7DbIDz5+XuxQ6lKgGud2saDEDe98o+Ms07RYdLkJaTgGXrEOdmK+FoR6b9SMlDJSSOxU1W07meAEVnrH3AvyTLPOEyVC7YO9L1KNVOWPOpVly2pGeqAHKtlsIo2AYhr8CHK3ssFjfq0SIuMqr5E1z1yfafGfCAMAiMhcdQ9tZKhPc29enxXv0xd/g8uDWEMSn6Mb7xBMvBDb6ehUcF9yfi9+ro9ANzgjdNes/T6FwWiDm6rqFQCbA9d/EMbOTmYb+WAoj313qjFvGYF6G4Rq5BpHE1fZ0zRiwWUCczObiHPTNxiVnwbBGArIGKLRYeaZVvNIsJTJKL21k9EaFWgyvhKXmf8Gmi6RoK37PFmytMJA67Vaeue1BEp0+7mzaGnD5/iYh8FDq6Yc96Cmu9v9z2FubQ16aSSaakXKO+9iQFXwawBcDEcZC4lWBl+5facJ83p6WPNzmLqI2BUqdINMocH0uokjjFIVOlfQp4rIH1/B0QY05vn+WI4WTHErIP27NaER06nIoQr9eDMzlQntfzFxf4PnTQhh5Oipgunc2yNjaSbHHYp0KISzog90r3F2jY0vUOIdI5uALPoQbXHrJDugvwlHQb9wqKDaO207yKv5+g58wL5cHMri2pmzZDq8WGl106DgwS+ExaPJDrUYXI8T0N8k+yNijrhjIARfE1NxJR7jBy/9TtJrTTkG/R+JHRPMpBCRaW5+KqirbXA85fMs8AQ8Fo9gwedzLWmJiQqh16OpvdSK8qk1pdz0iNlfrDsD6Eb5Us6gCJqvVx+CvF2xNFxreIda3cuFJeCaMdl+d9H+solLrG1ay47ZBm8ssMCOseFwTcmIzcv+sQZkHPUDXlUftud6X5OiITnbwGxxtqDibGZYDCw8MNmpej4WJnS0MeRWci6gU097r/KrmNr3uYTfAe1Wq38ofzFAGkkh+dLTPDPly9IlgP8dBGvBcK3XoajXDTk5BlQ9uIkpb2F5tQdH5tt/EVqA/Pg4IjURsQSluH5TN2tHWjDLVQLnSDtjWqbwAj98DtOTYdsjxs6zYxOapqntXFdU0j5QDE+jBjYBwJc+0Okit0/YliGeBOHc6Af3zAwo66ZjZimg9dk5DOZRGUW7TE/ZiNrYAYxY89zcra47OhMnI53tsSI8LgiN32fj87PiPG1pDlPl4S6oEXgxlfMUIgHRGptgevYOGHOZ0pj5TdSRucOyNwaT2CoGJ/OMzyl5hFimzj6quKTDkRDlYnYYKHv23SP2zmwYg/4K2+ariD93v5SFf40+8UvwkE9od3R6YEmfujBtpsbSE3iPluBkaZuQ/WTWt90lepQ5qauOtJhfHgNMUkY9uP2u7GKR1LpUK595c779Yi9283dwqjKccyQQ0oN9DDUc82rEDlzg11Z64FOv9XEvIECToFBTE2Cl9zYxWLVdqavPDHKlr3iNM+BLCavjzaHKrkoXCos/qc9eTnAbY2UShdODP0SGvN1GX+0tKeS7NwqSEB6omFxzrfDyrBEM5NmVV9FgrsdLP4Kac3qQknsHe5YSblvU16tJraOFT7STyX8JGxUblYZ7Z64rDu4rhLKOJ+WvSRMlWaPzyyhv61KMDP0mfWRwLnanHyqSlDAVlpsX8btdQHHNVmIV8AYpub4AwXsByBeYAu6RPiXUAjOd4jW1/IOpIuZhsEUKv/9uWCA0wDaUa2wIK2+eafRlE0R/2egYlSnIDvLCcp4WiJbvLqGomNkVIwtHx3x5jmbbdFOnu5buOq6jKmMiGzcbH86HKm/ppOyBuWvo2+D5orV4fUtVuOO0CRR1hzeS62sbFvlTkuIvT53FWd5gYgHGH+a+9/XEkoXg5JgNaix3YwONvAXH2d1FGQFL6BGunUiHWUo5MbsP3f0rIB8BxaiVIfVCU5LP0oOaYOa1Fx486c0h/L5rDQoj+EMI3WFMnorTxCJI3zbD0c8Np9oarIMOB4bHQMBdjRLDR0GHk/91cOAT5e7huBXKDSOHEadLVtxGZB27B6y3y16bwsIwpcJPO/CIQ601AHuwl8TkSQ88qkd2+3K5uWgFQ9T9mS4za6/cm+nMtbnGtwQt3OUrMBODM7IfPPingNI0Lm4nrBrSL02Qtc0jfEr1IzeGs4r1HHjhHk1BJ4bRSPnzfcvChjODmM0F2ul0K0sHesY2uuGxn8rqoY5X3Qz2qDugYfpGo+KNad6J9ywgam5LYtcVs8pH6e1oseQxk5hXpJgP9UC0duLsl3TRN74PoIr6MzyDj2vCbCIVzwhFeLT78ULY4gjgblu0tErefE3uRRus6GdZRClIxCFvFFpQvq83U2TFC5RswF/tM0b8xYw3cm/2ZIPSuMZyV0HwniKGtaDqEFDmAmvaRC2yg6e9YCBlNnn5POod4fBxVxnhFWvqjDXoao3R5voynxW5HqR7aBtRtDo6hm2VdJuDc8mNcKfaUb7k7WSua63HMUSxPJM3Y/gIOLwvkUY8MIsD3GsmGjHtOucGDKrYxftCnXp2cJShF5XDTfJQD3AAGgIQ9cSUidHRDUdstVFXJWoTswSZj7zjb0upjLcgQan+bNlee4/LZFLNiyd4UUVHucJEoNbt2594KtEujiZ3jzfvNkgeKpmE7doNeqEhgd9i4N3+21dGAiOY6o0AFQKzS106JrF6sw7QXlCjsvvF0vPj0iKEQhcp78MbBbsabu2ZtXbVr783kQ9LWhglok110KGoaeCrsb4lvDBrJw6Pc6sJJXBTjlJQrYLduO0Ha5VuhcXgsrDg+7ujzKPh8cMHBrM+raGDnK2CyvyPek4lAZ29SfHZoOtH1jAv03VLjh6UWOQvLl/BcfelO4c89ppKhneoUt1eLh7i36LzWvSQOPJ8nWFYbaZA3zSbKZCLdaL4/tlciBa2ageU/yMxJM0yrwXCYQAEZS7Wy0n+BzPDmgNduA3QiK1OVoFjiyuIkQSLS/bE3oKKXrO9RkGV7/5GHPxxeHp9l6DposRKnSo7IFVmvEbFOSid8Ov6VPBJ44XcmeFFtZtXJ+VYy1mVE3SB9MyjaL2Tln4UZPmBQ5BWSS0m+2yxE863rl2QWfHoxipROmqqLqZkp0D34jBnUNeiHnUA78XBXWk57lfY4Mhe6w5FToKvdPIVpdFykh5UgRBRlZN1ygtPQvSiJhjD8v1Do4hYk4jQhXnXIKMaJiWh+q2L95Xo+f8P86/idpXE8M8rY/XB1XqDKE+oNKnNr83Qc0dwKKLGNnzWmQSbw46d6/Obi9fHt2BB+pbUXwa54RRYAy1ianyt7gF2T+QUCLczvknVxiu0zeeDQYFPpjLZW4eB8MuCEUHxhYgyG1NerQ4nRgXBJib54lfUXGZby9p+sNXuQ94JXqsxCuiT/n2/Ts+J2Lp4HTk3e4appnKL4h+Cfu6AVHhZmeZ/UP3KVc/lqB5m6YbRFmftG08hoeCh67/qxV+kLExeMFy1Iz9lb/cTnuG2qVh2Gj3xbcIhja7JMIUxFLnXGxCLsIvb3cE7y1lCU6r2uG1H/ZhVHcgZN622u6Zr/rjx7NR7o72rlE9vjH9AoVCKv2lf7d5B6KNEGUxFzRcXhNJNsIhlZFEEsH4C1Mfdgcqw/2H9p//bgSN5mrBYA92yeJb2GrFi8x51fDQPOQOsAG3hcTpB9qezQAL6TEF71jTS8R3tqu/FCYdXoylBJMNftnARtHJdjL9PL6JDONVXZMaDJrU84Al4h2KTcrDF3H3J+4fHcdlKqHPRnqBrRdEHEn/ps4ttI+tNyPGkYYXE0iR73/FUZum2hJt3ujChojnDtZZpGzeoG9Bej85rcs3P2yCgP9Vc/Vve6mOhHIiRR3EwYrzz1OJvJ0wOy4bmgCBMQVZ0p5lT33T2XXJLQcXvgwFzuB5ot+/tQxRUEdx/UPq7hfcE+mg/q/Tt896iqfbau31ZVZKstyjzj3kipjGZ5mkz4G7tWUTQ3bfNCGQzqL89xAY9ILqDxqiP7AfMH7lVUEsU7rfkiYskRufyZqWeeuXyXCRyjHiUXLXRmA8Z4Mc2cJuAAvZUvKZW4q32eJFPweEWgX1/wRCPpEeQjei/cb40vqErT/LDi+5zQXCeWB7H86leohXjBnbp6Wdu6iVjJgabVD8NJ8sMjWq6U3yY82/DaukohaflJQ7GAqEepKD8jYaSe22qmw0zwxyEUP3/pUlIX7RVNha6yBqjEQ424gB9phcxl7XkpFTyhBJfNh0CO/R3NqGwCge8JSbRAeLd2nup5aE8XIFPR6P7s4yqo/svitE1tzTfvR1cxlqi3WkUhlcPlq0qrV4jVuJgpVctVjVNVCE+MYgJmHWptTuTRl+xIFwKyw+CD2jQTgxkwc/J6iVIE9Tc9Uq/hOsJSpSYVpBdxSNnhchSfXJvckn7gwK4N+Aznr4TYJW7HzafYHXShn1QGkB0SINjwuDUVZaz6dr3OkkK4+qWcv53zXrW9fKmePwLW1Xj7PXe3QrXfCqwR4uayER70XgDPi5fgY26VjqBecNKhK9gvFw2un4zYZQPVHr68mQhsTV2y70OrGSPHWwlDA4OQZ+OgQQUjHDUGOdsQbqICRAUuRT92GiLEJ6SE1wh3yq5m+224SuWtCjkks8iSscxgR83RUdoIDkscl6NZksWEWhDuVKyTlND3EtGviry2eDQy4PBUEHqi/Lmz1Jf4g+pqWjwOvS6CnNiKepqs6gL5csuODiNLM5p69MiRLr/C5aD/NrrRbdnLzqMeI8H4num+H6weHrNSPd7K+p6ptI0rCOdRhamrjAGYMZTVkDN7+hUcdJhcrshWR0iIwzb35VGIpPRXAOHKNo8Zsg7chBORMBoyblKGHUMR2r5ilOci/9i/v9uryDMQYfDMO9P0nGEKfBrZsn/3KVHrjbYrzZpi/5/fUw8HOMhTBzil+9BOkPQT28VlA5gJQQyVk8XHwt2yU8lgTJoWO9W2ImQhrmm1bk8k5YdDQLg5nNMK9KPd055UdJVISsugVs9BvMd8VVRffPPALzumREcZl8LOjLqO77wMzXBWt8MQxCsU8ycpE1/5WtH7pnXlKxP4i31L+jJHcwmPU8bC8nTexXSUX8/KVbmJ9ZgQV8EO2y7P0U9TzJInfYCWUVPask0vvLyXMBck4olhgYNjqF/gQov3zno9vDVd4GD6Ndh1RMQlxv4PXelF1m9DvSDUDc2ETnCFabTaNZlhMBuU2shzpSFTP9kWbv3KZdJDJfE7sEtxsE0F3l/bHI8Zx1OOQTCGrGsI0LX4oHy5ZR70Wv4IoN3d8rkZFUMrQiwJzwsg2qJ/wOQuAjIPeou9EUSxtK4HHnDyNTzpeSIYXqFlRIePPqh1k5C80jaI98OLEFl1Tq/mACPJktfUbKjrWNJo0+GiBG9z2lAVTOXtCV3kPVkzRFi7DF4KcUJs4xkbdh/UPvRg7lh+xhghyPs8dXWpVDPalRIiU2pkxh3XWcXyOlRxT2XmWmTkY+bGqHramKyC3NNplXeQ1TXXmwd/xcItrjR3HdtDZSTVV4kHkf1j3dq4t1qNpaFTGPF1Ka73Lsa/SLmIWlus6zQOLx7gbBAd9+HFdTDHmEUhXc65+WM6B6FXPHKSh1UbW2RuxXTOJMuLBPW0R51cNY/Xuu4VzIeO5sjwqqcvlQ34x3d9PNIwOASb3LeaGwUGDcNjVvVTx2AjQxjaCJfNOXjOs4tsdrkyOc2FENCl28PX6v5xTI4VN7s7tAHRkyF9NjVWHgxinbFHCW3tlWBAjNOFvftW21or6log+vUL9LdNNDThiTM5x7AJgSLfUjzKSiMy3GVhgzusVMFgODSfi7Ieoz7TiWp8Od6sgfj9fv6GgZV/5u+P0EWSnljmQwajEZWuEycEKpXapoUUbjSQCl/O1kEVLRl/gncX5vM5JR1MW6NZF8SUC1MRyzX/axyo/bNZiz+S+1iGMTVWx7MRyszAtxOjAUs30EqFjFC8JJiceW1XDvXVKDKoqFeUs9J7IsKsWryn22cnH8Lk26Vr7KEnk8CKUuDseNksWYkU53X/oeA4LQDunsvl42QnSAvGKbuUTfINCOnN7MpDSuxMtujVFCgwtLLYThXeGHfYBZ8MC0jhgdmUKcbpQisZyfYCBfswD8uJ/hPDuFzwlI3ExSJgdqwvuPOyvJ5pSoh5qw9+NiSxndTZPYthmAtK6XdUTMoyMePcKRFTWs8u4lf+zVqQo8rHj5v7yGZ5fhjNAD/iMlmZTcDlPfDvi3YutVinT9H4uqvwUur3x6+HFjgYR59TxgoTrc3LyYugJnp2WrLl66783ZjF7GZM1OYDIWWs1KdcB4XP4SiTNcvW+manDWPcxrLhjW2nBDeD4fZ8UvSd2P3k5w6W/0xPKCQS95SVdrN46sNrJV4ju/XyDGYD4/PNxCFw4RbOcZkuy652L5qWvxhcpOEeXnB5tsopLcLnSTGCo1Eipl/i0GPQ9CUIpugBunum8jSlt6SVccl3ya9To4+ixUUPh0WZJh7jkRPjNrMzsgb4ika0VT52f7RuZA7eYYJAwI7GUx4UMPcz7dfkgqyBpda9vK06UoZuW+JjLbnSPQnMx5nZogvwqn2SGDfbG/EpjVcIeU/78H81sIY/v0DTjG+QMrX6Vs2Ddzz29qei9dm88ecDiwucDkvV2KqutdQrhhtfa0w5obFccAY8IVtRBfA1cq/4HzD7bcauhxPCS39CDzHGkJHjyzamAIZDvi4kNHeTGr+BlR/aINNO2l7Jxzl866fATE7BIFY8cbsxgVBt6zljrtoSJc2wYfFRlV/dwKr2UfKEfp0S6kcVQA3Ql1FWZpOSxiHnIjCKe5/lGLqt9gw+9sD5RvF/2ct6roxHRKjhqun6e5HPQ5vbCv5Ty6dnhLtaUhkdC6Uc2LyhMT/rgf7Hm7xJ9FchciH0sysjdEZAHS8cI8NnpXzUvufZrTt9yJXEaLSwygq7InIMDZN2Y9hD39kyvGUEmQFAN1aZZcaFncvdP1v9+wpN5YsFeb0tOSKgG4h+sEOSonimHLBAmWA0YmDzvlLPGZTnhYhWJdTdWM18ELFDJkkRpKpvo3Fieml+a12WAJJH9OIbOc16xaJ96VXIXjOJIwQYw70n5AnDxtu5MV6/vEzigjj5d9+CNPMWaKACA2xqSYI3FxrRaW/1kkJ4XfIA4qacmEtjnWFXlDHx31riQQLdyF6da3oN3+eVDf5PdzGDAq3Sitckw0bn/0pl/ztJ1QWKewT4lFJPZTFMPgP2sMAgjgcAvPjtkGqZynrqJm0zp9U9Ua3nbzkU4lwHsZ8c3DAgReKekT8wgXpAueIYeyZsqrhBGzSzOfQzcJnHeHKZ22hI+GiwiLKyZ0nneh9u35HobyX8dkh14YAh6qcmBY/OUCUYjdrR2kONnn3kXi8EtaS1LrruKoHzqYPXjZTSmAxmDNIqqJNjCF8Yc79x+D7hgPTglyPufzm6z+twMQvZIsHoy3V2+DNLZRepEB8bS3WflvemFvi6V5I/BDrsMkrUaGVUXIjKPeK3hYpq+/3/BGZibQUlUbbVhNGeOdHPzlNsqaBfWQHNdIB/c4hrGYINkcFoCt3775I2DZYdogjHFFaaa8zGu2lPtmwoGIdCOHapMYKJHldaiNafXtmB7KTIQjwzh9i4W6XhGUTXqnXu/GMFomUkTYxcPX5FB8ehmnUlXMBRZ10zdz7AiqeSmG0jDw0GQZ1B80mQu45Bgq3ZIo7ZB0jk+xjhyNS20UD5g8i40GE4lZtC+4WtkEiKi+qSEBuhnIdbr4XYCetgySDCRcvvFfHqaphCmwyu5uUpVGiktVNVat9fy0UkWIH4cZx5h0Pc9XO22pGluwfX5hSCBrLHTyGnSerzkF4PHudp6nHWUV59I3sADaLbnjJ76QNRFMCEx1pWuwC8uSeIPHes1JCNip4LLzXZ5KL58idyBi6g9lyUXpCejCA1IZxEXYEh7UyRn9cLXrS5yjvmXAmncBs/E4W7VKPja5oIGJpumwxNcXbWfnZaN5Z+PREgezo/Cawk/6DSkIn8jgf7Jnt/KEBYApaAVhCR+UHSD+lWnOgy6R0lZ5Aei5guqo53vqx3ja+FTBIhEYsP0Z50hDYuLuLqPt95HliPIy+iaJa/tY098impNZeaN3bE4REF1c40lM5xo6HwaIXrMEGSSiB/Lu4SFRPprxOLhimhRr1zIYmPgoUYOcYKXfgVdtLMvwktw2Va8t9YWIEltJlObYedXG/OFEWaC9Y0QZ9CxazcjyZIw/nwPTJCDJ/NNQI4M3RzKBbn4jW8zz2M9iKkJu+m3JfzclNmj5BNAhMIAg8iQH/052QJl+XAKfOBKLI4nMNuRknpztaVhkdJWxQfTsuOWIqZwsa2Q7scjJQxBYiVakU8nS3McP8euho68M2DmaXp2dCnayTvQoh2zlaDX+pkzjOyhupm3dsbRq2QHhztYtCnzy41UMdx4lzSITSoeVVMNOdURRARE/AIoxT37Ofnxk0giCoC/0Z57KOA+ILPALSR5yzwNRO8576Cbav2TJKN7JeEe3T3tanSQ3FM5u5XaHuJDwAVkC7sAMmjiSICw2MnJJJU8o++pmdDTXiGB/Uub4TJvjdawJWy5yBbxfN1IQeQS+HczXQjxJwWAKnlssNUS/82cHAa3ZOugiugeeX4b73+Qd36ZR0PuoHuFdNKqzp9BLPE6YBI7uBUxDlm79nx2nBaguXGYlx6NRCjtz/LSMR0wxdTstCEqvWa+t1GLTjhU4We32i2hnz70MfoQKOS3znso2cxJ+RaQdursTnqEztUxa4pBHpfcCVWAzbM/NGBDzgLkfDCz5/Qj8crhVX0xIW3+Ao1ECcQ4PD37pba11gE8VAVGvSXjoD/WpNabAYYraGyisiSf9YmGpCBWSBig5uxugV4w5qYeF8PzTsVD+rIz4n6erJg4bXmcZKt8j05AXyN59DQiG5AzVZ8QSdDY+SF3SVAqOXC+WvvO0zl3cni0eSEyMszxUcgTlVKE2S00JVEjQPx0Nucjd61M4bIOrqYmIIhlSvl+5poferXORklVdwxFSH/tn5OCR0h/6vmddBVv2SE6kBZlxAoY/BETUfJ7jJuH2IjqOI5nfoBITWmtwBkuALuorRBqhFm58kZ3j8Gd3jxJG83YbS6m+ggdM7pBg4v5kSKVeIwENKhhVcJ3DwCCuAU39epbgmLdinvwkSh+7g4KoniI+WC7WnD/awctDPqpg7jecc3zkd2z46VUeXXCazYfqB1LZ0DvDO887LUo/is5OSUFt38rs7G7h9N9G+JQzV8aKI8j8orplqEKyVBX4OwWuHOAvgget0/ZKD7nxASVISrkqysEiWErmfZ2Dc8oVD+6YUBIauC2ZHWBG7yJjvFHfUh3BF1a31Numt2aZxnJO760YQME5Qzs8Ax+suyLdnutCXAMnZxCk7Fj6BFEzHTog6Y3lxPNL9PAHs0Yr/oYPDntPJbdeHu+tKfebsVylBqjyWmMvfuYjNFZ39Efi5mi87oVwjDJRwa0ZqQLzihVWtQMwAewdc9AFI32lEz+PL1PMos423NfmPs9nehTcz57UGX5TeaRiyafCLKz5FulCk6Gddf3Bbujuj88KMcMFge4AVjBhDRNf11b/SXO9Ck+qUF0YPdGEz9zaBUlhOZVw6qWHTMPldvDofmZPwGmSfcLRkRSuwC7zQq+dUg2Ae/goiFR7U2lHdVh3iTWSTWreQqhW9hkm2dPb94d990M6sEN1imgRTtyi7eXn5+xOVaA5Iel7M8dFOsNU9ragbj4ZPlKbxOspn5zckWIzmhYu8HeOx6FN7i397sulmddxWzZI3QzBkN4DQed/GL0Uow0LNJ1f3owpmrcE/+MmWKawxQoZ2q3JlkA7uzMpoY3c/fwZZ2IR2pmpavAzu3gR1FdGrVk1OeblcATE17rU5LSGLZX7eIiNjBQZlIGmQMjXCLpXuXxkm4xwp0Rv7Fu1ADRzX8q1JmCJeEeC+nBZG6e+8ElzulezVj1pDlrpKoF97hfi23Ad0hBvB7QFNBMrV6x7ctVpE+Uhds5+UkHeY/7+CHYt0vYvki66grFaUBQFrnvTzECRaqvPDuI2BVKff+EAQnM2BpoTD+LyhIhLpDJmbqS9fJGltJcuYlTKFyn/mRUaQeXGjnVYZ19E7kATHHOjECMwbB2K8x2TglHpfjmzEAOlPSQhEfPx9XKz6/nqGjU5hyq+mXxgtKg75MGjhJTD+Ur9T1rg/cYfO3rfdQkF/KCRRird4yl5oo731CMcMegQilbyR33+gF2G33XXFLiUh4wDAgMPEWVeYQWwv/r97YcL/AV+CBg1GAT1ctvm80VuJLs0yd20wz7u/X/z1wJTaVgKvXu6l3tVvc8T8D+Hh3ulw2S0LtlPQCaJGaaOkEvdpOvEq0ooXzs49v8OKSRUtjxgshiY/tGr1cTTpU0Ck0rf2pq9NsysQZn/nSHzQMuxVJ6E27j9ES3/dRj97wihyJhhKI6XoShEV46gqTnyWjvv7LwrmsDVjBYhaik0AWJH9sXeiEPfx8j0pXzGcDZmnr/x50Abvd45FxKYWzN3R8LHgdJdJ6dyBOiL8qcre8AR9Rg45HKlJbWSGs4dKK+8BCpFsTZ1/iGbSCyb4s8NjGmvdxtf9V625YylmkEsVZ8c16av/Lb6l5uXnw7ew42nq0ormJyLGL0e6VI7+ya81WePQXnr8esIh+mKDcyKBkCesRJR8bAb4AmxuU8nutzOxBEt99FrlpEFb5AiLaLc9G6LXyr4siEz3vEMtO1DILacLsmfnNq4X/Mjbwses0qRLcB4Bknyqr08tyMlCBWD07/z76jImP7yeMXiEj66BkzVrKyouTd3wTL1kUXxcomnVdtm03GP+Kspgt3EuPHBPG7u2xiKdKUNgrOe5wRV09DJl40r7sPt1M0bqpKw2kHXfDEVKP9hukroT6/HYkxe9GOD0d8gMStUX63AT0i58XsUgxi+qa+GoSigRj9qjSb6LC9JQgcK2/7ufQ0PrV6rel7O14osVPODfYqPfMe9QpmpdQnbWkV6OvTfxtAo2OXbdfBaPbbVD78fTBlupAvpk912SZWjGniz4gqA/zJknmMklJqUFZdpsSLwymYSXlNno3hzf9r1LNcejhholW+Cd2dIoFT7yZ0QR9GrA+vamd0XBtYtsOG1LpUVu5x6hcwA5GnilHDoaBTiHU7cH6ihmIVcci+urcI5DuEribfJ0oJEA4h9uNc2+KfkuQMp0QTY+5Xwxo2MaRRPzHvAtVTei5xA5RMjCWrrG3BVxp+di/53/sfTYZef3h9qqDuWFt2N3V9mL4uspQSaFu6Q8SedNDWpEf4fXv8F1RC30u6E1Ct0MvlB3bWGkJCw8SwbgzwPGL4D62DuCsFNbg4oDuvzWaggjLTAHaITEFf/McKC+6bnwJ72i4Kjdrr4DAAcDN4dJDOefPFYlBT7e1FeY1EXAgxQusAEs90hjNEC02rU0JNp6K5ubdrQRiJt8YttmGNczsiLsrwV4IEsd97WEQfi/zSlU+/LkqyjrtnD6G8evuLjDIxYLKUagGUwxD7O3cVzqta2haTgt838RHUDNJsLxXmOdhJaTSpQcvNfcD48Ovva38EOJP9mbRrOPfKO1tXUn1FD2EvNS6GuSNGH55J/c5Qq3vI/mBxPPK52E40QcvIIacSUwSj5I3HctNu5YkHBl7wzSJPTDN4iJuTXaMzdqYY3gTc440qSZJTTyyHv0JoSyAUkcWPE6Z8I5FWr5hPP5boYszD/3g5GjFxF4Ji52Gv2Yw4VPhKO498NHO4Eea2QHj0Ds4TP2WhCyebOtho4ILKY8n+Yp5pu3nEUyG46t2aq9BlGDjlseQNHlnfDdUq2FrpDym8hJIRfcr/WjYEBXH0GIAZIjK8RxPyoppPCS2Iewi1LnC4ADdWJw7J6k3NPPgrY2v3BzNcrrMHamYwHv7uwcAwv4hov45V0jZfVi9iIod/EjzNJjgc93G9JZfW4bljSTg0xpYBRz66ohQ/N7JqHGWlyXpg6ze12v9ie9NsE33t7HYHM1fFgxCsZrwRLJMYJCAhBNCp31MvmeGp/bOM6v0vgmoJ3ulSJMstSpScxrYpsXyiyvkpjR9O16mA5PnBHPKnmMFHJVOANNEplsmGziEGZRlZaZCYqe2IDc5FOlNMBgDz5cF6h8JKR/+s8FDdiUhKtZTd+zAgoQsmJU4M1NeuvwVQzK9NG/wn0u4ens4mCvR+vxlW1Je1l4gYQGYx/tALFwT+pfOehd6bhGRdP4M6GO/lbsCefXTV84yOIhFTPUmBG+49NOZxfeVSzpNCSCPpFBnkJgIHmcMLxtyMx+D1z15Y1fjUjt3QbVvzPpJ+NCMwDcZ7NM9NVb8WkRR3INz0m0YR8771waeOIBOLOsbgZXbGfmrB4znMqigDpJyRamA59Ply46cTf5JyST4pnDuVQgXtyLA/ftt4etRwx/c0MN3qO3wRAajdRFMPRXJRWPZCfeZRvP9/Jdh/jGXMQqvkIRqDStZG1DWeqr5G0EGk8xw6NuoBq/63NVEu/ocZBstXQZF0KeUt8FulprtxCOeYQ0JzHED5fzpjtXkc31fJ3F4dTjT7mEFo0usq7+EbJmbF3f+dro2cs885Lp9tuqTWl6UMjZcEWthYqdk2ZUN/bVpxzc6xAzyGYFR8eroq+kTOTjnotm3RpnXcLxxYss4Lc2k2jaKMX0d9wcFrkzcHIfHNEF3iDeIeEB/CYn9viD4Fh2PRTaGsIMkdhTTQwqO1tB5u/A32ZAtqcg0rTcOEAaQsZGQCe+cYSdCV5rg6n5Pbx2bGQZ3WjJxlBopAX3V6rs17oAnySH4w6hijfSsggAHa07Ocy0RHVAIZ4zuOAbFiA3S1rjOEQIxH0wOhKnBI4qZPZliUTsHo3fLBZ1rT70leVHcFpkjNFsSg8bZ5QMeRtubk6ylFbLAY3fj+SXaH8ZGM79ulJJhPhHIDTWGcg8GHZ+dQxeJ1HIEABOyA/IwFJmdEd20AyNjxTdfEMi8F5F/WvK6NT3psGLkOF3VgRr93imnag22S2pNYu6iGnUv/DmZAbz061OrFBEH+EJ05IZ0cehmYgVDAHBn/g1y+GTomJDUfxkVNX1pE26XFZG4dne0ddAg8p6kSYIvq/37IH5TqB3m8khOiJJ5/imcQSZou4HV5ydKiRTqOINzFXiUsjc68Ssh8L/BIh7C2evrUk7qwaF/+cd6C2kDRxTx2tO4kuz29zhB2tiLZ0ZskA8DEEbifA9kuIytwpeK7J4qwuuKdRtcP5Ye03CjggHHT8VQI3YcFXEjkVcxG/sMDlW9b9jsPcyfSFidg9z9biVSj6nnLP88K/T7wZTvvfn2AdqA3LlQEGMKvNYgf8uiPqKaVlTWT69H8rqBXndykxvqI40rl85NC5w257TPRTTFARv5fJ2j/7YwpMYWH68o4H1+CkCynqJ1/qOYUg+DogaLn9uXX3UOCfe/A3FU5UbwZZ61/DWckTckZ1baWacb20PgD+fiZCzL1YpXZNNcm6mxxiUhwvjTEGmRqJkK7Siab+dcOq1Y+F8vInM4/awyFKZi9soNBimwgX374HIi85Bc1FYXlqfnPZIFQow0Fisrre/nNyF0fYHlo6a3h5sR3HVONeB2Q03hHRpxeWTuA4r8JrnFShkWRZXV6TABU/TySq0atdsoudTQ1Nth+ESRZx0jS05t/gPshN4lGG6GACB5vv3xiDsENixBynOIwZnt4Z5eE/1KNYBzdZcVt9YcOnypMPqboYSmM6Isi+9UQCkFfkH2xsPSq7bSm5w9m4s1nSRDAS/J/ot9bLncgJ7FZ4XaJzfneu94HHSRSw/aXFBhT9fozHAynVeCVVnX5iex26dsOSd7O71EdHl/IO8ZoaGP0Iegcg3J/TnmWajcbFqL9Es6JL/7kcdoHf0m5qKJxulw6qjEEBlRdg6EcbHmD0G7YQZ1gRVLi2zz0kcFzR/6msm5wt4Zo+Va4J/yxzjwBRBpzuqyTXJHXKo92av11LjWwR7cO1HR7qhFkjQnrtBJnI1KNMSZZQsglkpCXeXXPNUlS7+CGsSSQ8B1+t5q448TSgn5GLPD5/Bg3X91Vt08Cy4dnvqjOXjjARGruKy2ja7oudHStXGEwgrg+ASIYbrjJw7A8MQ+JR5SF8saqoY36b6FRd/ZzYxXjjYcjIiB/Iyn9GYdnsn3PZi0tsC7PQZk3XjgbrNbXp5UNpgbmVEeZEiiowFj+aRPaK1nikwl/0Qxsp01EXvA01wuoC1dxqdmhj66LkHHY2nI5LpmIcikNxQazA8U1N+OQ/68ZCQMLd8zCc959jBvwOFl51rc1bzgGLE6GYV1LG9DoETaO2Rmswc18wsTdQGiePojwDHhZQoEKae2QInJV7Z1vUdAe41U5EEP93PGFoAAVwcy4EOeQB9x1OX9U4zldszko1zaULlQlNNDdiwVK2eDdwd3rrVUGpPQ3+npoHDGVjYqus3waAdsXyVl091cNOaYzXzkDEdy3o9ntN7gWOPWebgpxnotNHlmynER1JajkerNdnlrWW4a3s/jLCQ62krbaBm2RaGrP2NvIklJHIyb3/BbrTYTxeHv8WgsFNK39YKzF6TFGjjoC+MWwTc3m69gOzqjGx4aGsnJ0cKFZea44MxxJT+MGv/NrqRYkwP2btH9aCNV2if6wirk3iW/xy0VzPpZ2X9gFQnghD0vK2fwSPnkl9doz+y+Ya7jVar4/mxMAmXi20lTHe3O7AR/ef0cfl713wTYmGEmZm13RarYs6n6l94LwwLsmem8MeE6gVN6UyM764sV61XNwIm+bka4JKSjehQTdNdrGFERknzjgw2zY/QUX90rP5lFc8wgjy/0CuMtpXbgl1PlfFcIX0kKRqlhaZZyjSjMkeuVsTAnqoDqr9gJ+0bxQHX+vLz0WYVRvifJjf0DlQ2LvVsy2RomKLEGsL2H7pjTaIe3xgU7/NQWLZdP3CrJBQkc9/GXZJKPoCARoR5qOg0bKXUwl1sVuetSVRLlBxWlZQVmRRSqbIgXBcBx36fcFWdbC6Gqk4A8NziaH5TlwmvhXaIpasxjtTgAg0VX9jdclXbEfFBvRjyhJLINrC8ZRBatgLqYcs/p88qaT2urpXoyz+X4mS0JiVQHAX6rEjsWR24pEpFHGza5szVAL//MY0S5kmRn7I2OlBkkucsVEeA4q2hFFM/Q3LndGaIvNINzJLFjXYOC7/Qv34Cvm6ATkIrUotafBk/9vSLeTAr6GYgOWTNKVpugV/uSHssu/iTB9jiZbSC2bbCAA7+No21e+jsz5q4l6a08MJZTjfs30V9yAYwXtRFLBne/vj2vmY0NZd1l7+NdZjoF1rilPRRp8NMm+MmPxPxiVolvd0JIKu0FSL3+VFJjAw1l4NiFAVSYIdT4t9CzVTGY3iBbyuP5/vWe0TvHWpFiLWqk/rqBDKo93XIuhooZVsu6CDI7cXP+kZY+SoV/vASnbgYIdE3PHpAqtdz1b00+yuOgQqwmIZOljYgj4xkmVAzvm6Lgp5o3lwK0QMYE04JQ4CjkLNhYOV2BYc1GBarrcdDR4A33096JlbjzihUchgtYKdQgoonLVJ4CZ7eKglSXonZgC2bzXlj7SUXWUZKpFvcQVZsVbRiX+IOnvCB9cKx0zvtroDerpHwmX/jGmF7R19a+woc4RwJKJ6VqB5dCOiQRXstDZqEE3fl5D7g5I1CRIDw/cwdwtbx86PBn2e5+GTIJUiR7MDcwSCXagsfoDDw+3Y8SwCmzHHvjSGmWu1BGcJ06mw5SAs4Q4PGQ2IrU+uRaBYT09EgCah5RiCxxM485Uxu/nsOAR4aBCIhWL/vWxJ8/VZzYg0OkAh7mjHrE9+xgl2XsYQMdAe1ga6M/u88ryD25gq9082olmnrkgHViQ7uuzsH+QKigudRj2Rm0k23SpsGqrMClbwNHzxNCAT42UuEgdzlC+e7sJas6Jdh1bB1X65LYsO6scycCFeIaORtm3our9RAOkz/ZW3AGJiKuZ3O9uhb4fJKxDGEuIuC6qsU/bg/MIQT/g01Q+/H4N9bLiEbATo0J82bWr4uV0jo6szUP/OZZNZil3YpDvwJrAXlZdF4jekIcCh4Km1ZsyIwh3Hab57CRSNDPZzvrwMvIUYVlDbhdNLmQAMHvEPTIzkSfHCzOtjlWBs9oPGBP84+7Wcc13IeoeuFYOXVYXsX343UnEhoxOfGRQvx78/YsZ6+hW0RXA+J6nJkFJQoR1ONpxjQvYSf+KNDc9WXhUTfwgcQhBfEHX8lb8nkWUof6E32Phg5cZaCLCLqsxJTbGNgAjk2yDTCoo2DRIgbwCnD6DToigHLvNYCW+QqIoPABMwVaZTnwjZf9wZwxCvfnbZ/OjnzD8e1nalgBnrriY1ez5Tq/asHxtQGkncXHZ8caGxLxfPHb62fvGOEOuHFJQogG4F1IGlf1cVHuHzQHIvBYRbrrrThjBZkakDQzzkvJ6+63xCciyl1gp4CO/YaSttm0BZDPsWRDzn9TugGlCE9FUvyqLBSGp997QLqVKCb65KlXd7VC8xWBNvEvyKzKywbp0AZ1J7QidBFcV6swUXy1n4KBT44AHQdKzFaGjOz47BBnKU62BgfwFDD8uMHoofJWHRrsfBprpqvGoEbb9EboBOiOOZPGjL+CYejPvLdPPwpZVsd0SfA4iNhNWjBUsCzTLiSp/mCSOVI79XWqbevHizbQ4F6ryIm05EznvlbvgBJVL8eckn5kdba/4KZh6Lsl1wJE6joItT2fBX0MKnGS/zJgukunNQIMicU9ZXMMU3MjTzFSs7/AJ35m8Ame9g1YtdttYaZJMzZ7LR5UrVD8LDkT4lJ/i+8OAvbaPTFq8p22AUIqeozBu8PqcVrrGKMnCYb/78q51JZfEDXGq2MvZF3Q2xpJP3sYB4uPy0vcN1ROC/6vbJCbXiuhSpZILvEiZjwv7uluWeVp0Hwvq5UecPsSF7WpLsaLnxvB0CnoXR4mh0QOz/Hi/7JidgSVXLyNk2bsQalg5hS0Zf8br9oioS4PQ/PqYTWMZQE4KxfZYQXBh5wM5rbSF/NxgQSJb9QFmY/9vUd0t6UOxcSGHuPzpAuRAb9JGWZMsPXK6BCfM83jJOmVJCO18jUOyx2eBpqd0a1/BKIAgkNG+ZGul8vhLp3i00RKor0RtFb8GFwu+ET4uIYQTMPvDNnmHZQNrWJtNLvoohsutLUtQQycxPPirJBUlugCROXE5rbpamPt9UEZ49MJI5q8NPH8lSrzAkQflfXvkdCmn1zwtbuCInMCJDZ+XLxKyTRI1mjgxLK/UitQGbksghieK2DDfS5ei8MfgJnpR6dPPFXex1glceutQfdmAt2Dujen0IK1uBB8lYN04y+lHebY4trFo7tUV367/isGzJqmrnnZBcXf+qbzHyYsDOxRTDXmcfYSYjDkjZDUTdVoo7Qswjcv+4PrAotkYFb7p5RAGuHQQ0BEcNYGpyHVFULBgbNo/mB7gzzThNDUPJ/1SOcteTtYEFoQ+Dza1bEuX5JDtu98bjN980e7LUvhSezp5FktWnRNt5S7/gKyiKrOTydd5E40c4QhHYmQ1Ygy/Y0RbuT0OufTo6qPTQoJNZ16FRAkqFUB3jvmXwV82Bm2ldaU4hUMNRHJpVo/4v/IjcmtJfqvudnwTMSkxs/XcJNmKwEYwhC6Yrn7jJtaXt+R1fxE+xEQjJOORPVhaGFyPdzpJ/GBL8YDbL3K8t4nYc6Z2q9UvJ5MG25SdnIkcY2NV3Dz/PjnTzsPaHckHjn/bKj4y5M45Lk9wPmsrJ4fy5AL9fiuCh1wqutcnuF73b6Rhf+XcerjoYtAK3q8jKsp1+hLiIn9RP08d0X2p9RS/GZYP9AvhRxdmWT04tUKoFFTbAorDfvOQjhxEhtO5forcAfMQhfkR2df36lpbeEz2KjnCLAg7SKx+Qb9MT6YemOtWlmX7gD0GNvtXdD9Ta1dvZrgsoDpqqzsRohF/P3Yxw5Ou6SFKCtn1JXzXlBq0TfCxDbq9rF0vCmwCJVlagB/+Xi5Q34rv1Iutg1bcYifcOgz9u3A+Yga618ep0iiSI/SIhf1s3rCn8eQMuMWT65BpXkM6RCP5njPHEqPdk8JOF41eUerEx48hRCpPDaPH0NfmB7grH+JdkghYaIb9P7gi38bYdQ2gTC4jjecVcOG7suuHdZUpDeS+JuVlOkB7QAtbjofpyQyNrKuPnICcErQ4R+hCP7XKAKlw28RJliq1efVUN7hxs1kyHCw0r1I/uaNKXth1eCg3a09kBENEZw8RByknSD/eAB+5By5k4ya+4wOjKi6ObTGem1JPMKuRk7zB6b/S+uJOxZsuc4MaNYWtYNzgCVxbWmzQiuHmlIP0hpAwiu/bcnB3ckvs66q++YlgbggYrMVBGFNd5vbRvWkOpo6gDxn7aaRa9q0osZw8jx4BPDlVXOTCRKfpBh8FmcZxQBd1nHzCvGgQgrDaEePNVXngh13Db02ZD5Gj8lvzjNFO37f1n/iSNZfEJAVqZNH5ItHjlmikrdoKloGa2BwR46orb1afJ58ovvS4ucBh1j5RKf+2JJKQKkGR6skPrDNcmsfDEwk3IocWj5e3F6c1qM/eIEk5+yLk2WhV4M/m2bcig6FXARTU8x/BLu/F9y/0KxN2fbaQiJdeCgpP/0h3vPWoJ6xysUzD4n3iuZJBcC+nl+ByLg0dDXc+K8b6ywcGorlLTwTGJaflyzLQIzWJhfDrpHZAlnFWLE9gBHQpi4gUkfSjXHxGC5YWnrf4abTvL/KvEQrGZON25vlPWFBL4mBXHqYgKd7M2qUZqhUpTqotSzHYHsogxd0Ky6mbTqByB8Dn1NQEz+XY/AUBeXzKiobJ53K1KpFhOEp8vq8b5dN3uAbVGFj4MlIVR5FIIZxdwF7POHMkvqMXngY8bj/V7CzqKp4SY49w5kFxL3wSyhTbZnpNTNj4+oCY/uXMVszgewU4qO4i4lq5N8vRsirArdPFKla0iIPnvxmtKjAjCttfUm2Yw2f4LuyrqGEdA59lw8+tceZOBGucpLqwDiS1xY2ssFOSk89fJPEYQMutk2eCIpIh36wB4r3r83Umu2hqL1X6RmHSb1CaExohp1VMhZ6Xrz1AxJz1U5hJh4yeO6RKy6BrKsq3Hxz+EbdrgyCemCxxVNBoWQcnaGFboOlMk/fWk/XJdfAPU7SbfKM+pFNhsjEu2SBfkpUA7gXPmjXp1CtPKwwvuQbXnZw9OruIcLiBR3+/YTjS26P/JZRlB+o0e2vBAJeNIo1nk+TNpVDjqVbVAzYZmi4LoSpkVjKi1nLNb+Oz7ltVcE2IjD+A/nT5mnG9zEHJZ3veQPM+mt3S4USPIE5hC3oDp4RqvNvaHxjQjmPKL3aRSFFKkA21GNarR8UMMNCwSwjCyOGMMPHdPCsBwiXCigyO3kQuN1YNxPbgTEfB8Fh7ZiOsRzzyIvB1YKGPMOHFVNDUw+BO4h3Ptt/9ikWgndeB83cpOqPJbL4a085OBUXj6s+E9vkWs17I2fR7Zg46aEFaaLvyqrV6XIbT8VURbRp6yJF7eLb2SoDC6+oOo9k6gY5Du63Vbg8Q9CiZ9utpgL2BBz/co2bdbpgNuTyocIrsgoR161aAG2Uh/7m9joN+KP4XfaKNxbO7p12/L9QSJLPwwvgM86iDNhiyApMUaIzKasUKpBKJ2w5I5/cq5orbYTeez08auz4JQDVwUSD46DLPqMieIwdTRR049fG7vwFY5JggUIFEnoHsLNhsjmn2RXMS+rF8BJsHtXp1QdZgqaKab3CVPyL7ogJAu5gDwSuETGYGsShZIrEC/MT6jd6FvBw2HJkvUeKSiVR/bjsJ0XF0ZokxRhdaEz7ERy1Tw8fcOhDzuMGroqe1X98T94/oGFBivw15HFJuK1qEU81vnYLwwn46zYrnvKLOFDF+UNajVirklPqWZAQwVAc8XIuOOKefRmHOIE/+7CeoFYLF2xVSMCIph6e20F6hYKcWRs92y7csyWHrAlfDnueOJ7REZuULGWpDgfguM8NlRF58GRogSF8BiwvkaUz+JzjjrZhSQzcKAIWuR3/xEmfzuaOqS6fhsUdT7GvURAxWr0hFnOiIqbGN3d31EGtERQGkmGtXsOA/CGPSErxNHPGCIDZwI7nkJN+ofklh4KhQitPD93opt0syAanPWYPzSOMKSakrkLp3EZ7qsa7zThtYvfphcr7eFRKpoItX83e3wloTBwhUSf4Z1wauyVgVku7GbWmAhJCNos18Hndzc+mDNUSl+51duzSOiYWAAhef/TpKE9M/Jr9ov/uvRiuAZJe+QqcstOhno17mwmZipBtyzjBze/yVnszMfgUqEG7AVJjOcxXHOpEGY0xMrIiSeFqGTY5e7oWzwZtawvdoXQMv914QHupcqoj+iZjqyeZ3zDLp+waDDUlWKtGLPcpuBj1nJe4XeJhTxFljSOMXJZvAVHt5Ga7t2gyb9b0FCxvIOmsWc1ew0iPdK+7F3KO+XC9Zwi4+FVSv0n3UclgMLn20UJQOSROSZvhtWCRs0D9P85Dhlzpw4Tl/XEx8PGZKtlC83q37XRCk17nIyLxGkLTu5VhaF6g0D9PxGdko8wHWdHB0unEToQE5g08YepXJCmfOR3jsaiICpw3qDG3JTqTDgxMEWlAjGbv8r+GnWTeyv6Uh8XtJZkrVhBmV27awzU8Ov6h3w2Q0xSVluDctGS0xe14lHFTm7u6WFKPswi92oWKSezYYR4UtSRAHdDjWAtHEMdE0fnBnmKWnC4y1Az4Wwij9B1EhA58UBcQw+o3c0gdIO4blJdRkJSsj11klfqcU4JE4jNYI9RMECcoOBN2LwQVQg7KcDBOoM5SU9fWoaa14VQD9uUfeT9vdltSI8/dDkMEA6sauKqBeZLSbU6wDP67ycv8/I5iEGlTkOcdlscxW4D3YpYo5k0CNxO/WLUj6fpRe8Y6yhzbL6V0MpX7PJjwfVSkYozqH9Ju4ilZuf+UERWc1fK6qoMdEvvr8oht0XrFALX6tGHjB7bHEohX88ULVAs3XOF6HuNXFwcCC2EZE3DHxHsyYv/i2RywVB1FbsW+/K8/JzDrPSiOU6LwRMFYVljA+UlMZyjITBAa7eLyVoPeGgOuiX2tzlJwCkPxSwMyR/1C8icQi10qzSLu+/F7NXErP1DLidQWbRrQL5AUvv2l+8varA4ELapJJh8TT+gvPz1e1n8s9aB+//FHSq4Jgrnudu1JzFiMJ5RNryerRIMbMYPPlJwQL2wdtfyBMFvJ+rMvc0O7TVcozv2ZUKzr/cqdq0r9N9J/oghbd9b/YbQGwsbP8VpM75Rei9rjk4Ho3B9xWtz61dBoMireaFPK3GennoRTSHfpoT7jcg1P3vaVULxfOt0JMhx27AIpDDtt30eWBamGOON5n7BL2La8zmyJvqV/kuVbbB4z8ApGhOUxGHGlklPlF5Yc7QzJOZS1jNGhpb/eJ3y/o9B/eJdf/BES8vZmXvZZQlcvQVlrj2KcPJkJN5z+qb1QYLUi+/AliRZLbDA5WBklFX34X50ZbGdVq4lJL/z3lAW59161UEpCBsbv8d6d59K22DUP+zJ2v/A6BLtik47DCekpeIyjgnSBrrNdD6nHiI4/Iq+9n+/S+k2h1lhyE832GOkHyD2zCxaws5RrW4WUSrg2rrBYKcU63xIl4T4Tv2RcCU7Ey1ZLQ/jCc83Fy6IG4jwcXFgBBR3f+0ZLZc7TBuQP4Qj63VdlEwMPHyclJyxb/NduorYTuXEqL6Um7CmUQihzJU+jVLlK9K47vqvGIf1oa4ojEC8mkwQ5DifE8fIAIxZg1F73hO4eFibny2+5DlvoV5fkbjWEszj1qlvyBtx/BiJrXZJgPOOQsIuXDsyd05lU6lGMTuMoNcl45lZSO84jMw0GaXSNq1dsKasU/Cr73gsuOkEVJ3Xz9vPFj5jF4yTuWoKiLiz/x0UCTql8v9441UJ49OPh9anaqNg4G+S8+ebfP6+fdCXXg8jK1CC2+FN4Zjt8BhUUPkbjdcGXwE8HwFiuvUV9cn804M1vqzic+2Nqu32In64207A/mSEzyYpEQBaYxJFT76maRjGaNqyFj+KLdnzBZ+nJZDZON0Gev1fcnY8xrj57NSC2sMU9SQPewPtWcq2HCxAirsX3Yh7Nj3R1cKjr6zxn/0ONEz8NlqPGaDhR6CbzDACyjDRv7c94hE3SW9sD9JPGFdGGAwL3jK2qM2Nq9hOnhoHTbCr8TkQE/5vB+FC1zkm2nrzzXMZKiwenyiikuyelBHd6q1RLJC3xFKWl6MCI9CjPYEPLzQswx4m4wItSH4xXl5uK420wolVNNN4NE4d2GctN2LtCgzjca9v5imFjuvMtwoXGGXaJlMKXKk8DOb082RtgSPBlNHcIk9YIbZlmLzT8SPx4fBaJnSCwc4LAiIniYJUgFKu0lz8DVKMON6qYRj6kDB5OdsCokrm7bml2PK379Fx4YeaG1FrYrKy8tFQ+iXxwHlLX37alZFGRRQQU7FoinjDL7/3hJPwtde/iiJMLHEjCVF6tv/LdjQEeKgUkDSe6YFqsLGO+W7WPxF7Ql5dZoXKk7jKVBHtsNU4j7uQi4eUP6DeaUHn/F2qKu/6jgC/q6GNaZT6S0DMqoGskklH1yG0hiS3GKsO68rI/oDvwBsf/d7ln29hxICip/IK/HgJoy6lVZ7MkiVE4u4e0VN1kpqYQsT05BsP9tF4O5XT6UhCeby8ZxXhHeiKIuLqGuvrOsaEN6u/u+JIcrPhPIobL7bd6zpInFE8W8L7eUnWeT/C2zg9Fpsgvec+vHq4FDmj9Sb8nJofQqUjjLr8KMxVmSGvhcbzdqe/lMCOhBZuig/oKNx/UUxiLlpIbKJgLb+w2GzhcchJ0T6/isRMld7LGPEp7Q8QFrBRktioySjeEC0VKMEDnRHAHQp/M+cct1uJbhl+fYRgYljnbUh2xaLdXOwpVxkZPBPpnhzONr//S/p5NzJjgvSyHorzYZ6yqCGglQx5tGNTni5dlhBhTnTow8P6+IdSA2ZWivfF2r/ZHgns8Ln6j7cGnRKcSnC2Ly58WWNScEoIBimMwziEO8dAxHc5vPD6RIG7xYQ3UvEChCJZNNmIVZWEFAa+wmOxUld4HzOX5ijWyn32At6HqShHjL+RZ3JIldGRU6l+eS4SxntXJ20aXtKlu2TpLWh3v5fXsXBp+boRMd3yBueQkv/lXMsLrpWyVRiyWcwhbWe03ObE4jjZiMytF80AIx6X91BYf5NUu13RjlAXA4k4B1wsuh/NSLoMwFahsxeHRItVz1R9xhByvDE65Tvehn3krEqgyUTPj/pTxViCumZuLKSP2wiuuXn5eWsBJfLwNKTZB3/F3FKdTfdKn2F6Ui+yjPygQwdRAJO5QKPTcoagS2D7NuP7pEinF73f6MOs2oYN22duJKZK5CgwRhf7g8bxU/tFsSUqmdogpxLurPUBHW22oA0o1q0ON2n904IFugGxFlLiUxXdRWX3/xYjUDq16tQvFG6qHgNbgV/691Ma/d9CSCJolRkzhlR0Fr4zMPFJUtIdF2djXBWnwgH9q3cUEOarVZdjrLtXTn3FB0DmJy5N0TRrfURjG/usEvm6PI3m0YS5vKXQhf8SFYuApXpp8WfNDVxN+t9fT8XZ2DvWSQx0qcn/Z4tofGtqj3gChrpvVJhC4iCUrGAY4QZ61slW/tklikvH8snCh6wNjHBxGRtTLDBHQPpeMyMNvF/FKLchiTMSZpE0N7b04pyMtnEmoPdPAmyiy8SAG1o6DuGqZSLISfMgN1jW7PkWOpy9BhTwHUDOCXyaqVujFfTAEBbsKzaEs2yz+GR7AuQDUUT5W+OyMd15yjiwjlG2OXQ5HxdUbxq4TVDT68OCxcpC6WuRrgsjPb2w+caEXsEkPVJaFlgnyP5tJH7XA/1+2pntYO2SmRhu5TdEDXwapjaZ0XfdAZPXYih/7gB/QI/vqsdzvQSVmfp0B+yydqrsHvAF/iHiRy3k3CY7eUkPwf2wy9SfajcHSiwX15jJF9xyruSH6uTc0ytp84Do0OfPHMQ9vgNk597ZOpjmtLDDuJvzfmm1MfHg0+5N8m+S8e+qCep4ak12DjplLkN/ocPFxL1bExLiec6fiKxAwP8OXNc+aQ5w12qabLY5aH8XHKguSRu2kp10ujhDp3H8z4XEIlVE72qAq3LYVrKVMCVmFd4AeJ7FGrIxmEtPtWab+Z35ZjAdTZdJMNHHSugJXdhTn8if0fR2HXwFQBxpfvzv/Ks3J5ES0P6CNGNSOBA8k1wJjX0t0bATWXJg0vAiEibFBvF11030CBmiBK6TJaUCMweDTuO+bolnhk8jZFYojqa+4OBgGK+XhOorYXUk1yY7kO80Umh4gzvR77y89XVyr1f4GawekFbBtOMAvjWCVVgWy5aKJbgJ4zHEJdMnCntz2amjs/IzsiZkys7GeKfKIdICWzzN5+A/uYZeWp4op6cdeVENpdHKMG/e3c6kqOoVuJetUUdt5nWSXNMn5/vu7blCXQeMlQZbYtB5y7YQWaE8auPucXdcP1Xql5a2C19Tw+2WihzvyPix1ZAW/S9Grk8gLjNfnj1b3EtQLa2wprVEtM2Bi0QH80ucQRc2PzxSvPEtX+KITAOzh5NrFjoCLgua7bupAciYFmlNChH19z3H7xwtweNPrDzDdoVyLx8xHTdISJ7a5rHEk2K2lYLBH43vQ09QfZ1gKru0YLGAQpCq8fRQQchhrlVKT1O+PL1AfnQ4+C9jZ+MFXxLW8/zu6x+hNc0RHK3A0TfcqAH+Haoxdf5PTlmCJQ4/Z7RnzuQom2eeCoxAN3Li5Im2OTp3YMPm/T619jPiV4Is9wCIoS4ixnrPmky2CO+x2RSUsEE4qJ7jb79DuAdz3PtfTc+5G+Qhw2nEFvAzpvZ5M/PTycU9Cn/gXEyQ6WHFI857h0Lzz+sWhT7xBKphW/kdnvDHSQkPRTSyoQzzwUkBr7hrJIwisOITIcPpgyoJNQDb/4/LehuFZKhQZe9j6Js8EaJTdoA7J0d6COwhBck7h+v6aw5ARAcYfSjgrysKstGUAG9XbPXEfGGpF0u+ru8ZY1sDSkO6214aSqjS2oANGkMnaZ/iPKo1RgtuZmusUxOffsPAs+oqm8lPkFUKSVv+hfdyWRZaqPxgDJgL6fJhyNEwfMqxFHilrqSuyqkfMmpsuL/2f0x4m7o84itgoMvL8VTwbqn2Mj28B83GG1wISDMNQukDlGBnvASXXdRE62R3sOnviP/ytyuy7bMLfeJNgpYhchSOYhuwdt/x4ygTpFr+eYNRZJM1+eCPEIezNZIXdt0ycKrSzODbozIQkTgfaxo6vY+sy92+u+OykFcj5RrPrmx2N/jfkNcJwijKNRcWXqoOKylRj/BFFjT20SSAOPlr67j2d649ggMc84MiGvXugl+5W5neogTYvVKllSqaGbZA0xrQetxPlh8Wc01kTHE0ZpkNyEmCReGDJl3Qk1C7MPeSvZ6RSIPfULlM52kJR4JyMOwfiMC42oW8Wj3hQEWBLw3G2klY80t64KvH7B9+wEZpmc2HV7Moekjd8v2a7AggcjB97zrbg7EilI7Gcxa0yUnjrmnJT8jjZqaSJ48GhMYJg5xG5kh1c9miLj9tdrnj9m9TDV79Dpfy8gqeNQO/wc9eGoeXbF3LoLfyVwNbee5SDg/ge6FptxX7JSOSesEN8lP7Lj6MZwdHGsf8um9f0mZVvirtzT8TpPgyArM4uK073vSgK+lvywIPicWOLwZojFvUxXxrfUqMMIrQc65KC5XYWGwKHLmoYNAvpsaD1qFVCzEJAzN03nty2vbaSpozSEKH57nP6FfV6GDgeJLXpVQ5xNx3mgqObEjGUX/cc1wkowU0ujqBOjfs3OucjBR/JrW5omZdXj6HCAvn1xZbEUXjY8XdlXg2m7xwjJMSZgTeikE4si7sN8tQeNrcviGPzuY+J+Lmw57rtSD5tjBJj5hsPUKHFho14QdGB9s9hQu0o9hGAD7iUXGSOVujwk3DL14xK0rherIG5gf/ASxjDoq+2zlvSOgSuQL/XNYknQpjQXOF/lyoYVTz1nSoY6Bn2bPcja2OERDnl12cMGDhNjRK0yjdBqp+VXXCg+cuSyaao1gD1v++IYHLocVqC9y97ZsSEiQoQqQ4JGRNiG1hO/NaOi9xAwp1afKHfKII1qhnIUdRAX2MaEjYaraUT4NCDTyQWJhy/QQNq1leYqijlBm/Nos4JqMCRtf8EmYadLDGEvY3H5fU4eeiPQC+IGup6PujeMj8+CdWKetQwIHwQnAEnWkQ1bv+Rg96Wdjl+JnfQDDDCm8YsUtPrdT12l+y+rKc1gBw4Zy2Nz6OGpT2RlcdG5rZY/LDmP6Fr4opWr57FlK7tPXE9evSKhM9V4hZ2pWw/yEnfWr1HYJsz02M7t+jQEp0IOHLL9KxN8V77T34gMnyH7y9XT6mXS1+JpUmj9nKNJjTvi5rOSEq4M3ItSSO+ezMsL7Osh5UJ9O+0f9SwHOI27sbsS7xTcq0uuhLC2FF6dJi9y3qOnROHKLs1yd4pmWH7PZALrY+GB9dTDpcicieLlUeZQHNKUnikqldO8Y8kYUqDVI55BqfhWdPvcr+7PhvCJ9xLOSs8m6vwJ2I7ZrQhodqp73v6gZaMc6oVqG9Nryjw7PNSs/VR9E7uRZJos1Z9hx37kAM42r5XoKtlSmkt1tFv25uSMfVvK0CsLV+uRkySGktqG3hJNRQL7MMXklpm/hERPllPUfio6gP33Ihi3BsEndoxNaneFNrEPyRecBPHYK1plazwrbPJ3jPK2K2BL8TWxUQHeJnYKZ/JC6nBsq2GWn75e7vMQS1nJ1th4F53PyFfwZQ6eWPWUFelL6SHklv0ZVTMcpgKAzTucCu3KA970BFmcnS+XXOHhUx16PFZ8Rz8zdSJzwxPnKiHlTq+8b7ojkjko2vr6vFRIJzu3+Zs+1f1eNrKGB9BKvfBgwT9rVJTkEv8t16TxNjqDcFsKW0bMImfWHzJ5z7+1ZfLhyAnsFPYtV3fV7W6YUQi3pcTzniGYTkcFDI9JIqSOf6EQEdHa6ZjOR97nolCTEHk4h6kLdK/3vkYZDmVh3htIaKASIyau4SII/9+tp3KXYV5h9+TSBL+qfYoI+NnhmJngKKQPE0/zP+yTNu8nsr+XIXl9EYqGvrxcp5Ok4a6ryINLN+d3UxEZjj/77FGyvWraEGP8FwDurm66bOXDcVBrKQsgRH0JuLJ07krW3lsoVi40MRzCGT76NkWa7sa40HXrQ+E86gcMHqdHW62J+AOH/a1rv+2T0OVOm4eNQMrp7odoYYapY5Zk3BCLux9QXVXiZpVvJzZZOKtrr/dLQEWKojOSb8N79K1ISEpwVQ1r4goHbRBcC9upNJ27Uz90nughy/8edAVU6YMtDQa2dz7AXcM5yIRQ4TzxN/YFTUt/RlZPOlDTo7fPwBAeWgiOLxRdL2ue6JmfgF7Y1Jf6vkIpX9+fxTVRe2JQpiycNV1Q9fAAKo+wlvPqj2Kwe/Bw7jc5xQrmKvKQnDf4I+GRkjgyq9sV/Nznvn9u0NT8dSC3D/cayHgE8zQ/v2HU/CZktinYzmzXgpzFrdWLNpEm9+zCn7m1tKwlgYmcg0o3/jQRqgavLEodDq6XFifBJtKLnaMmAWg4hRn3WMDDP3jWVlfWVqBUValDL++zev321kBdCX4atU3siGFCgjdRoOTAocsOlkdjnG17nBe0ls6VNMZiny1uYQM+y3Vo9J/hEV9Yz+jadf6/XlxcIiRL2Gd4qj+HfC0cjJXp//0Fnc/Y179cjmJw/46F3ciOl5d4dBnUL3XnRRsTfxNqvF3MMuXsqx+hIAuFKErz2Ocjk0JpH7m/42e00z3G5YyMgxBcdIJoBrMras72uwtcKBvNJvfgecVwcZ1L4vSUP/Fe0oeLMXt36bWTplRrC9AIfV1VtF7hzg8L0jZ/zBERLfy0QnAvC6TNttSX0FDfmAp6zbzF4fQ/V/RRtsit5s0WAbWeo38Y2KfFj1LP+69si7GJBjU7ANJ97Iw75HaGM/+Vm4E1t6vA3Fa+UojchYFkj+Tl3aHS5A5QyWL4R0aSiMIYBHYqpHwXTwIoaIy</x:t>
  </x:si>
  <x:si>
    <x:t>eT0ux7/+j3dVUUPd2U0BLHtPA4NLkESDkImIIY39Jso3moWq3d+mrw114/n3+Vum5eYgA3RJvAooTTkB7pNRnY6lh2+qsqgOnchP8Jszh32KlJjRg+2zP1eZyefil+X/i4Sky3vgbO+44g1koK6HheazZYd0polAr2x4ZMIZ4ZFIhwZ9NEg/jUP7pfD4/cLtSOCASqeGRaHC4jnSMX4CCDInXiXhi6+EEaiPiDOsPpCjpxaHOdimLxPhf/aG05DL3fAPJe/Wpz8JepRRUEHhseXf6r7vY/x590Ri8hSpmxvhrTfgaVwGe5Y5OY5AKawepHimd+XCWOCCFs/L+RnSW0UyIR93dAANDGo0njBwJ9FdVCS9KzewzapMpmzB0SVIx/WqG7hRXZECZMIX8ZTztSxEXqxkGqj2dpsX5WC3bTgDVJWdIiqFmELbt/OFyc+mGiUYqp7709HMnsaNaFwT8FAvHHMuSSVwvrNQ3GW1fAeHMOb2ZgX+X+MLiDixYwidQh2DLP+3Ajlvk4e4MlCzZDQOL1JrBm/3oAA87k7q5xaKMr2+egg5Cra1dav5zIQnUGOcRIAXOLccnoUTbcHSJh1BInhWaGpEKGabQtiCo7PEKR+L3HoYby8+6pN28QznWnaGxR7m1HfuApDLfNe+rZjUcMiBTbmbV643UbXL1UNmRPAoYcIkX/3RGHT1JP1ZNSeElKqUOkUmPROyy62/FCKFqjBPrwn2jRcOkufClW09odAX8wYySX8Iuq68cvgvCdywe49b6U/ldlktTSysh7B+A2IOV1ZzlE7cMCYRBbAjPo8M3erLCGFME+IYEzQRtiTj9S+zDVTwoiPDP3RhzOEFRcphqO3TUweJ/BdKAAKng7lCL40MFyV4KilC6zunJgzkcwyALrgRExD9d+c9YzeyLWNrXuCiNVTjnAKRolemBOcRa+l4C1JN+t+y8kyoVh2rHj607bPZ2G9HRJSJozodBwkg4eEj60P4E2+Fp7E+MclCnJuMpt4QRpqtZlTwFGI7AiQvva6k6P2/MeZuiAyO6BV5/NsmTdqIUVKdVhWf6yYZ0WbJmBSDmsU3PPeE4XFNIh3yEulSrnF1r0lc5ATYFtRr4itvkRFQvFTaiv/lg3ehzvS5Z34xHpkviBk4xHlGLyl2ds8dxoZNZa9Z+pBiWdlhq15TXET/DgOhmDxqGnCcTjnD7XLhGqv0B72h5CAzs4lUL4GtegEqtO0fE1HGFuFMOvDHEWyNKrs0Qo33SX7+mAGPjSsR5SOzrflVjeaDgF3Z85/nJqWr6MEXu6/8egMKq95B6WrZMma+AeXZ5YIIAEf3Z80IQkwpWp2GFRZfI95tCb+ugpOCo4jG8CBYmjChiI7/yhf2iMq3oG/fbbxRd1P8fO08W4JQ7N2rayAa1yMhup5OhHLGy9dSsAHhnGTQQxbjXh59eM31hQ7vZolIhUHwUn63VOvNS8dD4zNI8gxLIDG2DpJK1OlyAPBFfIIzApgNPZQFVghHcIcpdgWXIGnL/dU2pS8TZEcg3z4golDFBbqlc14ef10vOK5lm68kaSgujJ13BrG/5Sg8sDEvx52tQ38y0qtyKHuSDjYKhaZcBCDuoldG3fN61w4DjGJeipykY7L5X4I1/HuuUHwr08964qYISevUhhZwRzWYJnujbvCB4Z1d9+Ad92eNpoL10jnWVnxu9Z3uMajAt75FbqHNLme9ezePvbpBFiQbSFgSGIfPDlbn/tUdctZSfjBlEFf96ZfAtrhYvWPLDcI2SNH58OpiRTVWvPDE80aCE1hBw37rKAwy/vTSuNBg3Sp6HKtcVy9P8zNSmmL4oKTZRAWBXA1cdG2FGhpGGw1/bRCRW34ZE+FB70FC0S/IjxT+zF/BS9W3o6juN28T/f0uJsTtARJ2mES4eG0l+UZPw3YZt7cGUjOyWXrWQzCwtI204g5TQJGTq6VVoRY/AguhE6Mq/oKgjoxskVVlTAhjA0lO+trKDCtyYjgUc09owiiV1i2DlpsQX7X2nDt87qYE0d8UWUVXo9Q6hqS0En3OQnarCLMzLzpJD9rK3P8wQgDHPjfmDmRuLVGgQO1DiHqjpYm04ekFdnQ/J5TPp4pZx5+dh09cnHeIUbIKRxABIY7qlySdsxf6Z/QIhpAXivptPnNO5LrQIi6ElXk/cYAIP0nn0SBUjirfEzeuDz48xjn6/LgjzK8WoEwcQhNPIqQ0/Hve7198X1fNhWkCxCyQvLnthkkFM0MCLr7gjO+ZtW4f+Y/QuxxvdU+7k0P6BLzZSuuk7eldfigfMFf3hdLjPIDOKHPkwN9f+0kH/ioridejF7TK0MNPmCq50al4ILod6iGIcx67GrRvc8xcpATnETs2PXRdjnVLKN2uT2pbm5v+Z2ESp+vk5nnZcLSwrs+DNTJYXuS4s0Yu7Qd12xS7Cq/idSHHgQRb7stRSjJacyXcEoo7f9wt2erOC+3v0sj+g27wL7h/ayDCBLTHPCvM6g3AYq3awbH1S3Y7QGxCRyShyk3WNpOZHLUekmrEELS4BvcHPXrGpUuUEuWAhfkzRYog9DDA3sZncYVTg910g7Zi8Cf5k5hixBkTh/tQzk8DhPxHu6r87uDonHQleyIMV885N7iS8s+GfT0kOZXsIgdtTfbZ2XncPaPNydXII6IH8F/D224OeDlEYiYdy0ALW+fwJVzv06/2XnXuUfPA9F4mDKVGsFeC20a2L9X9Iav09bDjeMk0+OA76E93Z2oWBrkhWkXZmkLLklYsUIlA2FslTQWB9RT9KkasnRtlMYnfp/wb2yaMbwiUOD2EjCw2adXjxXRrxo+i9Obcu5rGAhMJ4WN/aaQkP0cMDvM48RHVU/k9XhUyMKKAJMHXKzH6IGSnXFhrumCN2dru7vJc6sriJMt0pCDOcrO2yBvAhngPG/yZ+mnlH3ou4A2FuJMlilcItnEv60ewnnC8Ug+i+5h/0ecw7du95y5klmY3Q6dWrYMiqYduhPsa9d5B7+43Lj9n8A7msRH4zYx7GZs+MJT0VZ6yfPwqENaZZqVzVZbEjxIfa+ZLVc0ROC/uK7kwyI3rir5HZYDDnPq+KZ8PKNugvBNgwjSVXd7EZEfyq8O+mjBbjVfU+sr7ClWXR143U775mI1sYFJtRAJLvOmDQhHbA9VQeShxDLMSRyvtqUjBA9+iD1ycvWRNW1ensmrb8U2mLaUIZEHyaYk7elloO1h0PXuLrX53LiPU/YFBNgAjhpZThYJ4VgttXnbzEKnYH0SgNYOilm4FpxaN/CSbhJEHlodooZaH2PVgx9/K+ubnHJ2m8fdHVbM3+m3xyojUtavcl0u5GgbZtV9IqzrGz+Ac1JLwQ8ny9x0xczA2GaTIR+8zRmcMV51JbFYHEJSGC5z+XZFE0Ba6hpdIkem+6v28KkUXYAk4IzJwgVEEkRE0PxhuPZgIC6Uc6Hv3YHonyX+NwgtQFPyOxIBhV8764p/TI6G9gG6CYTzg+GewojGYddQVRBX4q+xCxV+SMEid9IrBvrneJR4LhIlzSiPtC0E9MS/gZqyCOa5/Bhk+FCrEk8d6UM6psyUv6Zd/8lxg5eC1P8yP/ZuepDIZ3u6dp6wb4hDDkS3VaM5cKFvaeJQiCG+rpJY9imkFZSWyBxsa0Ss8L9C2+p1EGaqKlswFkLujjRP7ukXDx1Ss3Ku/muZyfaTVxUZI7B22XQBnEXwv5o2LI6LvHrR1CVOH1CLFli9oDzezjkQPYs8u3JJXJ0SVQnhs1Jd0nNfXOPVwfAeF7I3mpD+O3fQYYm1NokF/sJv8NbXZlGPTvd+h4Z55VtuOklq+qis8ljKT5mQQjH8dqzqJPP+0g//d3CdiNhvr/fLSRVlBYGaXRcJKOedXqt7AeenBRfewSFxCWz5rTKMGIUIGP0ldYmnB2SD4D6Z54rx3SMybaN3kawhkh6NsAD890nUPG8aIGEpcr37247+i/DKROyxQL1FK9K+bt8LMRzKhqRIjNqZotjrG+Gd6pXGuY9AWaXyzLsf4imEuhKW2hzZV/6XwkBRVI8NpHaQYxI8cVjADFUTsR6e28dp77QN1F2nrmJCZThRTD1tB6sAYnsyDZ8VwBpf/AMH11rj9qKUz+DX9CxUHFd3rzL4m/hqA9F80i+8YdokUxTl7B4LBcF9BJsXMmd9Lb9wYybrOLqjLDdmkm3a7PSIw8YuFHtSIuNIrVb11af3Ud3Hzvn58hR24tebL/jg9OH6GBLoVkubl9KOurYsF9V+2F/RYjQy7vwSwRbc8H6XbCkP0Vbxe0ITqnc+jw5NbZ0dAHN8NTvQD6Lq4DcWNgUKyt8BA835Qu7hFgKPJLkDtHWUJqHXRe/rtrTZNDX99YLXUaXxR6IlFnsXshj4z5CSXgCIqSD8DQaxW/Af2qoTDAKrmf1BekJC4W8r03yGakY3wtEQtqRER4bFWyDdrxkxcVT8UdH8mkKiK9XbnzKi0upl5NxRAjWzGocDDQ6zzgz805h4muNgiHuRCKSyJCUDNLQF/Tz1YomJlWEzAf4QbuCk/Xc+bwYLZ+zY94KRCpu9WlFKZ5txY47Hfw0rg0ANh+NnjXSR0WxZHJNHFpQ4wQcIKVXFLVk0+r2xMMBtnqldsfM/uX5uuXlAZNUDKB8vCnLyEMWWe8zBM8KgJWzrCpUhRzUeGKjy4iReRXN9LGLwOn+dNfWXu5qN842rgWEAlpofWbBlhXgIOQ3QBB/FGzguY3Zmxg+gJ1j7x1aCJtGanvKFgDwtYub6lVnQ5mOh+SkkAcus2h++cuMbPKGiXzd93sIQX+c+ZVAnu4QylR/WKufY7usWKGpRV79OpwPdDG4J42Le3Vy4JJyvlTBMhS49NpQ+v41w5Muugs922iADRq/NK/J89mDEhbyfX9SXIDlYzmCa/5YxTEf38BG1famvr7SaI1wiuuV92jGvRqyNS0D7rEoS75Do9O57Mxg8mw2IQefU/NE78f/YSvOEwc7l7PyLS+Jmll3QCFeJytkGy0MHoOpgR3aazUl6vspJmyyKpI+01n12lpF2Jl/QKyfkwaP5qRuZbeLQDk5MVLG3wC+WTdS1DWsXI1EH3PJYW9rCWv9eMePWR8jny9IFhmbyQ0sjpftqZ3KFYYT1Lks2/aqNFgeNKFREIvnz0w51vY06EtiFWn1RzaLKSqCHCKmvNLccHjkWXq2FAA4lVFGzVcl5JpUxh5ubdWJw0XIRzWAF7MX0XEV5Y/cz07fkaR9mN/2nfx32YayPx5xHY22LKu4aV7hIvySxlCIckd6O9ff2E2oBL01ete2HyvJK2LUa2Dyy3KhEzHWtKGMyBXbCqTCVjkhHPAvpvEHNDvwDZtWt81kgbByf76xcezkhZrsMfNWa8UMy2zlF4l+lDq/I0DtQ9LwFrrPu7SoJBScrr6fcQW0vl9yCurx+drVuO2R7fVf3lxLaZcUFVxVZpkuHODbSCZwjjRkXWJght14wQU7MjDlf0ByPduMr/piC7KQDDmMSgIiieqihrKqhi2hiPbAwU/ZhsbvsChtvzqRy3JGQ7v0JihDGcOVwq+cTYFdkLfqOiWo9z0oO95z6NohESjYtqBinNBd+uXKr+PE7lSiVXQWQzPdeIoWKawxeeEq480d74cnmyX3xq+HgQSyMRdb3KELehHkJKKUTqUYlCfN05QW5t3M7KlTztkSKPjycoxNKoWGncUq/3uLt3DPiBCP+YUE9ItBTYM9QlIA77R9pS+wgQNYbo6cr6ZeKzeGXwjJqFZrQJqgeHTd7a7Sfoyvy+aNJx+xMwUrS9Hg5NPABFK97gO6aoJ24aXmF2rJyutfAx77jZpu/ryGSkJtUn9qEpoDhaVmjNFBsjDQTqFy04UDUeqJqwO0nyBUoBEAwAp9rRkRpVzVGgEOCOuaOiWBdB6pfi3/zRgciJXRkVoiQcx0DuMeWeWOK9pk6Q6bnpyAN/eUCgsV7FY+Daorcumy2gE4luR+C2bEondd0qPtGNAiOvpFXWhOsKjN6RWMqlIFL9VOp17UZqWgZ7ZSZq91w96/C0SvifbCWJDb3JdPUekplNeSR95Po6XBq6WWDSZp4HhLXea4iZtRoFUcntnjYv2ntf665vO+7uzznw6WSTjrVASrBVIw/9mmiDNQ8Umdyntiwqw4xkC8XKvpfHktNQsNikCgttZMaJjW3ls5NVfQZyqPoS5JNNm7Y0wF8WtgvrtsROX2V0vCrORWahLtMrSNN7LhNLecyNaqzoNKvgCz7oXLxUvHZXhRNC/eVQwekBAIDIckIJtXo9Ct52LAx6CnS4N85k4Ue9su5guy21pkiwY4K7YGT46sQ7hKIVP5LN8hSq3fxnq7zkeuRIwKZaW+QlEI90CxjbhRGYM7b4QWWTIQdRzKcXDQ954f5/TEkUWaRbHta+3X46lMPRzaBVG23tDCMbZMmkFL/xMs+7cddutiQmR0/jqjuD7zy/oZD5N3C2MMdppdhz+A7wKDSNxc7rvboR7kacI40gjVIdfRZoqnqHjyHvKm8049EOyTU+qcIIRxnMbMKkwKJRWV+BGBZgI9hfFPhcvShybwHstCvkb0TK4QSHAa7TK2FGHLcUlVLBUtpx88g0cdYAmUQVpmoXG92cUDEFUHZL6pgVQy5Qa5MI7TdG+Jr8bxBsF+ALVdhbdZz6kUjOwhHneNOeZWdYZqgSHC86GHGE16z3TSf8NB2i7b40TjVqg6nVvGtsOrnTC7Rx/0cwkYe9Sdf0zykzg84q4Ow+O9mVnhvtyqR0Jt/rtjXdIDMXKrYYKGGuicMAtx6D/0/ogNf38up2l+pmyVR5Ov8kfxEAolmQGA2AUPKz8xLLi/o3h5Oyr06BC5ZBeDLh+aCrxJL6z2E0J53LGyjCopF7+2v2IaCxpIy2ZznAUt0Lwt3mlZH8M51JEF/S7zjCLeP17D3Tz+MdXLxx2WdkSBzGVlSlxk2JEqwQ2cetTtW7if+K8SLeBL7Jsw2T77yhUs6D/7LcV+Aw/eZZdFD2LaEGX7sWBCsNGOz6aEep84ns7KJR2UmRei6q+iMC8EMCYAEy4vftCbF95GtFN9OQQ3z7nMnIl6Rhhl9gyThjheLE2p20UWxWiG8E3k0kFOgJ00ZshALdXgc+PJNI7JjTeWB+ZZlIUrnANi2u/tPUHFtMOfrTV+EKYAcZx1jf14UO2ddZMRxtnhBA7fcXOs54czIx3kpWBeH6M+nAWEnsPovWBgykcf2qYfnmBsYQuC77YsovCqsDXHBpnU+MH6UJiRbzysPh7mWGNhiXcAS5XjeB2SgopXTz9DzxovJAEYro+OAgFIbn1cF+BWr1iTvewCRAcItwGyPuLzzWRgzdguV9ykH8ePM/3N8gYSvaMBo9KZnkk3x4xhipljLkiqRGzyuq9SOLxFhyLCKk93F4q5kGWTpIzlBcLH6kfsyKAdPVpYxM+cE0pc7UeSnqge8VgfQDltVbK/K9GChYeZDZ6wsegFTDEKFGXNMjamNNOcRcL+dvax45R6qHugoDn44pXOvlidUFic+cPzUgo47SmDIhCoMg4AyBldyIRJkmjSmEtwy+FZgqkKGn1Ekex/43qvU+qHmWu9N1i7qu7fwcHjYLxS/nb9Dhua9QWvXT0/Mx12y1fcGsHuDlcoLiEoVWeFmwDY1WifGUDHA+WyduhbG4z9m4Bivq39b2Tu/KFE+uUALbInFq6oGnudkkmJnSlM09usN8Cblcq1y9MwhIM9Pcpxyz9CxO5BIcDDKUtwZVDUBae+t/NI+aaSMEFShrAxUa1mBlFaPc4XGH+Ya7CUjEbaPjAMDyQvJKLRPzXTFCIRhl2xG/1n3WiavLa/wJHrjttqlL30krGNrVe2aneKEj0O2tHXLBPaWxMUjo/MVR1hZ9bqYS5YiSoZv5T61/fwrUVJ+nYEFMM4wCl2zLMSS+xsgyDJZc54DzU/x1+sHD62Zj32uaQFTL0fy+f/7dOk/4KiwO9xNNEX5imXqCjBduidmhWCa2yj/8xlD3MtshmNsFK/w0K0DkE27LVXp5SLMDLm7UjUUUtCIjArfswMeUa3hTgEPy8U7ihSdWGKXHsUg1YlhiLMIBsqnX/8ecyVcvQAXEha8ybHSjyaYBmoTBYcclLx3Ntyh3xZ08qW2PRk04XJAbyzKoVrb4my4JcWzrMvdODma+rXFrd7a9iOz43d5Xgjf/PTfjdn/kqvuEcakY1aQCLIOcpe84w2zK+g+Tqk6WOLJdHOgxXPmSjU+OHoH+InMDkZTmoQnWTq+tM3al6CGz0rQqNewdDj2agcQHHtOykqsnnWuZdDnrjYPoGAPSbBpPfTAhWWrXlhhBq8YwfzUk5h2Q6T/LBUbShpr96oU0/GCogv6kJUCvf08pPVwAk7hJwZuvTIEoYDJR79tsJhbMPz7kJJgzLnYBwRtWJNynrE86e8kPsrqrK1ZGaqHE5l2oQF1A4cmlNFcrZUjCSw5h3vdRBfprGQHGufwJgvQBhE5RpblXMbwkRx562oZ8zslaCXFEZfcKKABnACP/GcshcNH3Q3qTFqg/7JFAmBpnu7YPsDTuYo0CzYqKtETTQ/5PFjFK4x64J80iFjPBocv84+ijko+ZJ3rAjLug7sPV2+7vPfBzsqXwCQq8OUS1piJeZCUpd60EiKSwQdLBnJF13Xxw7Fevuzg7x5CuGRqk/L7rpNtBj8QmhZlSNIdgDQr9gEHYy3aTKlkMCKvmLnjMWWJ19ls0fXO0zo3RzDq3M2wEekixqvrjtzehJ9Ee4ic93da2Z2+D95pqjNVKeNQuk9++ABeMi5jsyEktXRbA+XBfGL0dOxYE5hP+aFk+6H+fcV923op2xtc7t1bebdOPJOemMvypvndapxXq6I8wuSWLdP+1GSUeFYoyG1aMrYskP41ryUT3pliooQQDJxM5rCW/KNXmS2NGpu7rb7VlZ5mQs6Fi7b7pgzli+r5XweYyC8cG0QkRPN0UQXuIqHJmCwklfRPDE5ArcTdVZUalYuG9HOw7AqRwnZ4HtEMc7Euzk7EnFvMqJ0hx349ik6+o+XeG7Bav453c1+7zjVa8mmFbrEjNO/5TZyW38evUVuM/pxlcM0eGpN5q2KBu51l/jjGdf0nN/pciH7jGoFQJGFCWAdTzNLm62TaqkueaKfw+wm8WkHPiDJwl8KIDVx5nzj4sh2D/7Jfz6zl//F5mXE421fWgcsJOzAiMcYZchvsPCiSLCC+LPOKsU18uKYV+16zZv78+mhx4EnDCekDziuaO+hlboD4htnZgMaR7IhlGWaVYpYWf/4vT3AuZqsVQ8enEk+GRG5z9LR2aTELj3W7BZno7N7wNjaxNoQNGukxjKXmAXodcUk9IGrWB4vW4L7YWxgWJBN5EgNnN95vlxsvziREVnMSihY0khQPbCeHgHOE4VOvBYDAPzpHh4P6RghxtwM25PbAI3ebfDdOX1QOrXhtEarbxu98sTjDXC5sSePWLcs6micUsJkSMkyw4TkC6gCgKZiUMGDqdjejFZlg9vYUZJzMwZE/dXYOiRAD8oYxur7kkblA/c2mzabHqKMy6gwKkdoxWGiM0VTi05ZSiCfC9SVbF6bRgoJJ8S/Bufmgw7rr01bc04SV9lN95sHlxjKkxumrK8i5/1b703OC2bskGZ5mIBcKjSU2R/vzsIb/9uBJ3SyZ3Gqy+b3bh9LrwiQOlxseYUlUyts6QPUP/b2jEgddw5D5kpjVV0k/BvJRS779TZghPo1c2rJrmnimS8J7CZJo94tt1dmlKd2RPvyu4Ipy/6LfTTtX3ik2YAqaxEnT7mlPEb7/dMjATw0ghR3elixetUhJ8TBlGWwIjGduYw4HR8YCueFZJc032gPznQtgV7ul6JlB9n+z+XQum9Oisdd9vYdzM36zOK5FtR6X7s1GjKi6L5KNgVOdGR7va6YCZf/Si7e4f4zEtReHduwipiEttID9gZTvR+j0DikyJscqsNCkz2zdmlY9dZTt5ZiGBJCKQxtJiBzloRc3LtKs08+xy0eP1va9d+aT9o9pmBxq03hRzXwFtEMr1NuWBiUZ8GFQpVvA0+VbUTym6yuLb71/w5tg+xpcI+lMG3YOQcofpmJLH3TcmsM8aItrgj+rGmkPIkG6ayM0N3fUaPeamKsy2iZaJ0MST2vmj1pux2jsxStA3ojKcH2SdNXPjcesd1ewvMo2jj5z9q4M4wloN+9V2XuyaGhfkDtFfNzJ2ba/KdzZh7jYA69PDXM6H/qdYJx0NckzNIe+X21VBYa9TTdlChglZkFwxmyZx3zXgKMFPgVhaiPI9nQq6tQ9668mKoZAx6SMqilC9Mpf7j7tw5OoPnR7cKWYQ2sWSO5DNRdPyFseVkGaX+zailMZM/qEM2f7jEtQdb3Rh4g5HpbzZnpPlYZd1SQ/z8Xr6gaZhYoG83G5Q9joH1mB/pRedlxue6RsLxhZsPrR439JQmk6wc4tAJuhzE1S+QkW8Z3VSDzw4UhhR7lbhQwkz8UKnEDUAbOS/wKgVuqfqox5yqm4D0ibm+7u07gbNM695dRCoyMf6+Mar7tlFytmRNHYkbFhCMVvqS4rjFJFftzJVA2XdJOemYHHvnWKhiI8DWXkupFBJjJ/V5kxFKqZBC9nZHZJPCM3lm+DdUaMufORbB/hHGGFyYLLFQJIewAcQzSyKV3KnBZFlB/6UB/Pxtw5QUKworRsuaZBtOS0uflqTrd2p+91s8+5Km1GZ4NJYzHdmJcrTrW6th/pK87EofP+pSIaqovSmo3lMfiU4vn9EOPYIJ5t4PrnPRb5XMOVcMr275pWHWvbFDyX205K7yKOqae+8KFFWJ6CBpv4aKPpJVU6xOguoiXYl//03YODIvQSQO8j0+6sc0z9kaYHZWChVShIaebg85pzUKEK2X/laXgTBMqNYymTo71GKRcDuhbMP/xnKQztprRvUMPqmEh3f23uqyay4VzOvmFQXkclMHGIwD16sqnygeSz8U2fECD2/4s8lHZHt4G+LjTLLpwRLBBQc06AVbIuVcmRUlA5HnB1INNjPPLkKBbI51z3MZWdHsfAzL/GQkeTB2qiil9avAzkRLwZMK/wB2Se0lGibnnB7HCKzHSv2J5e6VbfcGOhPGwcZv569vqlUcVWfjddE+yeFTNJGUMqErdEcJ6JNRYtbC8HZw7QAf4OvKKFcWwyxEDAFYg8dUH16vaKgLMgTqD4EgzsTbyxeE+7mPrthjz9CWTVH1EP3j3Iyp8aicaT2ucwa2sdqTbx0cbKgSpsqZ0ydIPS1PmgACBcLsUnFyQjKjF1PDCGG0YNTlQFSooLHH7u4AWAr66AqJs3kiU5gfYg+kUnVKYkRc8+r5WjE8TC3OZUIAVaZds+myLab9lLOf1uM5NZ29p3QxKCUouyIGiRzZ9xtWZepv3O36ofzQwTtA2vXtOQeerzcrHcOUiVdBUTp3GpKcx2Uz1Odrt4KvWwsx+i2TqziMX/47a5xmwoOb8W8EaUYWenc7U/pi25QFCIhuwjIRay8FE/XLYGfQRF5ImKcbxeo5EqJvxQjh5ecwe25doC6uZ4e9JnvAZjluScp8e2aimmNQlt3aukaJNo0N198bCN+bYAUVkkPufAJ67GA+QOBQj3Hpvn95NkJbTCnoek4d8t4alYznHRfY5ilFSt3qRhhhspvY/pjr2uW+vcBDBhXFn1/hkGQ2hPypeKISkk+a9lCsofRKV4qBkTVodBafINlpTYZuMVZ1wDSp9s4++/2XLK5sIZnJnMlwDvmqiSqO/7knUXuzCsx4wGis6vdzvUZeGqcVSH9T+YVxeP+Dt57A6Ap1pvCAalrC7WiLD0+7tuaJdYtV1GcIOnj1oQM8gk1HEOj1LTCXkrsruO8TQKNIxBKrOpb6s0xq9aMt6+H6BfynISnA5WUBq1QibZ8bFaooSB5i9ceLHtBSL/rZyckvB3fxV6S1tzzVkFXODaFNbi+K6pYNKg1eSy5/yD1qBNxTKgHH3vdy+NPVknjLncardjflvmIKHdEDnl0UKtcURxYAGYAe2ku44zxTb1GXA+0FiZiTlG+qN9e390YZUKRxs3fiTlMJByo5JPVR/hlozr4HesXMzgyQkEgr53cl5kXRoeh26vZMdTrLrQ4/fkPry0YOnN0atXmWvf+ZJgwCU/QpE+z4Mie09LRNdtpw6QTAnAMViMl/I7WY3pdQHQUhQT3EnuNnvKgp4ftyOSO9P8Dvzdu+BbhHhdar6UDG6WB+UHaCP0zJxyAquWNQvIBLAhN0eAIkLYeyOUmoNPlFsUI7HmENeh51iilBWjv0tHuUz02ob5RtVHI1CCqmYxmQw6vdwCMIhWz6Cogz0tO91CW8Vnlix1RND/QAGiuc8ma3JvD6c9PwmJhWLQ14Lce9UoIy+BHsCY362/bJXGw5sWsOv26WdCLMDN6RrrWpu0byS0z/iyytN8t4LbP2pGQBjXw+KxgQU7MEBUiB3vq68Ld9/rOORwViVh5KbyQ7on4fl62SNnwyYNVmNZpRhR1HfTXrkhq+9Qp8X4hHe1JPYv4wAu3ZfeEMlDsxjB1vh7uiy0USM2hhX3nX9rFVU5y2i+GsMbFi21C4iuf4WSyrY3BMRg7qMaH1dn7HPlLf0g2DWhMv1f6PbSMfXv2YZ21ee2opK2nclGZyKbuYiVanst+8kwEoHb/vpc6lxBHEbgZ0F/b2VDGFeSs6Kw51u9rShzrbwNWIctnPaudbxoN5rnBdHY+fVf5Qw0oDQN7envnYB0QOImVY+RsnPl949pDhKSzP74GwnKaDlgMLFSCwEtrTQuRdJUuZE49yenuaEX7fLKcjvoNB1kuzjySZm773E22GsRnpkGUegQh1imn/XYQQtfL81VdThupdcBKUi8CoUmLfEWn44YmqvluxXbe5jh0F/9G+8yrlXysLorg0HWf0j9y6ni4DmfUw0U+p5coABNcifVH0l/Hqykzof9fY8/FBpZUQqAQpfSYGVa2tGvV5tVpUyKykRgpRQ36cFirIwSGxzUBjSzI/QUVGzySr3EAPi2vpVEpyQcjfvmfz36M44WkrhmT5eomLcQ8+SMydNMAcNk7eotLLymRJO/a2xJh9c4obfzVCUaQcXTvUq1NVwebmU4z0eCocijKoz48c+VXshmqR2hbw0T51gXdCRXwhAy1Om4DW7k4Bz0Etu5RXPW9IRx2CS4QY0alonv8hrLVYIVWCW57sv9uFz59mawODiSNM/vcKlJJc58P/Vt+3Z/KyHUTUniV/pvbO/ADHDTbawFpb/RqFbhC62CtiGH5gGIWAsEKEjUg+My6XV25IH4FRlS+09C4UT2q9mf6o6EmxdxIA2V+QFJ3AhfH4ECz4PcZUMOAH7ACIBOO24hDQReR3wm0T4EeGxdvX6fCuZYxiRzH5IZmbXMzklZTWGe1fHkvFVFcQvw5dSvGSpcg3o79kxJZw9oRzsLxeKjsCkG18UwMHkDPcbXVrhQ2kKm2Mv9EaBedaD3t7JZ1NdSsKgBgE9w43ylAHy8ZuvSG7+jwf84nVPOi2eYFzWEVmWaoqo4s7X+i4hzomwFSYPyI1OuKvH42pGPEpxzEI6rk7Jbx5u8Cg7V2DssUlcCdip7YjDQTMv0ZnIViAMu3iL/avnuu7Y8SOMj1DZM7NrKROcgE57xSB3ol7S3f/HDLMsFR6cyChKfm/u9rS+ja7wHeaYXUPiDV5S7KR+VCOFQ7Uksa6bwFJPdk4ZDybQqyLPa2U2Bidmahta93s4/TcaOw22dCXUsgsuLQcJCtoftKD/4TcIHSTGjiNWyt6+p5lYdh3j+kpu4rFy0z4mDgRLGdGf00j9VTR68beF2lxWOE1h7kI+OTJE67LrwmAxKgUqFfnx3xeuRfSMHYdDFS5dSZihT3BduQO4lWGZMkvGIw9dKU8uIVsoR6+RmMkUPw7OBxRHUd4f0qHl7U3d3P1kF78bXLKK2P/URDU8GaqApgA11H3ai8Sh6G17CFvSABQaqHTmmy48vKGFYu38LZ8np8DaifXluon16fvGDeiTmaEgh6KTw55dvYvBa8C0WNIS3CkT4nu08rTvs8FYZE9ATmmeKgRpepo+5b/XEApVa5QaWcspYmOS6ti4BlfRWRrMw2ieWQdJiMwVLuWoCDVyOpnj/MX8wQKfWIuW1MMHVp4dz+9iW5Ud6304BrF46mjRcfxSv6YRyBhLr7ullm3f4DUqD92iG8X1fY4mbFiSzKRbtOgaUrbSid4bwW4ilaMHh5bKgmRDTFZz/pC3aYQveZvs7CRiN7kYDg1XV2jCnPJP0SiEgtkhwR1TrqvnoGRqbIbO/pFB4P11pds/C9fpO6xDaeJi1mmGuIvi7OB6Pnzs7z9rQty4ynXlmAseZU7iMSmXK/OBtWXZOKZ1Vhkjwlcz5vTTUivMBgvWPjA2RPkBLsEMgXisk6CHMFR/Tst4jfITSWyQBPXJBwpl5NA8dzfzMHtJtfmqBccfxSGMheyn7psJP88EV2CHkFORD9H5J1c0l+5BNhannKZh5tKeDOogSBiAkvH5jBnEnwPVrkZm/fel0WoVQRio5+NrEYducnY+oNbhuzwdKZMC+201HfsVlOnFAHFhqAmySzRZil6CAJnIh+T8K/Wlc29bSOeHveuYA7T3Lh9ljz+QzP1EQ10hAgbeX6yC81oRn3b9at/PDV11Zl5LLLOQMvzYSuJq/6jgDTzqyDzTyYjhPAwJtWTQAkUY2tmVTbhMEqJwQHrlkRY+/Zf+YsCVy9Xn6y6Tx71jnRGsxobx1Lx+1PyIHP2BFpms3loA8UqCTvMPsaUcWE6/5UqlWbWfy/7EsgvIzGNYYCh464uV2iWeFG6SDy6DMoPGTFJ+N3BjXO7GJjzGgCIH7kdXIg0Aud64thg1UaUgCDG/LqvhvHeI8B58mQKRJvsxo46KH+IaxoboVXOTKZjqUbyBSdpZqAinQu/voGklcbpWqTInd7IV6sKkHGxzGYqvwm99dxagOHxVXgr+qPVoHzgDns3MGIBzufz9EA8uzUkZMPyDFdnsuFPyGcPQjB0YfS5DbJSMGvFXAyXIzgoAngAIzn+vMG3l8UZ0mY9VBpKwENiXptS/rJEzKdNpvQutwIDagEF55+GHAvf8Djw2A0rLNNbMRjvlAoHUUvNQkhErKN9mnc/JgEzOXPsoiisRljox6TUIr2+tT99fiVqF9otscKHOBM0R3bvAzHocsg85Q03sTYYOBF511pk1ZcHabXBduB2mmm3ejrtJ2L7AQYqEIupcMl2uMKpKvRa5CszSD4lvkhoBoA13B01NG3QbdDB+r1JAmTdnSYkcyQhifJV2QrTxVPYUQm+VWgglmFCL13JJ073IKWuRFyuWcpRyA0MHPi4IwaAS2VychiO8YbHrw7rvaXR0PzjDJJlsE8oDvMlPBvNWGw4fZg4J4PtdxWaE4NznlD/tFSbJbJSYC3y8U83a/z5y8FAW2bR0y6M1zFCEwY6cHoyyIqw6U+ytrAxwmT5ftXYq7A594waeHLAMR74r7jLG+c0jIJKc59Up3QMrMHAg2OHyDOkA3m6HBMFLNnAvYQuUX+U0cwXe30NBllfiE/D099Xxc8Ao3ipxUEgDhFNfhyzbTvR15N+xcFfeqEAQVL5d0guQzDS2+m7NDDCnkgTCESHBOVVVoAJvznhRGYRZu8sUJtT9DIkGTU1R1flaLxsRXCOeZs2BhML9NcZShYqPjsis368ERuzq9OjDaU7B3pYKfzcHh3X3Nkc5/RDLr85C/jNPwYevmqQt+dUXZfJUhhY35PBddgZAJLSPUj+kb7611EHw2wP9hiajRE7J19vxk4nPiWqRZxgFEvlEPZjBVM8qo3JCAHWRhH0RnDPnTvknj8i6lryOie69oZVYT1oRe4EYVrpsyZ8KyYfwmgAWT8t2f0E+KUiZtyuy7HwkRockLBXDPP5PginAhAYXIj6Wy1ffQhrKVmjL22HU8i+pkWYUlEPwe151Wt29VKo0dOTY3VQLaZFh3gzg3zc/ULqPS5mLHho5ZGfCvd407lL4W7RvO23mk7y7L/MTCjrqnrhK1B/rKR/SIO/gN7RVekIgEcJZCFQCVyY7i3rtAQr/1+H78u8JHpQ8hkfzqiLspGzikIQCg6TVhzeGUDTGOHn0R5bfZ4Cm34bGdW1eVfFR5aUFSFBEH1+bTD2WgKknDI55oQCLENO0qsjszzqL7baLgc51FaR0ZR411gd5pV+h7WE7wMjWQWbKP8Hp16WJtFn3zkJnItcUPyWILxydp+1vCSzpLZzPmxVGL/KXdLSVNSoIubxTZjzkOXgWAC5ah7A9xXxeXrEyhb55APgC/JrUTiHmmPZJKIYYEde2H/NR0ZYV1OryqZM1a6anqgR9EW/s6vddgt/9nBSUUSBKqE2kGU8lTqp7MrauYEjhvwsJbDONmVL1W1oWtuhHV8gDsgPl4I0uUt8Mgbr2dBINOEqf2zRQxHqXAA+t2UChQM+kFhJPpQyCV7nTiMuvs8OIFyTnhm1iQ8tq1bhITvTIq7C7A6IE7A8881p3f66vsfroh3ms17Dl5pepYOZV7qhVKzLzzGVNygfoYJ953nEM9grFbOltQ5OdR0BLHERhOVSDEgjrp0OOweuSWDrPH8tn7MmIH6k94FRrH/WW04/UOjaGTUazEkRZlikmLvm2XpbXflt6CzOsZBHzZ336zuxE08V0TahOLEWwXnZHCEVTWolgisvqGD85+K30YXDm8e35gg8eh8IzrM4NIB1SHjoUnMu1xAz0Z39N/vjdlP5sAK7ZMJMcTToml70q8VFzbiLYvhepxp0eziPqchmHSrnn/fmCt8EHrb2vaTCucSQIyYr6BmlpKgG1CQ3EvD9NMQNmXsHz+Aezatd77K6cJPbtrjmIUC1KHrCtVHO8ZGsiTj7hAjFkTnGzkQLZwy6fNKE+tYodki3x/GKmnsW27Fbw1xwN8teP4bVnAKA+LHpJeZec6Ka7L47jkJPIOp2BnmyQS3tfsvUOXzK6b0mfSK+1ItyzqDtyvdNGatbSiq37EekXpuipuYDQS1keW9lIBfXSnzyoZPDBl6GcfIFGWNatqHObNMNj1g8k206xtmoV3JGndsE7HsHoTDuBpRDWcWDMyRFChoTLKeo+7hDb+JrNQJlvbs+mPiJHC7cllZofoOmynDDBad/oYinigKT2xnVp740F5z5L2UMvWTyT6dzFf75kQR4SHC+lSnRJBXfrqLCvq4LQrnMWq0gae3yVV52dGIWaM9oKkiXzg+fa0RPeTOUSbE8hnPyXTpqWAy42WXi+wE5xwy2ZTXVo+p6I0BN0RUxl/wDJpGH1wODaEBXB2drdkizdqsfgy7YFcZCp2wsNc/JI2kBNtnotQOj97gsnNo5gezaFA0QQaf2xtvVdpMjBrGG2EMGIjGVyaCdRt54y3uuPSY7m4cfpJfTS0B3pyc+s8lwIEPZz8uk4DuHpngRy7ZE85arBCacykIa6meP7l8B9+UUUqJV7+Zka3cbq9jbJ4zxH/95odBGT2WE/XsVIUimMJKYpJMaNQOXMvks0QoAqOPklpPb9aOMxdz5YHJ3EzBU499KHBRYh0dF/kLQoTSEB2fncK1dJoj5EM0YI+MP1TssCcv2Y886xzUp9qilCRJ20rFdnDxrdwSkfWQulD7xrtapE4+32DdyHMfpNGajgP/Okon5B+ycP0INr0bBNEdQ68g5wveB8uR4NrX34vDIM/yA58LM1YxU2i7fZmyYRPpKr+28U0C+e0BRgpu2dueKWWeSu1DdKeph1o44LrWW+E3J/u/x2tUmgXSQNHOIwWOrLgNtj0ginX51lbbHbU2xjvfQdR3h+z7R13SAdw2Kc2YmIWAzTh3ELPbykCkDEYTiCoYeRaoSOVWTxoIK3FVh/yuYL+TkFmEcusKqnrJ5ZQkqgrx5C9EocE0LxjVCppHsHLSh8Jp93OC7QPXbyqcBV6jqkNys1L5qDA1JeA+pgK42YRagewY/SyT5lKOkG8D+YOUoQDA6qbMssaJYP6W5Ysf8Br9S8LD0BOY8O5z5Patk5LIlsxom2NTh4W2pVV/6M+ho54z5ppfPjRhJn+X1PM3cBcp9m3pjttxLABte+9GYmEQvgPaZzXFCkenb+yH1da3tvcp4hF98a0Hbt1CtZHqig8TjU/wzCropymdBR9pEj96Eg9may+Jkp596FYy3uJeTma8QMOi6GO47vXzdTpOH8/QAH8EQNLEfBdmquzyjdkd2mITGoUkg0CZPOEjSTBMHxFlfXmJXDj3gXtEeXoP7yP0GoIrrmUAVMbp+yj6MyvX+5d+DF928Ew4n2psqy1aIX5NNftK0QOOZCsYJNAcZMcGumLTeYeKv+nyePEkAkRqN1SBI8BrIfkMxAnULDS84/FKuoWNn74oo3mtuiCIUxWKB7Chn8GrbLB+oFEETz/p3JpOkTAiKb8x1h+ChkXpbdwFYsKDgLqC1PlYU0ZlgTR3W+YvYVXAV/ksJmmNWkBehfnGWrDv8xrGyIx2MJhxIvw4VWDOwkQtlJcsGKMlpwM5sa+JsgjnQ1GJ42Y5fIsAfFVDV2eEgA40g/H3fV/hPQZTI6uEnIcIJvu5ZHzaAcXMJw1ftVzh/rYOrI2xLe7f+PAA73LdX9NY4psy/u5gKWSRgA7i9TZv1rUOVESU6/kab4TFY8TBbA4NrImW8rMIwKburWhleb5L6Pk5S90GTSJWt41RD3cJwKU2nN4BY+UoU/AMo6l80NmyHsvFjQPMsBKmK9huld159vgNWf2u1Te2SKc/fLKHZ4yyhtzkWOVELJgSLLHUFlkd2UsI2A9YX18tV3m3hQBbFz3m2uu28vh6agu5DNdm89dg6PDS8IAIpeV7rNuB4VB2r0wCtZNSVS7NViBOiqnKDMWpWA72M1s0pn4W9RFBRoBcESNpC7zD5DDbRvZ0hS/P1bwzCS9yzSaIl7ZuYYQGA4IswVo0B7GZ8QIhpTkQPopJj1IPntyvsLE56AfPfbHBChvpwILVCRsWuZblbtS3zst1dJYjuVNKS/RxnLMOb/y2LSw361ZFJ6N900J+vSeIgddatyuPYE376adEo8Bvwhea9PYGWp7GfhUaRgyqjpavMeS3mGjJciJpQ7IKifZeQaZ9dR7T4cQP44vFffZS37sCxZlK1QkFXNpclnTqUnxwac6ABd08cFrmfNpsBi4LBzGqCk5SXmnZp13IkRJeZF8Zba9qW06YHjrdXEP2GCkoqUug3qanVpUrMm2Tm6xmqt2xjgeg6q/cqMe/dTRekSriAiURvjLTnS960oVljbhX0S8g0ko9nW5CrHQtqPh9EUpbNQMVhPfgASEn6JvGOZKtIXx7XUJrQi2VNqd7ZZCPChjCannwCvEeYnLoka/KTtr4+Y6OMPDadTcCrVwbe5Av6klDnh8d45KmOujKnQ+AMNCcNviE/vI0LSAyyv6UaqWhj0G4cmYqVzpeOKmDAK8wo+p4o/MRmOSmWpojovkKvBQaRw+lY8swN1VfiYTFPF7sTek0ge+CUdt3VNmk5BSAu7WbjaRuFuYTVbtaFs3sVIa5JMncOCAX7TM1QcqYon8DR+Hn2WsH9O3w3BKgnNCPxERHAitYXDwzUqonsba5lkuRUQPWlvQ70boOf9jiIDQBwS+t4eM1bXneMrAgjISWYGQVxCW9blG3Fp+snlVsXqWwkYYMBR7coY+K1umO+rJfRNzcSUp0uRnX75k/4qD675K+PBfxWQ5SBD8H0MEipgC6mhGpN3pIWCM8Dlgrp8mpiG98BNrEvC186b5kQ2aydzqhoIbrsS8r/BccjWInmt4mYmKKOg1arGYFjRdp0uWroeTXQDaKEwJ8q0zfaTn3ldiVgHG5+FNOhjEQciioUpKPYhNlJ3OS8gFVTXY0R8B0FMdXoScbobw2vLtZR/FcsIXHDMy5QGOH2iecPnH5JYwccVcN/hvD8SnTOnHWOEB0FyH4cgKt6vowT29ccmope+XcZGWAwhT6iW9Z+EJm83MZ8wEDnXKxN7Ck/VG2X8tk0gUymkmLyr3YKvlGXyJRk5mXQxDCaDQj2TW1cJ2hB/Ukod25hxpQ/BJJtzDrqcXRD5YUmtXUSRRYAONzgnCSf6Jqxnq1xcNaIuXiTpi1VzPCTKLuN3Sp8KuKz7RFdkx2We+R5DDFUf78FAdDVhgKtXTgLXbbI1SwYBtqlfFGmKQ6vh4yDSFr0NAkWySjprcVuDEjk7/xilBFcXXDHugvKGteLXf0GACovPCMRv6KXx+OgoC4wyrBZux5uKaBSwyp5JtGSVIZwi0j6mYSMEBspjW1rwxsKXXZv8bSquU5Y9lL/DJvSod6V0UWzkqqJd5i/6AUCZWRpcDwMqOtDfLbgo9KGi+EYZonlICvtzc/bBGkM1fU0rHx6/ywDyPq7PnqcsFP81zjt5BXaqFEj6NgSkpOPZcubEiUUu1oGamVezLscvi9TmYymLbHv0XMilt6awbN3ps59tD+zCvPoez7UcH6jQtggqkXUE7TPqvU8/Hpkq/CbhqgBrjl672igDzfXpwjZvNxRP93kZdFxHfANcM5RJS3IRs7n+JYlT4IAX63dOjcxHTBlrDzHYpK5B/zirqy31glC6Xjr68CzcaMLr3RuYUTdfXiyyjLQNwfb7vt7yo2jZT7XxXXCubsPx4NTPbmYM0X1OralsgvRsBv3ATcsJs8chqukCD4dSqOzzXXBgTUaSpaCjV46f4EcWUCTH5KYNqBQysEfo2SJsk0iyssbP/4cb0MAog0fewwy022JzaEoFU10NkJsZlH0oYtZpQ9zOy2zPZamp7qC4DvXOdY1xWHMLm5bKMepQJkcTHkAR+mjp+REuiYPzW9c1hBE0g2+WfGNLJY8QEkMS4KJM4yDJay3BAgXkFX5t4+9e0YMkYWK/4B9QFhdU9Ka/VYx2l0+ghU2EPdGZWUjZkShwmhVyLTDvdmnoBK5XUljRemzcuWM2OzDF+JjSRxmzQ4Fw6Jdp1hmsZcT4IoC8t3OOp34r5dRpjl/NXSVpF77KUQ6hI/4dDXTL5P42l5VI4goq9T+VM9FSug8oPFyGTWL07wWhxT7F0K21PSQ2eGIR3tZeiQf8acyaotJcfOL73O2/h/6TylEK3xq7KDtrpIRVCaWog3JJEBBM0bR15RImkNDWPat4mVF7cfWNUXA8BoizyzxpIHWJGlWW7JiicC6p95+1y2/+kGD276uXibJ4rJlYimyrDBATJHDR0Zkj4o7Uy26FFeVEJTIV++Dra2MZdgacxJGM8URGqel6ge+HiRoEXG82FRcamCtLPPCvdE/Zzo7HuJRofpFAIorRJDU8tMKfF+IaWmD8s9Mcr0oI/fYlapBTFfUOmCkQXnkQ8d+GDJvqnlA0klKQ0JwzVuhjRX4z0NhJmvLGzFBPoJ7MEtgxI/NehH0zhg1QUWb0LuufwGjPlSR4u7dAieEYsGRtZbSK4ROZf0o0tIKUUIiXgNSS8SF841+UNyueTPJtofFPuBBN9fSvLsrLqN4nYvSB5DnJzoJ2hHubbGyTw8DW+rrF+FlcVTefv8i2s/jGqoxBdYRmqT8JnixpimMk/IZ6lp1po41+DqBC2CVRVNvIm9l/oHZsDzhI1ZSfojISLyX0rjdlZ2/p5MMTfLNfAv+gehF5pi7VMRL86eCz9Ne6XWestCIY5/8T8Q6OJF0moHHWN9wHfLzVEoBYiUKHEokcltaVI9vDro+cAyxciEjxJPAUt9BsUCEtLhUubCPh3PzsYARGYTd3NwuUCG/pm5wvVGX10GhPGn7fysoS0w2n0L5duTZhMxeSkTJs/y5EDX+t0Lb5FlLJcpGqJlXEF1LGecurZxRGV7C1bkOIAhTALocQJ7q5LWwkprqj3iyc5WfF5Ngq4fWwS68NsNhyOjVRS6xaBLGvTb/+q7R9blVzlo+kQ08RebxTsu0cWANarkqjphmRr9gi0Tvfh5orw59yNKf9Y18zNAPhXY+VVe0KWfnCwRxstyHyIk7X4PQG+WjRbUBPMgfABOmDcnluwTrwdSl6sfSZh+s8bvvsSWJWWR36aHTLTl3Ikm07+QP1meMoLO69Ap6tX7TKpwpfaHQlcv8508zdmgJ/jQCkkNDNus4I0YNYK/T1GgsEq9S1AMK3V/TdeyWnjZKbsTA8PsXJWLkJIuVuaXsz9WqllMu5SY74SDvEnR/0MqAxkm8IkS2oG2jsOP/XFBIBTyWFXMJ9Ok3oz1EhV6wfhKbz6ZUi9ulYXqcwhV+KlAw2OvSOWhgnMtjE24f86fR24Mr3iPlKp/oHpHEHa5f+q3gha6QDZi16hugPW/FigpEsgzJxMrLvSgQj4uvq8RxtsARh6Owt8c+H+bxbVwwlHkBHqknMuoAi0vMD90Ct9u7seP8t7DTt0ryIO+uHIfrIALGnLDYxh171Vbxotib2G3QPvFja/wV79fiRYA3mDHn0+Ef667eJdeEb+Fem9ZNKOYI6BXIOCdimEIrxuhIw4wWUNvffQAIh//bLy2qm1/uk7tJCGpOf+BcHz3sewvFkYqt4f63rSt3O7T+uszgF/mHbzN2nDZgqradJNlvZnmbZPVIEbMkGXUL5WkCbvD5wSx4xa749KOnO1hJYf3gXTqOsoK2xNRMZFrZmEQKyLpT2ilc5eem+9MLsyO9hCwsHxCc2RgTA40OOSwH9gTRdCKptkeVVUPuzKrnvkodqkJj9K2qIchg77TGv9nS+XyZHJhQ6MSeN9Ld3DASOiMxWV55CiSnF0/RrVYBQN4ohA5wxjdICK27466nnoL/eUb9c9VmvhmR0TGs5jQ4F6Xjfa7AI9a2faJE3cb2ulHO8fQZ0ve679gT8129z4+LfzJS6cKp+Fkkz1VgEbcJdal770Z+Oq7tmkyKGdk/jrgyLyaAoN2e7JRWxlDbnuUhYino4NoHvYoSenayv2KzF9ivApg1Mmx+js+5GxnZMJ/0/aiunyAhekbQK44VsziJM1DK9v/NDVxXNHFBDtfmo9doIEeqCXxEo78lU8Bjmagp8TF3veHQvA2tm8z4+33y/EPbEWVksZa/n8vx/jI5KFt6kPHNq8i++grx6U7y9ZAYnrN8SCSlB1DVYQh5gNs9dKrCdiO+kJKA1BemAnqoYwP7Q6ECYTPUkclVu7VeiERgBZQOAJh0KKu/Lfbymp6XyXLnq9LrNVAXGmu2Mz0I0JbBkwsEfFPFDZnNewhrJ6nbGAtK8fI9e7z/L/6ZCDMa0MAJlopUWr7gHxLoW10XJLitUkaGS7bfMt32qj1vQgMdSr5DP16jRb0rjm/56PwMeguxigvO3SixRGrAhXgph7zAju3hcOWQeVIlGyOVYguQrENR0FGCe0/HsFYAGit0KZB1EAX6u4zM+tOSkucHuv8rFOC2xQ4yxCtZNOB2W3ySXhXzT5A/W+QWA8MZNBP/qe0adwxlgqtDUyfn6yxhfqWSzYc2eXYpVW6SJzXJ5q4nDiJXfs8RD2RRvSe9MffcUbiOV8OHudWAjX4qxJHLfzt0BzpE7iC0NOQi9L9Ldh38mFho5HcRZ5zuvccl46hDAtGE2UBAgFAb6Zx8bA8HfYQtquQDmSwENmWIe0zjGt50m4/J8199N4t9NGF4k5P0T0sEYZRwQ/PNldgxaeHCR7U2X1wgVqdl9FdAQ0lyEaZDcROtjLCyEDY2C4lplD63skuDMkTgCiEOWxBycIgwlp3IWkPjI2IOZi0wbIm5CzYEctdT0/6XIAeEXRUrPEy1SwI2LPkEm8mVprdmDxm3e/GgCnJGyu+10djU7B+B9UnbF3RcY5+zGb0xcL2LrLu4CmixDtLE1fzrv31FS/LTZWosUnwGK5RNaNDNbALF4Rl8Fjjs+rmsClA1fdnNwwqHGjGFZFRPIil8W0ve3v061+5ZS535FmAU0QqL/2uxtdu/zcsyiZEAcCDdhdZ2fvBuAXph8FNNXI/4PETmT1wwJHoCcmXLaD/k7MaBLSLVAEA3O49kTbj4LuujwtFUP+2TTiThdN5xZHSoE33vrRdcKkLYXvr7JyzyLyuGhUXydxYPQkiGy9E6FfsaTwa/dSSW5Y+yDkYffWTEteXI9LOQTsqBkTKNU3CPGjutpyLd+Cbip7J8i1rEZ/bqTug/6H7gvdum/eQ5TPZ9sK1XlDriXvcQrn0gEp7d7DEw7+69a/rspXn4AV+gOJhHP5Qu0eob6RxR0eM3Q+4XwzAd/j6yxP08MyBjJR9HXTYHyLM2++8JFAK+Dei3/4a/+O8EWTYqpJGKZNjRw3cpkJgnjPR5NtOxBuMVlsmfEbm7gMbOt9Q+fB4nZPhvkh9bhFahmhXZNFGIkqkBUSzuzUksbNV9w3NmBFbDE3NNniYtHsVyTeKiUC2lgAN1TTuonVbU/S/h1qwBtgxPeND/amk0cddGtZL+7KaEDXG2hoK1KP+DPa4hABXDbtSOgJOqUuuiS1qDo+8Xp/Ww6JHvlfQ28xPo6QrlspNiJ07EiaJruLi79ba0N6N3NGTuv2FtOg0szBRumTwl00Cy+gaZ+QAwAqwlv5S+aEZZVyVYZGSsN+1lvIvc027uZ/e6LsvN+sgeSUSFYBRvmE6U07qQk2WFS84pSS/OcqmtjNdtCSwNiRJO/W/pGqQNOR7wQUv8gxQCpfAHRk/5f/6nxwcUtcI3po3iMaO/UggdNzzRik22xxAVtdYT1EhcKyUVydHBGZkrImvjkENby99qX+GcpTFWd5ajiwpW6D3hNOmI9CAw/W51hQ6yIU5F78vu3oYGYzdnlDrfiufvsvvFX31JJl0bINq1tUh/fJQ4FtgD1M8dzfTdb6005idhjmkYbvXSJ1LUCYxUGFhB0G8AOkmYMIcklAQ25CmJMwz6VQkOgrrFPpfC/kcKcZxL1R5TVcECWMSey+Mrv3RMCoYLOZqe5Qu1U//eykbj1ta3yPaTRKo/99W8S27j1w9VE8NsFFgmIkU0F8SIRlOD0vk5M6lZ67fQv2OL054Aw1O4F0TKcbRQKKYkuG25B4c3MyyQrFZwk5B9LjNoi9+4DisowMCrbBcXLYcL+esNKE8ZgmO+Wswp9XPF/TicOh1OCkk0UNieFYQD+dR1ZEdtbdf2UNSheF/lL4EToANBySypAVQQHm+Y3nWk2Uno4bjzIBGNabldltdjNTrOigOWBqa5Z4nEjNau0OCpe+O/aPeQyllcir4gZh0MqTDDjuQ5IBJOQaOtn/dzx/aCa0JhaqHIxrDrQrojB1Re64AXnwuBmG58y1n+/np10Qbddv2ovxWHyo3xstamxKtcsu2BDnReBVeyahO4XVYf+dOLAizAvCev0DF1YwZ2EwT0WYV4iDGOXwtwoCPQNFYtvSTavNQAxOM63h1S7LsfMMSqxssjf/IIqqIq7fHgFpbpVerltQSzeTdqMPE9ZAz/ES1HpanCB5lXBHQRGG84tpb73w6cf7kDWVTU/90LN2LwoYtjjdCRAz47qJIkRd5uMKpa5DPZMyP8hp8JgwX/Lucgi0Pj7obo9d+bS+w4alTVvawfXHzUBosWHehMqyItl7C9CvwcgB8U82lS+Fe6NZADaXPyTYYLA9AC3cf9D+5i3OMOFi78Zrw01rxfRfD4UsGf5Jvsd9lZg6EPXcYGm+IjIXE7vRJGQZIDV03YnZbZg5F6Sx8j2JlOlt/EUG6RgbVlU0giR7TEcJ/RExDeZZDXfxUDbwa7AoHGhLPCMn59fZj4HX2oMYCcTN+032ikcXb7kEcOHHSqOrjaquazdzj3aYPkLwxVhsFCDmEvbHJt9273cYGX7IlgUTlb46Ilemstm80GeFFh4EjQ454kb7ECeQqaS9L/TKNMdCfu1rIhNaCpLrm3V1JKc0UV7nZBtsHCbF7pe5SyZLAQGvNpBeWaig4xdPJdmta6YpFadpW+Mx9zLDK0diCdjmi5vfgm0M7zzcoOL37W1DQ4K0Pah0oJc8x0uOoy7M/1gVlalV4KIuZQTjJf7TOdBtwv6te2Mv1oAEZhSk0tp66KVqprEsRRipeQtD23u+5e4GP5w2Z9wGOdArC4G6JKAHodontXmUOOuqo+NQ1vovKLqu0prkgRnoENZi3rMHFUS3BnrdWZ0zhKfWji5apHUBG3LAmGCYt+/RdKXr6NlIKmutklVhCmVM0+HP4rZ+Uj34N/PAnGdMWTFlXjzBCYx0li7gD9VjdDLx3toP/3RxdTNt3y/5ECa1LhKIq3lWqMkgcFsw1rS/aKgPbrxcWB1tSapwqgsdL/Aor0GlBhcRDGc/T+QznZv9p06uwXXY5Mobrija+Z8qiBL4sM5Nylv9CbUhVi5ZRhdA4a4znafGHc/uZ/AaHAikcZMBOCNppTvp3pefQE4OWu5+FN3JOJojE3Pt++1P6XCb2AtCNZJYmRXBGtaj6iq43h24ckKvc0g5+/rayUYOv9a7zFh6GM44nwXrSS6ZblfFS7VHZi9dfjIgYv9xrMvpEE01/3xZRW5Q45Nnjn9n5pwwllqkEkyTKqunuuRoGB55Hn9kbvlkkXeysSEeEw/Xgb0VsCTNQvB/4yPfVhhN30AimlIlPUd3uyFlmkx1HpeEAFAqbzW0h2UEA7ehk+J8YEJ0AAoxNCv8xi7eef3qUKZqGaprh7Loq4kWlOaemPqj2s3p9Lp+ehKO0myxf80TasZ0Y3glE3HMInrVEFaciQxoKa3kdq5rZ1MJg1MRKi119OqHYeolx0iRUuNgW3rtx7wPcOPWExSa9qZG0CYxFzXtVczg172ihoI9a4pMnyP+mq4+4QqC4lhh6gdCZQCSUvjbi4t1nhfJydeKZ/VJf4cx/ZSyNeMQhz3gfMkC5imkq634tXDFH/uHHihN6AanRvqQrPR23+OfNlNBuxz1gVZCBzxHnmN4d8qyNrZNl5Y451lXzt2rd0FBsz3XNqOT3x/czIHC69RemIKKBlB2q9ZEdamGWMksWUkO0dJLIvt7Eew7YLQiAfxjA8SG1YBop3IgYwMzJFqKeEqIg9J72VxJFa2V1xxvZmUF4e4s3ZeT3PaNTVnMAG725XR+WwOpNCFRgB5HeUW66V33uh4l1vwV0pnlCXLOb6Rbp8p3ejRPign8vGooysuDJBGEpxhEIO/RTRpiemNZBqkkvxgEZjZpawcWQzcWjFWCiSfEyVmsFR8MqH6EuEOuoeMm3elkDvAu/R5OH9wClFAsAY66bQFwEQnoVLniMHTjMabLLKu4rIcYW1xB2DCrzQVts7d9ZEeCCWrSg4SuAeRNNzSMgzsbVTZiRs2wFNIGXUM5sdI/TQivcRTEnAT+pLit3s45VA//gHZqZCOA3hdVEdyusgRaMwQTl649MjYonPS2W3HiubNZ9+8R/b0SC5BM9brtOl/F3EHSzS+QXKI8TOxISsIuZRrcF6OYFchK1hBUZAgnvcG239v5scQQRA3wQLZuxnQMVnOS/ntD/PgTNfA4TD3aUQaO/HluEkHSrTemzAbA+NqLQIlhDqqB/2biJq3mv9Q90EScS+b9MOqRBLz9V+7FelvlSDA+QTfenWa8bOUFGs4XdTTSLb5cGsvXeM3X5k8DmaJJQ1ZZRwYM9LFpI8JEV6ovVVRvxWxYbfMGNYseO3/YawWjf5mIXXYZ++wMWfDIvfhOo3CkO0hI3TRJmAmWJcg5mBL0XGsj+s8niVMvp75qYS32Hu+Ljaha33h64jWjMfaNqpU0PkJi5WGk26UxuodOLVig/zRxEYBfMfgTR59Fw8Ca4OSQyLS2nKk9iPW2eRHA51ost1x2xlrR+sddCWsXuOfj2jGsQa9Dha49Z2wpS0k22XcPwaTZQp95+tU2L7CCsdaISOCoNEd2gAG8RSMHoPuylLmuSjEENbMyR+nisTjJ7SiPxLN98xCi8CYug9J8B+/IUyfJfuvfecCDLPesP13DmL+BZeMmJmeXJDAw3SEjTlP05dje21YzdssjSYbWVbBh2BN4i3nQg02pRY2pYy3MlRaFV0liQXjme7jpL/C7lWeGXyLlLGfI7QWSWUchAmbjWUFRVhx5x/cGiXdWAMnF94YhymEAj8A5MqnbL/hnWJBd7AuGR5i+vCOoKse5Oz0E2DIYe0tqbKFn8Fx7st+XOWelsO4TfmhG0XClUYY0+kI4Y5/oaqWggvS2xxsvARWImNP1n/jYwU6N6utt3u7Z3Sj7C2e7xGBZ+hVpfdPtpsWoIhdS8J5wkKp6hqt8TelOTevJaT/LkA/gWOLO8H26vSXNI83/L4+IzMu3vDbgMXsbYe1DUooLOjbSf6CTl3DY4WY7nw3dC8elfjbbu4nyA36OJoV+r+Ld3sGkHL66nYRphdWwLrUVy8ZWJQR8HIL0kyX5G8YrF8/4DVx1miOlxRSlOJXDuZMvkU8EXpC/xfhskZ/N7TDSg2RgBpjBM5L8S0v+KX3qnNRbJhtwFFLtOEwD6mL/7L5Pfim5/Rl5HiCVxwcLRgE7dCUXpCWiWdLLbE3qtFjOBLGLNfAmMaQz1/IEKmN+DAxnGlSuoEeCMZpYFhYPIfgfaFHmxbX64fJSalpa0wK4AFZ6g9jEA5qgRJZpPYF7nqgMpPamL3wm4IABl0A9m2CjFFdTvWe4WCYnJOIE0T/qeWdx+zj9YPlVbMtl3iAJbvfOSHfi42ElBmwEvVFIwWantwlKKbVoL3inr9JPFhMk/m7dFMtKmIy5fBIb/frLzDoiwvaqAYg+UyCJ+hq+FFxuRLO6f9ybDINgbiHuTCD3VhCT34cngk59EFQDSzCdtuA2K77D9q90MRY519KCXgSujopZn1o+kKVSFDlSCD3onm9F6qjd3NuN2M8rxnn9ZuJaTUwP91SP/6wNB6prKzYVUnNZpMRmIPsMIQuvUiUO8OnLxjzbwiK/8/ukfQ+/dMBc9Tw8MuCnLBTKVZjIyG+mmSSwUFMmUcIUq6+bZaFXqcAMjC08QwwFrP5cXieP0EV/a+0qPpVEiTojoJyD+j2/zvl8MMbqQ1Ev1xU1WQGstJDawfLZl9mVKHoeDH5ID22OcMdlmHGZBc9/5t0Rza4Z3YC8wYnmzjhPYt3guVvVxFddCJWEeKN4GxwKc09GyDV8z6kV1u5pNJS8r2TUI6yDe1lPdJqi0xmrEV4Sm7bzUhQNLS50Ydpuo2Z8SU2yH1WLsSrEoj80tYQS2zgaaT7GGm7Plc95vcmtqQbP56VNXuZ5ObHfmwRN95D/fptokKQK1A7ycfAX/MrmTbzLrukTiBdPz01dbayCh/rWnUrri3rjTUVhX5o5FmRw0YH6Hn5zhTNPt/UMsjabCV4UKCCWhhS7SckATIqKs5uZNwmANv+zwjrpOgx7e3Pqw7kBwax8HD1KEW6ARrf47EePEDFRx8jog+gReM0JSmeua7aNtT5icUY0+mdlycncN7LHwBgO7Qh+WGxlQSlXo5D2K8lgNYX+ytlMaNidlIBvtComH+UmL2/gDSXjoHRnzzamHqeoC4ZtnMcHdBMPeyxOhyLDL2nDCd7M64vsTk7gpEH7MJLZo2pDlAxGUM9+zhA9zY9Yxsy3EOZdSVva3f/Ca2fqu3meme4pbEM9tRNNdoqJ7OiHlketGVFb0bZpM+T9WEf/FwcbDrON1eefsK+OjudHqoDo7guY1RBB5AZ2AJWaaMqiXfOYrDrGNGMd4s96CpsdnnbT/Qn+jv//LTuKE6rZRHY86/FEN5fr/iz0fJMwkAF6UzYvRdZ3Zv4AUAQ3kv6tR59IFTjbHJDzon0nPTLul5wPEhk8ipXogLDhFjvQ12t6mt08wOTpIp/DABIqDGoptk1LZLCRb2bMIHFdFLA4X3bJy+AHB1Dw9MScqfZA5rOAYHG/Vano2PCgj8NnluFDvCSjEJuI5zP3o7GQRg3e+4y+7WBLEsePr3qD2bSwQEhH+E3yHPyLyAXlvvryHwdTZ+Os7AM5SwClkJreavjdFfWei1NrlxpCdD9utN8G4ZXumLRwZs6QasofRzUf8pYCMoRTATcCa1bf5rSdlFUVD791lleGUPjKGLJjhJbPj5vsGwGcC44TdbT6CYf545hBuzNIRUNdHxXBnse+5sHpqXoqFOtIfLoyqvNi8nMlJcCOD/WF5PfBAyZeGRpRqwbvMnu/tiFcSZH/rbFxvuTNBVWdd4c3cS5JkZOipblMYFStOOfB59HVV+kLrfLVEzRjc3Q6HGpkKrobCQup08YoD1xrgnUaSVQu1ih2PHjAlD8NJIihYjQISf/K4lpV1PFCz8xI4InfUBDbvL9HQfe43eL7SMZAVT3Q4M0LzqpL/QmyLPU/nkDsDXDcFVhCmLcQTpKt+bATpvVmwmyp/DRR32JguUsDCUCxMgrtuvYFiceAwBHZ1K/KJyok+ezugUmLfzQP5kbN9E597LxUHXExrkHH8phouhrMEwhKQpkdunTuhkYXKqb9IKKj4wqNqrEA0VMOlHMidzbMHl/rZQhKe0nKAkli38+RwnoOOZiQeVgL1wiZgqb8jp00ATRpcY7K/MvG25j4STlsLivwFQHX4s+67wMo35599k6VYzwUL40iAQqABYl0weRkHt6odG+h4nVOl/7FrPs6gVbLclN+5bodE7bpvv3DJ19tB4I8WirhPcMW3oAaHk6O/wJdoP/N0zByRC1Qp7qg343cXOO4x1RsD9/P+8XhbWK0xtwItHN+5kQ3GifN9NW5NCePSIQzuCj66fVWpN9EnPaC4/qWQLzceBW4jIiP5OIaUKeGmnecbLYhUkj4sIEhrqjhEQ/oj4xsBFk5q6uU2n+5ylDQnFVIuqme1rNnkLB2VVeHKg0acn5c1XbK3zLGx66S/YmxyPXlxIY1uaf/fQ+F0P64Otx8XUpUPmuNLSd6DKSzDvcIjY9uVAJtj4ngvJjxEGyIFbKSW9adxKHCGczcfOSegCDe6Xrc8GqlQH1NyCTa5oBU0v/pfOhJBGoWNEqHrL9SnBW4lA04mUd9WUjW6vCPRC5Olkh8NXAkMy8lrgjdfLSruqtygOctFd+tKcs9t3MouWRFlp9Vsitw99P+wErjSWDnodcoA3+3n67lU3RHm0Ijjq9sd89xrABttvDNZmgKPJ5E/R6aoLXfJzLXRGr19wgMRdu4k1VC3tqX4GId1YobVNA2kQEls85Hmz7V3eQDUw2X8wxCDrDalZZChkltHFrm1e8cRfS9WypuxPp9KOdPJvlZgBYT/Zyl7a6V5pB7slxpMhMahW7h0ZG32U2RZbHY2eZcZQEF4GVVClMIga4hC8q4znRAjA96lSr8zGHVhqi7/vh1bqmOI7PMSaH6Ptj+DCowt4EtSwTWGVoD/QNE4LAL23wSpyWCDvk2nUyirQyQiY5McDnozpbViVjfhSwdHUL84/PwYDuOltXnUiGC2f88SslDQiSawDG7irM2jM6zBnsmUTbokEtqKWIxNgZEay5yojDn6uXLkK8rwAMNXwpgVZmoyqcUiTTugRwzWOWGWFTDYvMDFnJEOJVue5B+zzGEomRpYufpGTIaHNGMOir2yQR76l+WaqAAuZafmXswnMzNOx9GvsiERIq2gzdugGyawbp7HM++cYniv2jvQuqiAVuYgAe0hSEs0HT80ZWkrLOsvyEek2ynSS/lIza8QFia5UgbPRybNTtb7+fkhLbZNm2Q96dxGswmS5My3oJNtLuyC64I6f3+6u3wcSAuya3HUQEG8ttbf/POWs20RX1N2S01GO2BaC6xv+JoiXd8qyuiJA2aWSElILHLI35HgNogQyn+Ywqw7KIWFExORbQ/uU1TSj/4JSSKhBflh4O5IyI46GO7WU9dds7NGcCafALtGaiOhqR7GCjxKYPuT/Dc4VgHqBBN9biRgG+JmGNqtrCBVdJdebFOk36KSXUTEFtPhcq2NJdlDCEsdkIW5VKPFnd8qKbTP542hmxEGZ8b44F8hwv2rZ4+uUI3crPubAFknOCwuw204GY4DcjtGc3KYV3JMwL+s5Lax/e5DaBZYvH5Wcoqf5ux8qPqD6q9eRj7eJt6Rv94YYPx0TfO+2UBg</x:t>
  </x:si>
  <x:si>
    <x:t>1E2gOg7kvUoWL3F89u3WxwbHEPSfIYK+5PXVVNVRgsTU+TbC80R3bR52IODHYSE3EDVFFR4Ss39IiRrMzyc4pBplheXXm/uk7O//txwgCd68NPeuRxWrQJyxa/Q3RyEkgl0JccU2+bAZGww7WF4u/GxyDXoD40j75RPjxBJGtKj6vdYnPM00LHAF/GL9KiTfB0GuEkKBI5HoALPdOCimjC44Gxb1gimXzq7/B8J1kJCBYSAPbyYEa/H1uH3Rnj1ylYswEN+4WjiJ9rulxfqq0n7wChJZiveUWudcDuBUnHhbgbugWDQqpfywdvn/v18xCmW/o7gPz6Ts6AjNwRgFnab7DJhM7771ryW7O96Fg5VkFMqTsPEsLKQYDOaSRtIEMtlF0gbl6AEKnjeiFE71pV2trii3QODAZMoMH2WSpeRHwTRN8L0UBfwRS1OyWhuXNFZkVCUJdq0M+PtbGfoDn28vdTaOc2mAVT4t2wo8EYdsYUgYCFYrO+1IOTzQtji3bxZUy7cC3LxdZqVBqK6AUHAp2SiZOnH5bmp8kWODABtixMDdn23ukAiyyRLnkkVipFsSvEJ9PG3aTUd8Rm9LuQwQz09Pp+aLqTkuU+n7GNNHZNqTJrZvecPvagwutZgW9CB7TSKxxHyflM10ERe+Xo7qXDNtg0RimUwz8ZPm2+tgDGlOB+dQyDrPKy/UBA2mDvo8DdCUJXGknTwfnA5KJtyR6HfyKQoqUv2mE/C/6tazpkvy7obQv/g3O8VKzMlTsVLeWSYz/IGx3rRf6xDbRZ4t3KiUJ7cv/Ysn48rDu6uvV3japSdmr0crigff0+H3A4ulTimLugOicQebDuaJFhPyR49KpeeXYUENXIdvm0EAzazvsMqF3L0j8XOLdeuhw0HrIJ6lDLX35+BWLQ/Dtyieuk0WBTwgavToLaYOF5eIK7PJC/+4FXtnJOgjXeKAJxlzB35JwAQDy4mGGYeMIkSUrCfyg9WNAvnAbhfV6cBowqSwe9GrQOO0z9vLuC0dNhcpp7wMBgEbRYfzoK4YRc1G8FYqxmFEVZ3CCBNFPqAMROAOYSo2HmrUGSaq308uO8441hOSYuLJIZ+Iw3SahjIGyIFuOFq1OWLh2PDWS6TLGBwvKwoj66eUQDPAEA0AfXpuzRjY70q2anJ/wOC1FPxHhbZpNB8ghQ+leyJus5kvMOPExo3pwvpyTmh9smOWMcMsE8Kns34kpfzy6t6G+ac5IME8BgxkFqFEWgIo73laHH5cCxbNzqyJXQqw/3aMfVSNnUz+r04rJDVLdiBZWZueCpa5A8XM9BKrweWfKh040WBVP0JI56kIPHD4SA5WrIUwYJ+moSk5iHJ26X0CQ7Kc+uOlMDXnLLHUYiCAHTU8sMRryreKVwIMnZdNNjvnZup8y1qkpjGg1VQAw9TbVea8zG0JVba5Nh0gsG8zeXui+a7gm8Wc6mPHGJqXQyeOxfRKDfmGstSChcYNr9AzjsijJASMGqZBPa4re1t5FmUPC23/0GXj+IiEnUieePUFYtfKQv+n52bnxK2A8G01X1GFT4665yT9y+kbx1zzt1qEZQPNlhQIN15En2SJv4oJyTGD1fIISQyhdpZkC5C0XQzsgg+wi+FpkjlEx6wAy26kr7/rqoyFptVzRZ2+gH4a9o+xMG+7pPNhjuoe2YQj9DNWPRjtLv9eqcMsl3lckHz4wft6VXeUGIqqtjMJm4pdJm57qUVYC1dmKe4cuDuv3+I7Rl3chCz9yIYymPw68HNMKJ5eP026anLXYNSfWV7esA0u98UyJvFBb+Rz2DWzuhin6/eJyBdGZ5pv9fb0ULfdSNbAbmCTORqK950MRMPDSwIJsMTfLGxPPxxO83hNJsr9vXI0UFWmZd2b/gXQ+lrK4jRhcbZtgtrP+l1BgCRup7ly7iicNaRN0wEEFJGDKiOz5ksbCljwdUDLsmE455c/k1lzXIpWi9zoT3ImyuTze80zT5ekzO1g0I8cVCveYcTRyU2FzrpHRetedAIcUFdBugtmQm06qA4nX2Y/qj7JKjaOiIco3lHHJL6Vzkc0K10KEt++d2lsMYcX6M8FVqni1OLhsWAhUd3Fz0yFg3oLdPWoi/iwQ6h4eV9vSLWcq6mvKyfrSVerZGA+byt+PzWl48jPJtcf/+hZKYcI8i+dKYLVJsthhCsuOIe4YMQg8CEYJVXI1jWLyXZRbuYD89cJjtpfDQawtCM+c6QTOPNTHH3v5AaxjjZ/Yb+l0OQGNa5f0tHF4J1XuRchB/17pBW6MyBQlZ/Whwc2fDOBRrkx1osyBpj013D1J+4Q0o9F4IYpKrImCAzE9FTOpNqd0e9HTEs8EhQMA7Npa7Ym52hrHTKpoebhzEVbty7jGHDEeTPOPHmpbKVpv14desRCuhy3Sxg3oBC79WN484DAPiIBX2WIFusGTcdUZkzyS5M5bKD0xTCHNKYRG+7n0aUdyJOfW+B78zAB7ye12TwtzIsG+WnWRcyvajyCnEJsuV7qNfRagThJ2ruoabRHQe9O5my4yIaGLozMRbLUKCHuaXeP7SocCDa4dTpJYyTmcB56QhPoAwfGOAe6lEoXn33mQqZ+3BqSw0YMC8wQ4QohwnAhMYOATTt8bZaOJjFeNpMWvaqP/ODVCoqoOpYxAc2CTCWAnoFWRvVVmZEDKZ7BEFo2qiymXwE7PeOm3thpf4E8Q/2VvA9FhECJJQnTXtT+NrqaiqQIBnOEDZdN3tLXCVgnzYih9Ns8FcLNWJS2oaISBcTVH/nM+j8Er8tiZx9iLd089UdDNBiHJ6P2IwalPRcyFIS3lbeRtpg3psIXn9dklTQvll0uHTzChX9ioZm5Pf0ZwX3Mai71zbkDlwWXMGk0gJ9TEE25Egy6MUOJW9ikbFgBn5zg5D+dM+KhgUpIu4SF82Lq5/ZY5wEAfcgNf88aPOXotrgaA1nXeiSulV6gPwClzorl9YRwwnyKeul9zfVry4GPUMohiCM/PhOzzT/hactfFMqOwuR0U0iAmfW8gNbU+qJv0JwwqeBGMCpgmTXuPs1MMOECZAhGtdTrAd5wVwT4OuX0cLpqxkahrnvKJJkMqXKP18dFxg3rjUSzrkRzHdBwHS/tvg4jEGS/2X+qY8X2dpO2o0uM4u2o3PnSIc0iK6GYqTnf+5w6R9OtycMBJ+5tCzA6FQJDHYqTkHjpghylRnLg7v9b2nd6zyJyqJmkBEjMKiFbn9JiXNPLQK6aGvY3K6w9pdZ7TAcYY/g80g6pSpOjm/R2buCmrhwZxTpsPJqSc5u7Mphkt8F7ltei82T+k672aVb0pZSxym/jk+cNnQoRmKXztd0uFxY21eLQ626C+sb2X8L6K9Z8cbldj9vOBiQ9/v8ggI0w03+HgsS4ZfAfU74DIqHP79UDwabkryuTwpOw4LtYy/oEUB3eWBfKjHUeYgHbVNLBGECO4tY0wfI2tZfH3U4shAjTWhqpWV0+SrWlm/0+Oo7SYSQs2eWefRvQ1+Xp1LeqLV1j+nqbN33Oyvm0OUBBMwGDF1a8I7QGX17mzWjprYhKFidz8ztUtn1Jih7cjIWFcHcP8zzkGF6X6Aqea1qI5kvpdyB+qFtBtC2WYUnrfdUET3Uo2CSyHiLhTWo7UzDd7Ss94YuudC+xlGHk0wsCemAOka4q/Y5LSeUlCtYDLuPzFPUNOMhak2tTz0tYK+if+7sPrFOtniPksi73Z62NPyJRBmwAWAyFLl7dUZgKsWXBrSNoZbszLvsmZnVhHaQDCgRIXVwkg9n+uGOlMaEN/qaLO9jKjYUAGXqDT8NxmtIJCCM7mFN2i6Y8rX+iLHkNt/uwA1ERE6+2QgwknbbuBYckncoWTk9JQxFwCvLn5Rjc3I0mcD7e1JLaNNiHszQ0fauNvzCmlCx+EobpjBOZ1qsyU7b/ubD/1Y+97QVI5zoKciKR3oknMyicdrVmQJSEegR06KZKX8109iufWB8nG47Q99kwcV96GILV82HrvG5Cr49xQjHv8SFt7GVlXvjOmeCH8DwcvvnPIlhSeoDv2y9AzCd1GJLY2OPWz4879j2vlXkoUGziuodnRXWnBnWnkC+TFcM9Pz3gnzYaw1Eo3RuJ9Bme+l4RyGyPjqz2shdOMRKWPkivvYOfMCYZv90HA0uxnrhgFn2ehLgoVJ3klRzPIwliMOJATqTltsrh/hM3lq812EvOAGIHFKPUze5DGTZwTpDqzWjlSYDsHeB4L0QJBbO9it2+yAsirPBeZy6BnbvMrTaZtMAnibRXq/SVTgMgq/9QPe/JBqo+JpWQ9UTDdvHif956XkybiVxELp/5Mvh3qoXujQAN/pob00Snk68SMus/BtkPn3u2gEX/YONZO2tRsCggsXfQm1pSDF1XvBU7Qr5ZBKVg8Z5sHzjD+0ACFuld7L0DnpqfZn71u96j91VPgVQGND07rTFHu7Td6kWQTadwiJ2Sz9VJtFyTj4VGufRzai56NU3cjpgy+HrUWmjXfSqOUba70CMjHivPPOh6gH95xrbMBNs5n0aY/eHbEWJpc38KeXOoQqWhA8HYNwcgE2QGo1QF4Ifyyhe3PbirzNScb7xFHre4Xv6QyIsLh8kba2YxQBtxU6TdRuNx2d57/P2N/+6LFvDpI0WCJ3Zk71mZ+hjmXEgY5vAXUprmRmpwlS+UUddz94vi+cmDFFGgW6kaktVPBG9YnQxnuItmQ/idmlWJ3CZqC9oCZLcY/IJ9MpyW3tqzq90aJqmALfSlkaab+pddXhTMdJXEmPePXjovouIimm8CeX6npgQ33VBOLQV6vbG4lgOfuKBsTRT8Lr8uZHLPZSKWBJRFW6jFDyKMK6PhLfo+B1E6AFk+hxw+8D0/7pjWcY+m4fTFMeq5ibDzsH0W+HsuyQtA8LrVzprQMgU9Q50dY9hGSuIigMOxm7sETIhl1DXi4Z3pl2oGaAGszc7fTUR2KZI8AxW+U1Yg08ltqrVuFnfY71WXnfUW3PhWhssUGx6T+XnSfnOhwPOiDvWUtLR2DtXk/6tNLxnDdivk0eipDXj5YcQrSgBlmiTgJC5RYNNNoLhH/omHMuYXhcsr17xoRXmnxunHFOntiTSsBYtQm+E8DzOC8fEc3yDjXNaAp+BpRl3wNXKjSUsf3HpMrA938nBbZMB3XCORSaL3SU3cDDzYheocvLbOPigbP7rm61OOobj/EniMaFn1ooBdJl4pOrKAxRQTa2h7QUd3pv0Kh/07lNgCMQR8JLZzidviNi6jfX2CK1yGv02ImsglZSb2Kw+vnlTaYfAFl7PkMUZH1cs9t2lF2tUy5PWnlXOuu8SnU9JmxKbNnbycp7ExcGzOAnGQzCF8pKsqOG81D8zhPbXaXe4U2mjyHRwzG0Yavd1uYOEDrWhmE0iEtwiuYRgt7QMKGMM78P8gUwXKzlXJH3F6w3GmZEKkHoOq47YbQJIdf58d1sXchnHoZxYVf6I/nnolj8kt5CR9GU05zvh3zNjVt/NSqMfGUJ1CbByRWyCFQCS9HyVjMjOUL2mPHp/Eh2kdZkoVBcXhmUfnoKGnXSNiAnLYXFtvpjfDCxQyPzrK94ALH6jATDSM2q7wqArTGIpXG4/l2dWjorComDI5wlEemaV+fg+goiwZTYk2m6gkvGbuzjfo6U+50M6qy4gj7al/zhbdgRWziT9a4glIReB2tYAQTxpK9wKIt7KQvQ8O2f9SBHxalg/31OvOu5WSlK3p/IpI+5rldzLHFwuNJiDdP8EFtkeU//H0GJ4oXs8DX1Cn3IV/yy4suFU8cWrSyEbc05nnPs4G7qiPtzXMhWRFJLxZAz9RIRMOidWe92/6QCmb2vT55z28MiuM//R6l4N8eL/Yeh2CuWTKU1dD7CI3cWksWDw10KY38O2WTlZTIsLwHvUSxMfJI5kuKanThbTRu5F5clxstBhekX9Zh+3A3bkZ8u/Kvuq0PopmBPjl3ien5apNWLLYMEB+llNBEWY0Hlos2giUdXdDihQ6z/H3Hgzxz2Ky+9THns7IIpl7zh02O1hzQ2oLWB4ux9sP5Z4xurXXMSk1N9fGVLh28utK52fLQK0b5N8lMu4qsOciHgiUAv8Jmhc9Zyt82T562xtEy0vW19x6x2LmohmNrwyBIwBCOi13dsDhOYbE8zgInG0hUDGoBnKgUyFMtc7TgTZhhlvSpnr0wv/Zof7q7evf0o1M7jgfKEtCaKTlhU68HhHSAitC883Hfp95Vkhh7EKicyuZV1xuX5oOEG32Ra3TAbt4EWp73ZFXqyArr9Jq9ob2AiPPYb7iK8ns+kZrYXxgSdUB487mm6CIeO6+WzspOUeu7XxtLRvql2F40JSmQ1edNA1MWUtdUYPDeNr4J59f3tQBH1VKxE6iPTn+VElijI6Glm7xr18Rwpys8cIc9FMf/vai/E6ls/ekqWluuXclTmN7erNaUo9ZZrK802e8HpMVouXlNMnYkTLiG/GRB85tc8Ni/5Fj8FBpJZWGmyByyXpDHehlqZpRSthnN85ACTn/6OznNi13MJEyFM6t8FunW39OUFYWmEbQ0MBvZVSttG7l/VMXyeXtjdIc9YP4rve2ZMMn+eVHJTFD/kueICu063cLKkN3E1t6xKU9QdgHhyMxEE1UvZg2vhAxLs5fSj/o5lTkF1XBrOksAnKIXCCfTB3IHxuFOeN+Dhgt0+rHAVzOicb8kh84llvE+frMB6iyc5AUwCOhLRIhKJUUhlZFJLV7jMhbQXzW7F58e7vR4hb2a4e7Tv1R2dBvZhSH1ABq3g06qfu6J4zlhGwQ5TV56wzUjUTt27CI1V+kV68rf/RCBvF/AlsfaGX/Kbqcizy6FfqKtPfzsda5FT8RoFkG9spLfn8N1djz5UDfsu+T/n1cRsCSptHrEkDcHbBMR+toFaVprgEKdhjZ8szmQKEaJYt0G5KqxTFIXcekU2AExTDHWruD9oCmfmCxEIikXHUooYpxXVhFhLHXFdELCwmzP9ZI/GwplvQ0xuFBFjzFxCkgt0987oPzzBMRYuQXQTA/vuImc5RXuuHImz+lMs/32IIeyCCaaMWqHgdQyE7yi8Z58to/9mHxKd25GXzZcRYLTOVahVluJGe7iNDFNFgc2wOEE31Zw0BGx2/PpRxjokpbAppoNR9jcHE99kvmNFL5zv+W5dJENMct6xq2Yy3wl7uh1qKYgbVE+Iqi6L90rSXkP7WrkwbcGRZBLvBxfin3QrVJU9L5pPPnNfNqrxHs4f9YKQ1/mI7gFwnAxJJYMVTSR1qZOLaKlMDj2SQzVs/sUMIJQ5qv5t2q2K4GIYaqP8XJHGBxjoU8J80htpYcy9iPLcP3mWkKKLsooqNY/deEknFftcpIqkhxUHBpic/tnVr1obxyD8yW/LHq18VAEz9Rz+Ce2RMbXSiJBNeSlrH7umFvSK6kB1WrT42g5I2o0k4O/xH24ziZA/OoUj70/i95ZuNrU+H2hlvrMbLVYUXd7jdPM5WUlo9kQ1HjsD1onmNF+mb3pPcEeWoXdR1OARfMQA9ZJsy0JCa935GdKGUx23wX7cvtaU6a0qZGzRJltBZ9tkAAMx8HvCms3+T5qvpO0c3EHUi4G/yc5RIm8svD9tqmSma1LXs4d4xzRor/GsJX0P/Zya6O+kIzpME6oMJbP/y7/AKi8m/GuVn76DF4Ko2s3pqb5UNlD9LkK5S0bhwHTQIu7hhkTQMcfVs0+jbbXpe64NNqmVGytmjvsEK28Q6+QLlw0UAFbSdvP6akBq7VFSroUw++T7wPHII2EaMKH5UZpz+DEifVafdVMsXIulmHJwvo+Mwa73ejI8kyMh4Yo/Q9gpyl9mXNu1pdlrrysq4o7Zq2UpQ73ru6+wWcFH29zkdMkEYm2N6yu53ZwGSrnwlAi94muHn38PVa/6zDJHe94VrrUjWAwLGIprGQo041cdl0foOysrKlE5olPWND9xXJp55kTpDZgZF4JJLMxuZgLHtuLVlzOPYUXFtQdVgK8UOSMrRCJN7+fKf+DgOMmgzkucTOiAd/x9gBvbfoJ5OPBbYmF0zsLGfstTRsTVmspyjNyJqmMyYPkmL53U5lMJfSWrQAFfJsncV9Fc0fyPSWAWNyfhZcnXbKkSaw42pOkOqIKjMzzHnz79xMhCOeJozUJtRk+q3DfqsrKMxlPHXHZnCZVaIyaiV3xTGEHvn4OMZfYi/K3g2gopbbEX5lb+CTLZcX/uCGUvCufWY4doUKvhC0QgPMV/7aFNairqV8gZ1hyUMxRUF3++zh/0KilgYY6tm5j6Ayy+z6XhuZcbaoUrGEb6kRNGr/wJ8vqbJbXDYlc+dPOH0CNqidr9y9fRmJZqeCjje++8MYH4oaod5bHrLCY2XrULXH/nKOyFlsT0gR43+m2bVXhJEkatzQE3bGh5TC8qntssdKSwcyuC6RzizicDcC+daU184QhS44Pn4YkPXiAcFXayPNlkFt5T1tkMs0dKWRYec9y2y4n8d+mTQ1Y0sKHqnqTkyRnAD0i3coCm8ABGjkaR3Fa3KsgPBW2NJhT0Yrt9cd09GBCvaHpoUsXxPW5txazWYJvKnVzelN3Hx1vCjqROjJl4bWQ1RhR6odlms+nKT1a5ckALzvpRo8lop4r+Ds03YqkBVQHHuy0t2EheNj2RmaX7yqq6PIoSArfmxT5HfIaeag75IXqajsvLPuoa3xUABmrJYO/exZ7XGkP2M5lk0R29nOsoG3CPsehVI59VHkW9Y5DoK3xDE3TcD841icRTg1Gx6H++UCAcpfkckJOvZgJBo7dryrw0BcWXu/IfwJ3qPWZd5QpQ1AqnNCh2+3HbZmqFgXeijuM8GHUqcpGlRJUmzYE07yzMDTIg6sok42rgg4O5NRfboxsQHnONFB+cA4GywBnCOV2XSsut31kv5/yiK4l1VIWRFRhdAHRcie0INNWvim2m6dPwKspQc8+YNZyCwYI0edHl4XhuUWkddX9o+OBFWLKt9+FNwAQ8X2JbfYbXDafELOxXBLpkcocwa3gn1053Mvy0P+PYF07EeyB23zvl6UXxCREoPbdcATa0XwufAYgEIINpH5IutzmTwRh2IRVb6L7196wISuLkpLAEdCIW9464GyLwX44wxlhSwhyrqbFTzFWOOYKuXWZztaEiJVBC7eEG3Fp0bRECnYdnAt0C22Efn3CN5VV/L0HDa3cKCmae4+nsohaLHB0SA5BunZ++zGdoPPS84Ho2grsCbYwf5pNyiKZzFyZDeTrI4trWbhhIfzvKtQ5iTtMF/T4nPACM8/3b2mLvTthmYYbHE0MtNVzWerxceXh1ZLc/fwFzGF+WvvjYRycR4b+V/458hbjs29Lc+PKWPe/Ji7D4FnTV41r4rbC39X+N4pP1tXjSCvFI9bKZl4kDGgp+aDNL37UtYW3w3eHWqDs0ODQPkwxkOEVJ2H3izHbyQzlrVu5BPe1T7aK7NyhyucWKiI/c834QLb9bQudhNl8IpfKgS0qY8gxf1u78Eq34+KM6imlSANFvJByiz19P6ghoNEmrenfty4gcP+WBOHpH1oCjwUIKFMCQaXAJKelPNNXp/fA4uZPDayHMOXKYMPVp7cU0pAPBIc1YxeW9mKchGZDk3aklAuX6z+SwTBhNYONDly+oDR659BISR5fJrXgioQxC5mfVYM0XgGzUaEKfZ4fuBxhEq7WyjW4F1Du+w89C27FNk7DpEFFEPVc1Cp5JhiZr/HzSoYSeKI7sRFetkvbvmQtlgyIZbxOHTGh/3UedVZFJc+pkRgr7Uqo5i5imiMB/fwujJ1bHwz/8FHalB1tMU+waKSlELgQfTvWjMbg733k8eq1wzmwGJJhjdTLU9rmuTwTgcvrSYhL80lDOUZzn9tcrgF8Z02O9V8mRwdPMKmSmEMFOKxWvF4DTd58SFtoCHMtSNt9kMHI+b9h6tkxnUE73C34kU68bvnr7siptnsIIIRubMI8aXX9NNMc6MQiQEQp6dZMC19b946wsA3i5FZZkpVPx0eijZwWOEj28UPJbHaoYnNe+lWTvwOMva5Q53CLiIwaW3xojUgItR7HouO2XZBSlQrJevGEwBDlvn9DgtYosQ7yiWoYZx8XNYqEFIghBGZh8dKRvY+8G9KM0NTKcH1HPpmOuBc3koyT/jFQaMJl531EuOxEaSPe0mxJ2Z8JZK+lNvti9jWftfWtGwaeprGSSL7gNL1MDB0eRzOeZMkSjrJscYN6wZQq1WlbMXIE55jp/5JVk5N2iurQALuh76HKh8YT+IT6GJbUoVnwTrgCqHPT08cn/lk2hakf6D3zbwVWZCMdmNUatnJfqYC7Q5DL4S+/AV8dH10YyYMz2+TZuoBj6n4icVhTw+xFKuDxMKezVPqVLhmA1r5ZLVfX6bVM1pXsZ8hNuFq0T8b2sBcGRaUjjUXy+QmFRAGsrgWWF347qkFUbUc+6yJEs2wMRq7S/vD781g+97O1g442HAUe4JoUe5kctwM+iGkBh21T2auWem6nd43vXleCYfdz3sG076ORAfLyczDTFQTDrHpni1HJF7T4jNASOuZfKF9eLVwJ6URT6OHzfBP1Zo9KcIVsJTE8Iz9PfVab4wi21wRiKxhHUKBf9XwZB8kmyKm3ZmPk6J7RGQ0zj2PXKnRZAYNHVZ8X5dNEcnBa8RTS0CwxDAuWIEqyWplmZdlia5bzl0FmEhhjzkG03eOS1489SpETSeMwN+gABh9pVVhRTRhQw6rMKJAKYyHGUe/yfZBfOF2ibO7B8djunsXpLU7o89ktZMPcPgha0Il6J2+Q/QkcB0NxwVuENRWagF7I0Forpsvjlad27rLFlGky8+ESNUbrR4IV8NvgCLY7I/KFaTRpR8NzJnUbB54cnYNilMatWtE5VWenahoA7mUO+xZ0Y/9yGrN64U8fS+uhuV8uOsxKHb/MlBMO47JQpk+jmNLXD9B0oPZWzWgdNkCvypZbdkUNk3amyDQtvEEgjIivCjzMpa2795GYHEOzRMFW0Y7TIv3NSgtb7K5cxTAADjAn32TjYMo+yYIIhsO2S1EW6HXSKXDjkMm+Adjjw6YEBpfeci7I12now0s0oVK9WojI0Ej5hcdx+6dtn4pdU1sdZRrPlCNDBtaKWMz300Z4guULxJM6LaNg0PMBP3gH5Cidm/ik+la1l0Y8cvTW2l7ojkZip0/mIJ6FsA/se1KRWfbY0S3L6jlnqHLuQEK6QovpPb8xALHRYvcw1hAzuoLPP8Ducu29lqYpuqTtRaiKEYBPVeQjSNxtiIbeljQlu05w2BSIWcO5aWmifjQAm9N+8gnQd8/1AHMS3lnm8mRtk9KpL3ZTV6swgnrefho2CCSVrUtN5B8MDd+WKhcLaSAIUxG1pqxyr3xOC5hbUFBiW5jIsqe7GaIdzHJe66Lz0bq4Db+NYtfj06TN3vlPDK2ZbIg7PuHG1tvWoZm6SF+oSUWbjezxzlsqAGJUCPj9HNRAr+V6Scag2lhRRco8CKc+NS7yj+08Gi73eEA0uZDB15DoBoP6qxY7/LVD12KPu/5dge6X86rPY3yfD6eYyxAe58QmbZm5QJnTDXGzvLNJwoyVLO7iL3I6q1JyLkWUFarbBp2tbc+IqeYP2FY5H4harV7A7BscDara/zLmgZqVvEzwxhUkHzpKgCMz++o5zLxvOuaKHogjCObGwTbiXcZELIfFYKFwOfzCx5s8hRWsrynDxmAK8fe7F/IJmuzCegqIVMucfCQ1h0GkvbDacULMhXrqjs+/FwGVbgM7TAltmNKMj9LL5NRL+I3gBQG/B78IVsPX5fT0dEAoodt02R+wv1brgdvZxlUEFDlNEUFy3a2mpjfnC0E1mSdkkBB9+P1XkI8K19QU+ImreYRH5xgjdWha1i7NrofesyrY9NeYZIcrG+YmrIe2lRm3Mp2BgewRir8pqFUGiDT+H777g7VUnugRwRW19hDkYryiAAf3fJ9mIz6FbgzcCZrPwcQtr6z/FvAXBEAGom+2kZtRsAAcVQL3eC6OQMRwZMi8y4CEtI1TI/sBO2QRbOSVGf9nkx4Ll/qN+XVgKtiBQCnG3nvY/K5ePHkjUMNKy1zve6W/TkTIw+kn83dPwEXA3SB8/GAEI5lB7EnJ6godQbPjwktLCQWaX7K85Dj888XKZ12F9CcfV1ZEg0SXWJ4qo6CPbrxC5OWmUq5+kuimFlF3m3vnohNp7MD8+brER8fpjUVp3vJATbXCNq3pPS/N2q/CiwRx1G5jQEPAMZppQJNzP9o0O1X9RTllPhuA7sFLsWc1edeym44rOh/9kPXn5xYInVx9NkBEQfdjxysZW+9PWfpfdpP65iJmCMwbOdlf2LGlEvLCuOX8N3Syhv6axe0bZ+lmQUzRZaxoQqcYz4NFnqE07nJ7KEpq4FbTD7GPmUjvuY+IkTmeK4xCRmNH3ESSmicPxLJxj5zAsR8hdLFw8mcvTjJTn2/PdlXQBJ/fiYwDr+otCnCNP4TyUsM1SF6Qa+4y+N7JWN8SbIExsCdYWbiabuLjIpjI9iN/EqhGkbDisSNDZxUQOhRcZDuWd0pfWlhLzgLr5fTgvLoU1/Xq3DnOAaSUHbHecwglbfEFZ9syyjQcPvR85sP7IPlGc+OUn/ypaB316Z2MHsBdHhDF2f1PjF1wF3o15hU6IJ4UwvWrzI1Fc0kaWrqdI6vy4Udgwry05db+N20Rj9nSxPa4601VkhOlS165e1qPBipj/qLbJXhSWHwNqwC+DMlSg/hifaCsc1hT6XJbalTWJT4sf6Ds0HAizomzomgbzIOPhNrQGs+bgDcQCfmVc8MSgjTZrH83uUFAUkWRSZk57G6Yi4n7JOUcye2ZoHSc+ZnCpqgkAf3GrhID6zguS2XbbXYBNxf21ImUD8gXv+82CHx9JvmcbtmwwIwzftL4T2N/xDuJH/x2eJy0Q3ScjKyKFc7YTfuGEdzw5kL38Kbin3C88Z801tUi437xpeAi7gwGeEG5bzcpCsLcVeFbxiAI/ntHjctV9qGaNmulERQsysOw7GyXw2PNhGiBXlIf1pfEqDHsZBzVbj49Dqs5qM4PqASs5xf65ZsNcJJYo/50ITVz0ZSOV8h9K78/oeNVDZSVRJHfXkDA6qhUmbLNSN69J2eAua6wSz1LU08+pLl/l2F8G8eUi7qZFO15o+S28ryI7BHXqj2LpxkVtdCW4/h/FYc8mmGQPtTHxogeA5EU3R4So9OnPM/4xr78uqbfm/u7IcWlsZb4axyDen8EkvAOr043bwT4U1B6hVupbW9req0XFBEKf6BG1rzR+hHcsv0tGsU4KOg0d/7v2XhqhiErB23sDisFUWRTJUM32TY3PuAVlHryldKyawKFkqodGS411Exe8gmZMCuwBPzmWLG7gxqrIrQrMsLjo8s8kzKAxL1lmn1OHBsTgZ59ierWW59dZnjQXMl7i1gKmQkw2F6yhy3sZmC5kSBFKWIIWjjTWzXVQCni/AcPwfajtvwj/HFiwtk49b6yX/MI1qBhBo/VxWkqTB5OGpouzelTFR20J1YoR/Kns7vSdPvD5G/r6CSZ1wc66CbHP7FflJDQqzyWYrWNhmIJH4NMdM/nax5x7HsGGJQcBVZ9L2wqMb2lgv5TICRpvPJk+tqlffBmJuwIqcnc3WaKptrmcqtr7K/AiWgRHAyru5ibsZxBN9EPT9lC/Kcyync1SiCJvm6vMeHFxdWAcXyOdCVj+eL2Hy9mi7gkdWpxyieMw5IabNewb/Ip2rOp1ZqehKz4PUSvLioQaRIV3OZkxOlP0jnl28UIpcOXKe3KJisAJMrEy0v/4tFyyr0NR42MCqhDcDKtj3tLdEZ0U5f8b4QIsDMxlLZcDEmli6fufoAb9LbYiQDpZ+zQyRT6/MH++odlJWoZ6/M3KXjWrwTsL9cmLCBjASgseJ8dF0Wu91K36xRD1585ize9WJ3RofekPt/IxA52Z2OqZtK+bD8VqHLZxhq9iph2eKKtM0iGzXEkQ0FoQ00xKsPz+vSmKu+nA5So8KIyX5wz39O8kLGNFOUJEDmB09AU8PO7ZybYdiyqNCv7e64LCuZGd6+ND9jqPlicLsdC8ABp8c9hZxARI5Lu6mxSM9HI4I9ekX6y8NNXuvWC5YTTdN36eUeWmPiR1lzQvZ5V8aKy43VfCDNFzsPp2OesdcGz4Fo+m8g2KxHOuKo6AaLGzTcPMhLDKr/y8CIzIXs9RVEy16MiNg1TNuqeH1XaYuAwg/hX5bD3f9bTGgk3/AWQN8j6adKm4xEfj9Iwv4BfWt32oCgU44VTOhTAR4uhvng2G9iyLc15sPk7fqYCIsx9tJBVA3lvUqBrAiWM6z9I0wpdg+LJM2KmTH+ROZe4yxIP5C6uW4ePmhzrfPIeFsjPA1LmLf2hvMNMvG7LxFd0OBxlyi9I1dFbJRHrNXdTJnclhFqPobJyKmEwQUQLjAURHnghroPZAf7vEcWVJq3+pl4im7c3xbIltVeEkeKgB3DfOIgq60r0HOtsNEGP7pB9YVwKGg2TZ8LlrO0RYOnePR4NKsbu60IBgLxIDhwadQG6DJpFZogDUUK0pcuR8MNlY3xlJvb09Tb2VYcx9j+HELtLJR4vt3eghz02x6fYpKIt5TSVmaWhg7BUYnGtj/bBoCmvLqQfWSuKthFehvbrt7YOUlh+3DbPN5m3gQ2eJ4mHRQv+NMhhSOMI0TebTwn9PXA1Q154/C8fhvTCG92VOLscLkwuv/pbxPRH+yl1ZvZWpm9TumtiLd5QKxbnckh0D6+aC+p0A56SGpBhnBwQ6ETo/FlEojdtUwPW7bfO3gKf+/NP8FxDZxFqzc1XfdbchwPEN5SqYAQeY6xhi+Czck+TqvamYwoOkUes5k+v95KrFDZXilHZCCXfoD50CFBp0H/1mNwBvWcdb2WO6mJ2oKqukzol/adBQxLpEzpkil4SMDei6iXXUAO6V2CjPuppWoa7RyVthQT/ad4Dx5c11GmQKcCjRMxfJBPwJHHIgnWb/v2PsXQCnUG9cQ++KIu3fVZQ+LnPmBLPDhnH3Xl1fOI/+gc6Pr3bneMcHm+vUcB59aaO0GxUeraK8MskxHOrUMOpkDPM4Gy4CYHX62hsonkdei/avi5MqUDG/F7+FrBTZIVyi3CqedlfkrS2eJZblvZzq2o/54MJjH5UniUBb7DxLsw5XpbKpkK4eVXr5OugNtwsv/uXAZi/TcK442VglG1OkGZB3R3xSRret5dUpMWxsH4D9e8tlq4uW86kADf0y0n5zUn5ucZWzStmN3fyDlIMCq9PU5exRF/gsGmPB5OJkjfMG90Sya7e9lpqOO8D6VAl07HbQmGFSXtfdgvS3n0YtKuK8jJWosBBrH3xp5JqCHfUTz4EKb8m2l7uvrgnBBsCLn+qYJKZeGhksJLocvPq7YKzFnKtbDfPwZXm1F3O3JroU0Tv01sUSXUgLnrgZbD6WEl+92QV77j5qKH04kIw2b7LeEAqKOHyOeuOQx1TIGWuJVxxWG+Oz75tSYRp5jcf2aB4tNUjbNec5d/xpB7xuIbFk1VXInvLeHyzdo1NLy3OCBpSybDoWFgM7GY/cqnxR88+rk1uW7eL+FNVnkOdZvgyX0zqQcTgfmbowuYBybRbWjw4u1eX667yyTAKAtrk51EjuDbPxQSr0lt/l6XYYLv3ZfzJrxGqDDE+kD78466mmgFdrwoAU7ndvdjyqXGncyVh3GSQ48brgbscdWZ6OefqFPGA8CZFprzUj0do8Nkmdk15LDvKCrfRcNwx+vKocWt3oL2LnjtslyUxyupEAVhRYg2q+eEEOpq+MblK6im3XHKTK3zX+boBcQREscNjPjVGJtrMerOUxR6zWcwrHgLoy/Pfg4OeA3Bl8NC2tWK3q88R7T1Fg/KZ205t/A+moxEE6tOzS9UsDdLB7Eyw/6xLgYJD6iHvG1LfHPk43yaoBR7prGBXbfjbHREsOAZcbuMICPCimo/pLBWMRIPWz2wj6RJNipt5MAYd6UyUh30o0VRnHuGri+bzQmkKb0TAeZQfCJWZ1sAEcbC7Ay+UmKJ/HI/L0o2BbJhokPHapeXVOyfU3ZdpVUjPAngkjLR3bTUhyAAzzSjmmoJNN2oSJDqQ47qsQVHRd7lEYyqbeDcFqX0zTBEKg1MNtOLa3Kz48PcXCeTtIcfgqrngNh/F5cp9EoGlx5qqHRXizFU1W4bii1ri1AbLW5Nju+EqtY6XZm/Xeh+6jAhsxGLa63YM49T8/H1TW/jDT9zeXdbb+US+I+FClOcnrmIjPjLMuDcRz9IhT9NOOe/MxIfIyZRT5wimS2l1Txtos5UPTvnIP5kp7rc+/piTLtSJ8A/VvSN/sXUccdQwPNZ4LGmAIzKD8Bq349gC+bpso35Quiv49RyZ5pdbHUR+XToT/PYlHGxvSRUJqcTUdLa5NW/IxXYswPiIzbTivUzONAlQb4SOLXhs+SOuy5+70ajjDNQjhMslTFRugTWUanyozOmugNQXrC3Moz9lDGsKng2KqoBWzlGa0gUCDDOthZDHhOph+VUX54tSoiRi5MIAg5Y5yyCEubAASE7fLjmeeE1uM+IdBR2i5HUXJNtELEQcZOSjVaasbJTiYKq5TAKHNBCN8v34hliLiMVC32ZsAnrgl0d+t6UA+u8Og8ORmm7OErrFFvTCORUeeHIxS0mbvedvbx29LeSznf1EK/P+kcBGNTABS+8nx9cJxOHm4c5oOHw6g8chIRqtij5AinFez7TVqTbjK9iJKseGIiVYEg9fXr2n5TlRuNSmvjht/JzbC7DoJGZ0MALp2vr4sqxZ7Y/+2cQMUGqqE0oGqpHpIe3DdjdUxj5geQR5Ua+Q3V7e0WeH7DemWZENHsr+a6LTbaHshhpbWPhNnSeqoPPW3UtY97gBIbhzIQtRvNGDqCyojv2c7STRZ7R/ipW4iniyfrGgy33cCer10ODKX1K3dejX7L28WbSOTylNwD+Hrwgt3PF9HkWY8XKjsseB2+EHknEXHHErs4usLKh+4oqZQoiizb70keQqK54iFTE/+VEIDh8dPHNNgyJ+iCewC/9OO059RY92NljbuKiQ848udd3RbTY7zxcvsfBOzWXaKVDNTPLkqDqlwP4UZ+we2SqfZMRB1vroS3P3q9evI+jIZNRL8ILlVZGutGRVqDC+aDxs8OKP2i9OHOMf2dm1jSxxQhOh6I1Qza/+3QXrQ0eyv6B8kZ9BVhlYrtkfPd2krIp4enzJySaopg9ryVzDZ421jziZd+Eo+72Q3xZf90saRqoWfuRU31m+RAj5Max5UAgwK5xOcgB+sQTrWlOQDG1GtLspv1HO0UFE2lQNODaAkOg1ypzvzvIreFfRBPezgA1uzYCvmzNUfeRWF2Y3X8Ri1gfwh/+PF8YpixoT9Vfa+U6MbWQgd04ubMoCl4W6Kger3jyGJYQNrfH/ncVw8lqLyoZYhMQOl/ZVAdoreuGYY4PFRdX9/Zgor6ycM1UPpIVCgfnVkBfHliQzShTawC6HpMz/QE1YiUEWB5R8wAv0fBMQNOtIhZOw4GBE0nwxI6PYvhuSKotkL+1GvkHioD5GwzmrV47oczHRIS8Or+VqCBWGe5rIHxqFShpqfpMx8CZG/Rtftgg4sF+XYghDraDfZqIC/WqoD5HZKbmhoSdz4vk6bQPSiE5dXdlXTajKGC4Af/n4i113SNUAor+5gKaZ0MRAmEMD5F4CmuWc0OkUEiiR4OV68BQ5GYkrrScZNMIqNtHw/d/vI5RlQ4XI9zh2ZtqcdvOnvfTokul3OEskTuwU5RBHsmdya/CGFYvESknpndAPZY/SNhZDhOOs3YGwtayMwBDNCiD2LDCrn4doSOp+wfGla0mT4hbi3NHRs0SgFikYvsaeQBQjSGa5x9jD3TCu2vTNh7KcgeL8a9zvH/HpZ9CeGjCbFDCHooVkrRMI74e0mLsgoX+OHIIBvR87cr2ITu46Guoy61WYBT1qqFZOsWVqQHapzlTxFHv0Pr+PmSwfFU7vm3UJbTWFKQgJod1r77CRTophW38FCExhs0dNsf/VCmwkq9p4kt+VxNGFD7AOd3HypClDSpBJHm6YRZ2OfmH6lDJPuxkpHW53Taji/gnPe1HghU1Pr5PvI3eZEi/97wdOeDRk62+wbHE0b/+fNKVWx6l9Hue7cOTVVHDHr8JHbH4VOeO8X4gOhM0jWPzl/p+8UvjQ07McHK9rUUOWlHLbciVJ57HSLrn/r7r/jJPTRbRhhxpI715vckpnEOn/fSe7TY2P/+RLESxRC8l0jWk10HxqOhBPa7fDX8GSYYEadTKAt5ZCabTsC0/Qv7UdGandMxO/7CVLwZdWM829t7lS3S1I/AEoDaUu3LBQZlLhuWNbMTG3e9id8SO1cBWwcbWf1N1lRfP6IDsyi2Up9twcfHHUZBLrs8j8mPreP3xHQ9h+xmSktYQLKThPwr0fVHkcKWTBruRkZmWBDxPQQbIJxQ6mG8FiPpi5H6ZhdlAnJ6cPyb8Ngww31s1ICIRy288hZTviGCFClKyVJEb66mBDcPvvp3OgA21rbjJ2RWMkXAU20FED602Vi+vjh+byDgMYU0FNM3kWZNCzPzXocFE3ACdLyiPAgRYthqQiMX701ZDhgDBVSwZdjVB4VBYxtIRvj5qZU2ipmo2bdgkzH8fW9L/7ZuQwYLhjYXfD94ItgohpKOhancZ4dLY0/oABTuOXz0/KaGVZSQo0t27jc1tCzN7V2gxZxMDtNUYb3f1SCXEiqNw6WATvmg6QPXMWSJ8kUfVS9Snm2ToRm6NGeK3oa3qudRq/Ybgsi5Yh2iCH+HSaBS7zNZwAlXWTXhdDM6RJYboyoYEXzO8pHi4/akpBX3xe5C4Oo41X85Fh014qxZwCm2WkpDnsvRJPSaL+S+Xj3Ko8/ligQRt5qVT953LHVHyTIAHUP/tS8MJBdhYI99Rk9fMTRxPzt+9BcmfqNOtADYuCo5aiyGVZ4W47Ki2b0RkDUTN2KAIb+yZPKX/sPY6O6WgsNzqG/egxnpfGD/iwuxnjArJx6xrEGZZxfgyOAG92lrgSveGCsL7HcHFxtj7WJ22intmaxVTSXbFksqSnXSSgd8wqo+311OKoovfh8f5Wq1lrhdeO/YIkAlBGgRHvMhvml7q8cnlnR6OKVMdJxGV8aaJ+VJj4rxBuWLOF1bA8onjRbWiPHj1Blkn3Y4uJbNtv3erXiiaOdGR6z3/sLrOywO3kZ0iLCULukywnNTfpH9wGpE6gtm/2ApXAve7oJo/jAUdNXggtrZYeqMNTerOLL+pspFi+kOVjY81z5PwCyCrLz3DSIAChNGr7nuXDh09nlfN8cItLoie1hpm6LlOEeuCWG3/BcSiZXl/llK9nuWvtqmPfreUdZc17+2ihXyxNSLl7PLQTCiTmuRS+HZ6g3KJb7gQbn4RmOZWjWDPdM4Zrn1x9I4xKT33twtUTtV0jrHlz0T/08MJRTS813JzN6LYRHHkIjQVComFtPCjmg9IGa+vI77HZsTJBxnbQF/zgJSOu5z+sF/0fKSZmPwtkiOobZIOZtThA/p5MN2QcmKaA6F1cMRaSlpa2NAUyHtjNrr6AAzgPGP0juPMNGOYoYiJT1hg7GLHhbM4R4fgAFOqwGOP6ji0AgLImSVt7R3WOuRkBrjYOLsSw5tCsWRP1L7cy+MUFy6y+5qRrp3+yZ3A5VWbKsqWW5W5PbA2+IicgMmTaKGrCgpFXdSEeiL9peWKzuBFmmugCJEr3iJLzBTC/hr2h7HvTBysY9tx1jA9NDTHa7FkL0yNgVbIS253dz7/8fzEYjMiG4D0lKGcqjHzUJZr6ADQFD/cf17+zg4763LpQthg7cId7p01TpMAJq4HprS4QKzeXRQjYFhz17veI5Z09YILR1dOd/r9PammTaqtIjy3PNpwA7C5599048nm1VtjLO1Xef53bK8ulLlcO8T4zHoM/ymDlWddGWC3HFp0XVHLVxvSdfmw3IkpoIBILjPOnh5uTiw6H4HW6MYUSAjzulYmUb27VKgt4N0S2rcf0Ul6xpUmPjXfNxO+92MS/DG9eUiMeOhX6xCorTVuUiKpBdO4X8NjaOcKqzpiJyXaxt7dJu30h+lJwz4YDcHX1wUpIM0/vH0Y74yxIFY2MSUd+EJzt9h/dmZVyFZtSbNOSPcNVC6ebjk/fPAg+yYzsKNHVIYTAa4H4uHcPXZ2ZG8ueBps8kJYA1B85TjatkeypMgEqlfmZv4pyw6Ri49s2B/bCK+s85hKvNWQgQ2o+exuA7Sf/oPj67Z1TA5KBqpPlkr6BXFkGvG67YAWcJ0W4SsPTnho3zeaOopIl1w39/AaWM/ehgsFeAbKwkGk1yrUDQ4oPbwbhxx5WRs2zj0ZyGaujOdR6dQ1TZU9fzppoL8Tw+12RL9NQuui08eLOCs09KFM58hq2mopg20N4TFbWLEcHkoixI33TimaGRtIxM2Zs/Q9SILAHu8sDePZtRY1rENiq7xJbWT8t5c39VRk/RLLQJuwGBr4IqojKDVPSAj4J8IgiHYePr58D/L4MEoRoqw7bUGhQcmhRzzi/dEbThJsIme5BEgoJ9K0Aq2zDWhUzlLPupoXA5wIxAUt1AalfKhZorYf354ihB/EDG2y7iE+RyOq9rTdwlWovfVb4FGOcSr9vR7eS35kqiH4EhqJ3m6b5PYKJm/FX0jmIG748fyg566xxrdAt4iM9Ql111NVzCAgfe28PnJP2Bl603FX6PVCIFBRCGlzMdZ4Ji0gxITcEsTMAVjeUs7CJIsOI/Lrg6h9SNpt17WsxRCrL3bJ3/fiLw1+Hmv0atCz+mK9bL9M4w+VzhnoV4h8sw7Yv8igC4IDR/1U0SgvYUJL+R1aMazmJlTB32ES5ssVnQPiBMWYRiGavXvE3PkLFLL6JduSCwlckVJZWVV3jeB0gdZOOwFHsa7vkeYvthC9Hc+ifCFfZLxOiaXQ7zgCw8y0aUFFMjxOgELqvqk8Oxy2zOUSR1tOhd9z0DTy939lHwpdnlS6InOhNRCH7x8pfrEBYnF8l+hYP3Wp2NzzVSZhcoobwoieNDxbSkAXdjEtqDhVyttrtBNi9YtfcKUqodvPuMWUK4TrWgUXddAF2s2LLmvPR4hXvlY2OLchskdMkKLmzEToZu27tfQyeCtG96ufv055rz8HJ25JfWYTmvCRp0zWpktcvjor0y/1LQkpvbO7tZBvRI5eENhL9zPBjpCcmFYAVbRM5tXCubAnJwxVhVkrCXHnGb7arFD4AZTxznzX2vFgqn52nh8Z2hEzGA+zLWdh/zuYvfF24AJKJLpfssaixvyU9jj4zEwUn7TC46PF+S9Fkb2PekCMqdvGc4OoU9IjtHipV9oKs60YRckT+S+vHPyXYwzXDOtWSzl5lOH11Pb8w0KCSgfdNV6SD7QJyzMpobNkugQDcY89vHo/O1cGKjIz7rrIZaGZ/CMzo2a5/qjQa6LN3sAtp884O3arBB38eiB5iKMqJsLRGSlnhL+wbTSymWIC3H1RAxjKrWlmqKC7aOr4Ms54YUqqVWSxLHyhE7+ccdgEKVMaBalyk/3eZhmWqU3s0DRip9SdUDyWYSSTaE3byGv/TYGLBZUK8DYQvmMP8lBf+/YEX5qFMst+LBzjHriNyU/E01cowC/NTL2rq5nR6vIbce8FkFEJaL2zsW4OTEG2KsDPO1MlSWHTu0fCox32uDTrTTyhQd92H+Wqgtia5RTfqjJva+dH5ocHtWXFiU7pSCCxfirNv8RphW4SyoBC91XqFG2BbzIXHWUmWaT86QfJGdQuKm20+w0lo8Ze0BLJLJg0KByuxeWhBJOS8GwZS6jNfSdXjgzXGiWF0ErXylxWcZfx/7kLzDta/ruuHuJ2EMLyuf6wFl0cA1BYp5zAI7hapdltkKpx4Mhhgd+ujCCuI+LtyMw+f1n1+FGUgP6Ctv3VOxDDzjCWffXaG6bfw4gdhgLAwwcHWVFpQswykGRb73/W4ZspIkJKAkDluCNRb+Kv86JZk0DtzsZbGsFmN1c8whwwQD08o80h7t/nlZO7VEMyuKlCCtD2l9KNanCsv2ibmkD23oQJKf6BMKVBnIJv9y49fjo6io3OThba+IV9t7pgkfV55Z5XSqJiaoIgM/GrJ0WsljAQBqv9KWswmV1NdGUfW1LWlKMIqclANhTMiAr3UvelE44wN8oVvMhMnB6X7eu/jakf3T/x1MSZZa/ryePdHpKXxew3zaFXT+Maj54BkdmCOFPsOveDfsBkq8c/hb0V0TZ9PnyARU265FDL6ASExwD4QwR2/IaxZLWlW2Tfa0wDZIA7kRYmoa5TNUfemIq92Fwm9dTdg5sjbkql+Atpj8XDLo+rSJSJ8G0DNrIQvqeMHq5OmE+3E5aLEFxcEryQPhMTDk0h3ohJqi3NQZ79IR9IzlMlXTJK10yho7SJupLUOzIKO9Ycm93bQADajy8abin+qCIj/NffhbvD5IRuAUZkbtIR7+htfloBOB6W0Ux/jA6A6CHQfyn4zj1yu3diM5MzGjVuIy3fPy7UgavgCf3mVCth8qHbJBg4xh1srg2Su71o3yIBpXu90WeZt27WJkjtvRdT73BOjDD4GPbWq+J4WiKIDGquvaItZCup1xLleybjX51WZwNl+xaET7bfSuojpzEJQn4jNRXx0NuNVbucYmurTUY+YWeIHtATpFFJsJ3rLyIp/XBQwhoPp3T0JadlMZj0jSHjURWDBGzv6CKGpS479rDKXtbPZQvLSThV91EHWtJNvthkaRYF/CFFhvlMIWOnYFoQotjrfi6cSmuEr7yR6QbhhlOH9a9/mwmfN7X0+6YLl4ftK76dCGqVEKQdq7oU+rie6sGsrkyXbJfirJI+Rsnotb0qaoho4g0euywBtLEJhipA5fwhvKgMNAKx52tEEgoNDeS0n9M+SADqqHIplxcXJeU/oKgHs9ufbq122YmcWTOxiNF9/nXCcJoNBeQRC4xh+thKcw/AllIJpZ6NBYHy6yAkCfoRBMhs7C/HFITqP6AwWl8YsjFilIz7RcU9pxLDv0mtvqHiUol+TJZuJNOye65gWjMV1iFfZO3gQqeoBOAzwfn7By/D6Bl4Oh6jcQaXuS/NPawk0/xk0J/nwE9MGzDYZxhbRZxKNZsozuOxCwdgX7D91QRXUJhQKi5ujnHdNf6fT22QU7OleXRNnmXpsVgSQcWSjkDdXWNvSyUJy0gzFFKjv2OPhBCou7TV37hT3nrUuiRh9Ni9oZAjJXZLU56G6k2hN2JJotkrtBohstSm0+4/GF4euFJyn2fOVhhbUiz5rt+utdEVTNEXdxMZJg3M/CBgOmyiFqSPJYOmierI2ijpw9gtMvpT1j4RxklI6CNYHM2YUz+qdnkW9GDEZIDuWDns+Ui3OYhTBfXS/bhOhjL6SMcrhP99hCN7HjJaP1BXfbEi45I50/suPSpSvpupKlq+GnVgmFWUQwGStQUwH5YEjXMy5NlMSK19e6IdWX2/ftwvasopBmHnaOgVtiUWVZmOn5l1pO0g141xzgwYckr5pYsgX1OVTqbFSfhQCil0IiKOS7Vvfwh3mIm9hAaYVK1JoT+AGf/u+tMMHU2moPnd4EDRO/UCR2j500Fe/DykLvhcEcJtCnmiSvhl7V7h+sJfrvprp7EAp73Cy4v1Kcph+5YS1Tzofc/UoLM2uyGrabW//3IwmQzFw2go9iB/uZjZEy3elb53zwMTG249c4xsz14L8xaPt6b1oY+V4vF9RsvcGLhhGVbGm/IQbxYp2e9EVu/y4tzC3U7rLGUEllZpdMp+h9ziM5p4tyzrcN0/8LZsSCPypXfSRhTibSpeUSRh7c1hbfCgKGo4ZeqG7pwhUlgsycNWi1fYQHrn4G8Jzz6kAOJvjuEndzYAOKmLvn7xS5/1kMpP2/Ea8xJGO/Oaq8obcnTMRlr+fo6qrODYgQgTh1DJSxl6jemOHSP5+ZeZP/VyiHu18gwk35I8IO/wOSWha2Z1GkJXTwhnJsnfysDmn7FxYaaFOtw1Ytz7OGWSV3FsaShQxpkKa3Sv5FH9QkjzhVZbqax2fELobgeFRFg4utlvrTlDRw7AS0tSvUlvIpSMA/AupnLL1KPAbK47tE5jqy+Q8noKp5XxMzEXTORXD8xkK16qK/dsmxPZKQjk2Dq8NnaFfcJQ6TXtfhYfte0rd/PdYEuTtYHmXnK+odE+3jWvGFLrq2Z3zkaoMz1X6TOXlIkmi8B9DHX3U6NyzKm7K0ElS2ZOrI1bSdEiI7DOpVchNJ+z7Er5ZWiTejl9RGtkqlr6VDTVmZyuvS6T4KYBDZhSUNpJv4ay6DeBKAU0DHVYZQZ/mxyKjno9tQyHL04dH1aAyvjCJwZKUa7tl9uhsX1G/54z2rExs+abAx3B8PClQv00SrPCMDOEV3hoMkB7Yty194gVYZjotrtObCAEdGcBetspmvGZYpJ9MsPx0Hssg9aNDZCwvG2Aky+FOTqeNh+YvF7CukR1HxYQT/o9FiX5zkW5FV96TDeH0Qcc7R+d2LhfYdgOVggn5igTDWp1bgsG5LEIBUjPdsGTtDFDjLbMX1oT3NyMKzIepDs+x2CqFvxihO0srEPgUyMHeUXoNMAt27AknoBJKHsTv0Kh5FFMtDxCPIKZuRUhon6Qy8deKUIjOXIPi2nQxrDTrlgY19Dj5KqgFldqbU6Y9Tr8CaWMumKQdXL+zs5XekdaiIEvMFUvm2B6+lOXvZJ9Da2n+u9AV+YLT/YJbaBspPJqKI2m9cIwFhzYPiTKWYkxgTAxZ3UqNa4z3+4gBaBIK881iR75fEaxzkr2yBmjiLx/mrqdaS8+Hw2e//R69Rm8v4AKNZRkEQLnSiAZKDBdUBQpxsztiKGBrl44BIw5dM8WjF5iF5TxLhI/CQdUwNfxq0vP2nVAUWrOle/fq8xhopnC3ZLz5fkstGFGLfvtvpysW3u8xrhHwLUctbnuIqeUO2bzJKrRg9S8wwi/tylk6ebaAonPQHML196jQkTE12oha0nE9CojIJc1QM0SQP/1KXNHePxKJNRXD3twOHnjDmt2s5S4WVnJfZbt4aLO7bw6pgfbIcaLP1cscObtSVI3W4h558Lxgx/03Q4MUmIQzNJ6mZXKXRiAYr15O7LPBjHfNtYDsyOv5VgeAfZ6Do576kxm0eHTMvCk1ARKxYWX9pPK4bYrhjkNDlANgUJ31awdtP1TCit5xzXT9GUs55oAxweMsRBIi2KCgucc+9Oj2q9XEBCWqUw0oD28bWCh7ec3/ISvZ9Z6myI2CzKOQUBqe/rlMnZR8Nxie8WGg2emc50X9zWg/+HqgwP5zO01+X6blX5EAgkCdMOAFi2Ceollq38qxxC1WUywHYom0vED8DUaxqbUgmLlL9/4IPtmoEax0mqDWmkPwVNFgfxySw30w3oij8AAXihIHNUUkgMBO47y9RaFeIppx6HpBqIO6x0SI3f9Erx64fb7aPmaivRotrCrgAaG0+1NUIbRYk9iDLnPiu/UuGL9DJ6mTJG/0yPCWdJ1hZ+dZetjoglGFuN9k5qy1iGmh5Thewln8d5DT8g8BsdSTXLJXibFhy8HtGwjYBLwJLmfVJO3uvyNq7C0RVe7EmkZuS4LsimKO/NxtmncfrlereQaZDVKKcE0tf8Z12f69Wf08fKSoUs34qEjz63v0l4Xo3gZIBIuhU1SbXIecBfGPBrJLfyD1eCWeMSd6MmS7HUePY40D2mDAE66WrNe58pS8iV51w515bbItKPr3/bQeuEwCgNWadimDflvVFbDeoSLa3eedR5LAPc2NZflFc/jgqDSbR0xLKsYXj3L06edVo0E58HzEDsvAaTObgWAL2iRHQAAZlPjcCPyVVd4qgZlBW+SZR1V9oqd7x/PGuSvCY/BFeTS0ahJdsyjcWjEsGCYPt3JAsSB9S+aUA7Z9/ce7RpjF/lA6wRPHEsTeL/jdMUdkoqomQF9tdiLEhyLRY3YSV6uQNcvkxbXIlVzJtdUoif+pow2HSexF1Z2JCPwEQVtohfO8ZgHP0Lx8M657nmjT2ODgxBbqcR1tWQsS/UXINQFr2dRo/EM8If+cHW2I/G0nIkfF1ML8V7Gx/0ue58wwBCEbj6CvM57NQS1Vi4xvxVkGniRQqVAqAc8trAGQFVqhDMPxPOAcA8LmiezIR/xtnKkLXLa4FMf2dPZGE/N2I1hzEFBJBXcym3v5O8v0PWL4vNo6AVtPnrXWwqA8fThoPooy9HKbMOqC0B2RvKAmWS14x5HQ8KMuwtHRwR6mODbis+Nahwzwa9cNIqF43CA6rQc7WDxbd3C1jUKIoDBOGJRyguoiXqxYObe62RzLHWsd3xeKORhse/5/01pURPJnktSfVmckeBpILGnDO0v42rxQnEpPKQqxtMrlgr8jzB2wRnVQSpmoGbsnSQ3fgHkugKQNDkg9/neA63iqo5OMTEhpkk8+t79Kdhk8OKycym3ohKZApLrv1056oEmy09+jUATF0Ye+3wVWkTQaC6a+16KWcCIQkJiEi/hrIJ80quUYxsGZ4qWzuugyfSbln47fpz+w22HgDaiubF0LVlYdqZlX4ywFcBHVkB2MxXudse99gjDLpjowedAS8Xtsw6WFxrfcCa4dcAC0Ogg6zRMQWMJwOY44WvPh8hkdAw8S3zEmknR1ViuASJNbElWpBSKKpaf03D2Bz+KwsTUvsvKgSvqlSmVfyXH5Z8KcQsvlMTcQnLxZS/etgCuOHSWA6HPDg2+fvIr9aZfL6yRW85HPiNBAntjXUDx+7KCFpXGpINtEH0i7vlTHuFoT6kNCYy+wGObUCHoHkguXpYzovVKgZ7D0x1EURn7uMX7nJi6eT/I694HeF6ITroqXCNsRwZRqy2kx6czLrUpgo3PRw4V+Wz1WZnXrAwr6hN9ZrJ3XUVn0Y6dWS0+9cShngdJV3fEndaNLoEdP60KFxKllRkKEzXPRu98brpHzIWKBCEaTvM9ajZL/pIgxJHj/22bzCkltGA7sWKX/EAPnc8gjpaMqvpkHLTNgd9YngrXHIzTbxUMCuvXkWWBBj4Og3fqvqNq4zZxRR7hMZ/TAS/cQE1ZMn+z+0iIMor2W3NDVdBYdY6pF7DEkyA67ysJ3OHFADq3U7cucOeqVK2P76o1E3tobtGajsDn+GlBwE2XIoLU6Sa0hJxJuPU3pf8Di2U9rka25Dz1QlE1yUrUi2BrAKSPdQtqe+7jst9+IoGFfWvh7QddHbKqpx9Db4gPoFRs0nYzcYA2Ls33nxqmhBxO4tyBFqCplzxByH50fow1dU5JwIC+cSWoz3kGh8rMuKoL3XmrhQKB30+vR2NjZ1uyNRkj3WfZ/5l2MJrZbXqd0PuvQoFlNRg2WKYqWwBHsk4n30vFlSx0quJhTO4RIfqfeBX4ZD/iReE9d3ZPqZAUZjtyKxsAErLrsS5LHgYn4eA/8AtNpUeNgMwjCRi+gfcxZ/hA7oDricK1MWZmURc++UJMNnCXQlmUCqWdD74E4bYkwNlSEqrdiaNm8IlCRm8uRsR+FhIhECQamUNcLZtyFxDEFFImIOik9YWwr37rURcP8bnqlWYfRLUxUdZhWr0R1QzlHpLqh5pL0SGkbGyNZWXbHbqjhoiLZDNTuLuYlORehnU0LSd/Ka6qDB+oYfZI3a12JeraZUBLxcq/EklOP9i8qeiv6AuS+2X4Fg0Fz7XfoT2SGvJg8gBNF9TpVcQ2NrFdLiNfGHijNOGLrFqeim3BtSliSaCqdEkpfLnpbtkehfyFMw2dmcrgtpuquadRJ82/HG0oT/zIiVfyItL/uHMztHvc+jolid6+q2KwHQ5jIOu+gbmhr2nOZLJHVh864LulUIEIXI6FARKplIB7YBO+/TbXEMOKj2475ebgJHd4DUmldy7ADwXK3A15qqEYkeEz4y14D+B3i+yFkyMe/l7MrktknMqGLDlA5eMSMZFLzPxJEddr1011Iw1AI838lS/QHw3FC023OktTTgQw+4iNKRMziLJ3ZHcEa5PfOtZXp8wMD1rek2T+osDlCmRe9meeVHhEterBtucasEV+hubhqTowRx9aXoa9Y7+/8cCZ/mwl1KCxfGwGBu8AGldPuUF262QRHNUjgMWQ7N4IzvotYBkVo16lCEq7tZ/CaFZoh33aPpe3HLXh8zLcXK5HK6eWFKqNvA/hKRhIz0KXAgZx/nN9PeicJ6WxnyTxrb+WnMT9pNA+N9kBHYVVLoGRZLFkxgpKWVdRIBo7Fz60jM6NuOLmEEiYZ7SuqWAEhHQurZ6+5Icvm5pHJyRUG5A0ti0wh8s2zvxJw0mUAo/mo1tOQcZ1fQN6fkV5XYiuNtvJVvkkqZ/2NzVN4PE7QOkJm+piRG+J7jqadY06wMpA6b2ahN/N9NctCrGtzVErt8ZKeX1MA2fbaxIcpKtkkI5qQ/XNeCqoNY+RhxIbZGqeB/suDot2aDKFY1uO03RoO2Hc05abZpjVAESfiuieFZQG7xTnhMKqulp6eDfJ+FZIdX6qxqEpVOGCUbjSBC/hQyuY1DpjrNisol6ViXdHntHbBxePO3G0zvQ45ci57Fo7k9Jq0jirpj0nkp3RUFZLcHhtwTmJzAFbgzHIH+8fuJ79Qmb7JxJPQdGPETnV+IM78GX8F6S7VkyxwBhXMLIEEwueEQfI5MZ6m9NDkoGJbiRopSvGY0FBkdpPeTbu9Go7dqyBbHULuIqbB1VhBBcEUcSuSDrggCpEumgW+OInTJ9tAkWkuMaBcGlDfXL3LqHeYH5cNKxpgG5FQq2zxiFu/bkjmcX+3uBdMPi84lIDkLR+DKVXDOcI2JEePkWoRjHcOjJjlRIojTLvFhDGeeYCd+WwpjrLZjK1u/rUYq46ziYX4Aum9aKo6n0ZYFVYdZTOSkRNnl1PyWtSrMfEPXSLkoaG5z3pP7FB/DX/QZA2ft5JCZ2lv66NRBo7kjEUnamSJcAcTdW6OewoajGzEJDzQSmWkO680WKwjtSAUqyIan+HXFwdz3AZl0T3358XcdAcM9hCnIb/mtXJi/Uxb45n20Yc/wAg34dY+faa53sNEUVPeTmX+r90X0lI+Cl/V4xF31VMnnqiZbCoUj2ihH7g9HKv6yrYj5dFU9Ue/LRGaw8K9byxgIis2aFHPGNpdI6YIXgA2XOUIYoKn5X9+rCwi/nY3IbYFjUXIthi4Knr+I8v+AfwVei6uUZzCKQYo6HEZFUBQdDb9/EieCwAesC/dbFyY+uI3hFRHFdO1GKgTC+T6pQ+az2mTsuHgIsGNh3a7cZd2KuI2hbYOPQLNQc1unTS6gNzpNVJ71YkLvXFyl9cUPcwQEqfavay5Ga6gusX4G6w4Qx6qgNhL2TiT2zygEyxJdvBunvfq6ofiVlW2pEmi/xAZ444Sbn330+krVowwzhl8A0rDMyioAE3ZbwdFYJZMeF4raJJRSr/FPLE1BlQJ8b8cnhRvLYIoWjZ0SrgXHdB0uM0HCNYG/YqUINAhxlmF7K7z95nBT/owKZUfEXe9q8i4sZgVGf+JOaRMyuLFjQNSELqyqgl+1TNGD7G5JQ2v5MXfk5zxADF8cnQ/bFkgPwgE8AKaEflCh5o+o8vxzmM7cdSGGUNY2U3eMnBAzQjZlB4HXRObT8r4Z8lCUhCOLGShaHO5OH6YX1TKK7qKdbaDZizloZ8Vw44bZxhi4EjyWr8W/v/zh0Y/gZk0UU9xmYcfJubqC+WvERbnK2RSuRvvbUj7rewCV66GuDj+lvIMytnVv0satlAz32CcJ2dDt/XzCoHzgN+Gxfq/nP1d8CWBYyLI0Fl8sv1Bzy1hEQHc5/VbFkakxxogmIXyyu39aUNqLcjKmIXEiYUFdFBUBOgdxjDZbKoX0RcnEFWued4el2wypWnmK9MOGOQtPBqHUAIMm7cSUOo7kO49r2TBSOkFG91qd8wKy43lJebkseGZpkpKoq19Hyh3YPjCaZb7heV+9me5sOFUenbLK6H+maE/JaYUf56N8t0IhQAP8qdLDOxBt7LqpCSNgQb7mq2SHw68GXneitxUS/BhguL/9eNyG+6QYLOBjuHj0m8ClRgyKZDEdM3v9qPbdaOA2PVu63qluUV1rnwH/0Qmz7y3HY6czEBG0hQCSSSwijo3Lyf9TVcoPG0X6Sf+1ID1u5JNTGbBlhqlgkbsWTkiwkEgXoGc6+whhMmBa2qnoq55edU3ilUPWuSqKO7h8FqwrJvaIGT3IoWOqixmUaMdWlyyZGJmyvF9cuqlssBPEDKnTo9cvm8K4fLzPD0yywyW+Irj+HHaIRxjI4cPGEi9Nj3MKynJsLd0mjBA5SZDJmdl+l47NOTbxbfF1lI/458hbS+NJmeOLMNreVhE5dMKBu/2HpQsOD0TbH5FG4/4pc5/ZfIQVt8oVt4AlWsqkAZp0l100th4ySgKaA3lRGReeXTdziT7eVDcsu2nT5ekCauy3F1SujPJKqoOiDeAVyBzUN0ndv7Tvu7CbzBgDigZs30xO7GfOufERfONgPvJj60IzEhJTTB30mM20DCjHq2D5SacIoR9y5OJt29NL7SyxykRkTfsde8lWtjsYqdtrbD/MmlEpxTD/Utpj+xA7fADSO28CmD58d6byaNPL5qiTgUsVc46hiZx9OK8LoJdcXMV3uJxoOpel7TNTB9tzakZrUZnaox3dTkNAceoe8guIC45BYfv5C9dsjlgDHX10ttN7y0PY2f/MzkFsNVkNZYaSLC9WIw2McQ6FlY0N1BbmeNMid4Ffc9S1VIlce4RknbdGp72rj7QbtCvL5xTpapaFz4NQGkw9QxGnIJ37fi4b/GMDEz9XLoY5eGchV5VNOjs1drcicWAC4+lNcvTV6Y3nAP5EIoJ3AEqxCfVLQPCKiYsrLTb38nUn7vQz2X1VoS2yFWXBJZuRn/xHlbO/47JOScr9upqY0HavVbqtHhfs1U6aSzYF5jb0jdcm6ms9KO0dK3QIH8SLm6gtr0MdVr9WJNFfGAzH4FUqqEJH0JuaIR+TdhR2bmxV+VMOMHHIB6B4pt+kuyl/T64LTYKEoL/ey75wcg/vGGS+TCju3m/S/5ZoBojICRHI4GtZcymMhbj6CfpgRTNjMoGd+sIp2O/iAgqk6U15MwAy+hXVQfrXgKjgXiSQ3nkguQdonf0iYYkS5TUrk9V5n9Lvtzh2zB9ulJeOpO3XRo9yd6hO8LTiEpzeYrybQ+U0xxrsjs7pW3XmbT0yQ9mH0eLhym7+maYIyqBH7tAtx92qMp2R3WxSk4t0cu3/6CcTcVv8oOWnfcU6uWG7EGTD83nIHn0shhCb/r9UhTG+xgRPTwTGbTPbWSa0eEyTZ/sCyiNoBdzGQCW8tDIG6AwMu4VsfV1YaZQ8Rrp9Xt02/HV/sDTzgW7+0CmXxcNh8lWYs6oQlec1SPzHmadwEO8/e+eRPB8+fshpruUHaYzAQMQKuZ4WNC0835XVDV9SYerWSooXIUVdl6nMgGKTMxv5Njr4VcLLZveFIgERp/JqI11TK+pYhrnibQloZJqoHmmA4KApYT3/bUdhPlM2ZjmLynqXh2AMulXLFyR+Xhid0fB3SapKX2txuKeg5bpQmLCgkccEHDZ69WBYDQZ6qAajGNmlvNX4eOGUOcfLN/S2pXBLly4r8NPiDZs1gp0snaovqyYs7tCeVyxpb2KR/cnya1UfRFojwg28YzTzOITJKsagTepWihuq+lleM9ac6YU5z7IxRPJ2E3U/RAZXHX5nZfT+6SsBIMJICsMTxwOGXDB6dH3Y9h/haXPDcIIeh1RQr3fOcYnB/M8T0BuHV4qfs5Mc9KI3KM6+hEn8U9kW7LYyluep2LA8ISz4Zc/egAxhFmvaUDRge67pBquKtVm2korlVgysuaPCg//OqIGR8oXW9kZnRg1OSsvAUtcDzqUBsnD5jRZT64VCpsqhiehzqcaMT7G03SJKRPKYQduB766vc356N9</x:t>
  </x:si>
  <x:si>
    <x:t>UrPylepmVBS1XusTgwPthMR+lvpBSvjGQo2hxE6jOeCjNV1Q5keHphtbM6VHrpS65Yphsq1G4MXYkKIJ9JhLfOZnwwj25+DCdjg/PgTzj0YIxG/xWn4ErPaoPcaR7PsCSRuigXwKscj4gGZdOagZAI8rkrnXS6zcapjqvoCzKK5eOLMDjY88yX6bIvI3zwGSwinVvP8VIcMB6N3F90IQnPrY00HF8heVa1WciI3F5f7KLilT2j9zhC4obwFWdTBS4RkQ8oM70HurOtgebmYmFL8F12YvH1XKMByM5KF6kNVAy5AEwBn7WLPTEVW1icI8GpuzLrn725W2iPB9xYUyodyVWskRkBJHX1kqlkzXOYG/9CxZHuev5PeT6YHAUdX/SdB0WXLgXu6k2/P4NSUodRiDiNF31Xp4uI2cWGHTjKOANl5conZcBMk25HJnnrsuXmBOwDZ5xmPCPjnShCkCSVAXeKWrXuiWNx2PXNsRAt90aMigoTcYS/p4XfY7Q2UIL7zG6dyi070M3r1+tru3o3FFD6/taKRCIPCda8EvKqstiEXKL3Fxz4u8RBZe1WM/N/Rl1P2MqIXJ2lAYtu/t/PeyVUZjOTtVLcI3ruNGzo9Eh9/7Uh8hjSyWxAKckW7KkOUCcjP73lTbh955agwYFf4DwweRKqQrOS+SsGXn1AD0bozXKcbR+qwgg9iINfCO+rVWKk7ZAAa0PV5NV/ml05h/e8G61cv6CP34FnrbZv+Bkw91Ua3zeAxPnWc8VZkYBs5MYbC4ABZVbkhMF1d4xU9cs6EVRyAreb8JD4lAXSmGwx8qRXd9brBRWSz+C7ghFNs46acl2p+niQ9wuS+o4PUSFi5kkGqeSXB2hPKKm9oo8HI/dLI31E4KC1Zu2PqMkpFTJytsNSk4uLiNoI0fy9eqNfGwvdC/hdwYJWYvl9VJCdmYL+KKa9aTWWd4ESGAlUojriA7wwOVEDjSWSzktsZgYCBefX6laIjZEhQPOaya2pG4UJOATM7soTBNGHn0ZLWZCc381uvhdOAvwYsP6Bid1Ft1SM0xnt/fQjkMzCOcBq6osG8QlCGI8G6AnZ2dqzip1jWkLtwjrr17/ZjTd7oa0xpD4lTEmxL81ZrBvA7xhqsxHUB0HEPcYJnD35qX842dIbs9oQ3igJnvMANSq57ErRy5ME9yf34YapIiShBajzsk41qsHZoTuol+PYtpSxA19Sw2U3HG3cEt6ICKuM4KIboWYYQUiYvYrQ9H6dEQPwjRVqEG6p3cOQjTYPjvW8Fbhmqil2hcmveGpkDjcVL5RlqLOIQL6xvsrQdVLuqwUD7x8tCsDTokGzp2ITb67Vp/EQBxmWfpm4hUxamnMO/jUXfiD9NvjUQ9cIcRgRwxpk4clG5lE2LLOxi+oRHhiE4MIEWhz7V1uZOkEd5+K0JDaLP40DprOi+COxFHx7aynckp+j34q7xOw8uwarK07AznXDImBHGJV985omX1y60wLQkkwq8b3qm1xeqH14RiW4AqCIy/GrnB/xSDVRp1RrqAF0j8O0arSsMKNueS2mBh7o8l4fPDyXNXC0tvUIP36w9gRK5vuKH1ReUBFFlNNQMlVAbU65TK7/I6aKhmf/GZ2dfK8gskkiY/jaqmJJ0IQn/5ihu+LB5ElshGXNszifOBP8kyV4d3E0Fr7DseGnu2dNcZgit2MdjPoMavFTb+jGoeEGz20NRH9veABhMruiSnTKOYOV5pDVeda67KPX4x3HNlXm6ag47oH3PnBAisashKThAdjofV7NRwMHe+0T7JrCpJKecDkH+NQY8ZUFxblIMKYep1RaTBU1Kf9NXFj7ReR4jZnjmnoBEqj3XEFJJMNAza4x4kYBvwA0xYG3qUtg4l7cwIvqjtAlJ453a4In8zBod7kJbPQjy3nUZl/iQ6NA6B6IiKccGabH2e9hdbxgNrfvw7+3xdEOKL73SF+aMEZ63kRLa9VAgdUarjntw5zxz62Dk4YoKa/o1i+YoyMj0Ub5F5myjfWlQT+me0ABj6gKQsGDYokaioIXK29lLsuhoK57ZmdzBM6jdBiES5Pj0eyo5CcpZiXnsINGlyN+e6iKTAtoV5JXdGh+NxFE2WLiTKCkrGVoHFmg0zPglIWTllk33J7KGjeTuFzTvWAZyEFcOGiV1ZQLTdCKW1D1w7drzX2M0dPvLkDfkpULGH9+d3w7r3Kd8MKChwc8TiZfxgr8nBvCuXNXRa5dA95n4mCPkclukE9zbEMZ0vRIss2UnxxmGukP+k2/7ua98tTBEZ3s1VAcr0W3lCcXXuF/J+In8RSM4TzSboEOd70OiiZ8oNFkJF6iCAVgEk6MKfQIZhjc5e4EsUaZpgQ/qM/B+Ow1EH0ye7Od9yENzY9Cy5POBLi5XhY7KIRju6zYg2ODb25d+yRmqHp8MKy7+SMomNxKCsgDqm/XsU/qH0ZdFFiLn4x2Syn/XmWMRfxUYdHuuJWAIloUHJbQRI8U8KNhKmSCXauhh6o3lEmqJOgMXktjzKNiEhwXRayoDXMDv8eRYHtH0ZjOPhmu0PEJBrtW+S+Dj92BZysF/NM7AHagiWLzsLj/FsdbDJlSV5/I16MvNozr+lqgKW02y5tcZpRGd0dB2w4fpbubxhXBpj3oEvMqiCMlMNNXwuJtzmtEqH4X4HPRdk4vFYqhzqCupNMEURsKaOpeAGyNtkMT9WkWcxP0ZYbQeJJ7PFXuUUFWgPQiN7DAhMJJnuUzXm2+LTLh7mIV4C4x3jz4cS2LwCwn5g0I5uZvrmu5Kjynrja1evGb+tEXTX6LhbEq3jRCTS8faSf2YxzcMnGRElWdeWj/Dyaxl+w5+QU8WoBWIvoYFBdwea4a+wecY3SwI6oEjY3WIuf9CfIWFCzyAT1ePH9+4eX+0CcFXStuTUuoUq020rTYK41Bh6464Vrg+opoSjnZ4KGyvNkiHpeecVxImtEXWV+atWXpLxfwVlaJnxx8ce1ZobsMsXTzSLmf4LSkwdInk+b0ReAZxqQ5UVfXkpV6NsWa57aPrTkSRb4PVS962JaYnujEf6Mh+uoCEpt3j+u0i5Aro8dXrXXssxjRwyLLOT9pkHPZaD7KMSy5IiIczby5v6cyET03f3dwloQSrGIgoitqj1qJmTkKN8HEn4QpQuoE8YyZBu+vkjIWE/N5SffJ62lek9vq+BYtworXm/iR/Ej5L1mP72gR1VJmvzhSgROufgn1XMuwknDNcKmMBoRqxXy73t6TobUhQd0IANwsFfdD6Zli7EVo2nM2NH3wqy8z+lpJHLBCFUPh+d7odMF6RuZWuBc2d6FkFfBudAsL+K2a0L6dfVu2P2HxDg6Fi8SsOPKHozBnk31mDFsYlF2WZtNNrlkyEK41V5DIjmZHAB2gRB+TL/OP5MmwtcUlZ/obaiBrWPTtYjVdb26JRluUH9ov7H7GInU18fn4v8VQZJOtNkRtu4PPRuuZee6iCSWOyUqi10lc+ER56uzqGsglkmaamwT5yr/fHzGzGdqQHe1IWzPYCa42L69LF9loiOVCqH48fcL5OtF5wC+RZFPs2ez/wAOrr2qYNL7nXeHZBpwldlWoiNxoCGG3nQinvpkVzhzF/BUHGjwvBbkR24O0OAhU4apSZpcE7BY5pjbWfs1t62+jgkj1tUHu8BUdLbgxv3Y6XASRvJoNUkRv4UWNKHepDeEVo5h4Iz0MzbS6NkRpwCIQEEY0a3mUlJiqFniIMLZ4fqfzZ9CNzzQ3mD7Bw2seyZcC8gqZdPvfFoM3yOCY0IK7BLGCs233ztI6ozyuvsGv1OTAOW0hL1A5zRshxfCj3a8e+OGlICTiyr0OVhy0+dtdmP+Zc5XI6ieL9MCQASTNIs2yIv98CHXha9ghT1gw09ujenorw/+OaeVxM4loKecmNz0KpeNeKsUoaTI/s3cF33wprUioly1oNemBUT80MYmdxumS+JYCdYPiwt58UQFVmPbrpj9+v+R3WvPMVUFFcZ6P8ikT0sfKl2XQcj3OPtt1TmS+YSJBhPIm+9lKPv8PHpTY89EqlZLLBlEaTMQyY0hqT5wppbk7eA5ACvkC4Ixr675qiqnguYEHN/k2NUnzZ2wluivLZuXYmYwWQ56Yi6hXuHiSEqLq/2buWz0lWSbEpL8b56eqtcQbBhDkcgHg9VFlg44x3Eq0G4PnCQ0lPqlJn2Bq8waV4ZHbYxg/s6Ha0lt8i+Sk1Pk0h+zzntzgvBbtiAPcTqZsStYJuE+u9tewby0xUgc21SKv2dKjaLEsaXMClgbg1wJetkivwQx/6nabj/uz+iIvqQzy5EZbBVt/aCPUMCLdg7Fg/tr2cuaT/aKvBl/GZl6SH5CfgX+++O49nDqnhLJ3uLZQY9nBcd80I3UXq6vFMQwE1peWe8r38m0Bo1FQz4zZFlLbiOtTvyqdkHyLh8EmOdEKrnDGrt9V6dNOu6WirNUgGHUJe9CzbxutvDq6uHyGlpZQkfUWwPN8WxJD/TZwZi+5TT806q4vTdiZv5t9IxKab++ev7a5/FZ8tkAxyi/vwJ2g5gjQW6fsZ06JY876ew5I4B+hRN8McFhsC5aTlctqc6P8pnBWPQGOkPtUqSRreEnz/TRwEhxQi+JM6dSOcMM88+BL3zKwI9mXr2Af2IxTg6x+LCVmjRSmnIlb5MWRQ8TQ5lhkYhql67Ci6Z3lhrzOQpkLRem5lkqV71OdcS5wYD69mutR/8rzLA016al1g0gvS/IlEGFZyYCn9ktVS1ZzFkG20UZwryi9zTYUmOHQFLisKR1GYDm+o9qhlqFLij3sV2a30ztpPJg1VKXa1vGdY+8u/rh3UeHgWXsVYWDP1Z9ik07OcuvCAfCCaef/J272Kb3MIV1rXnmk0inQDeTopTL+MRlywGZHEIMRym4lw01M73xCPIDWU+YtmejQWoyqfmg9RgjPp+xY7LQCe+a7oF79aT5+M6bzWs1PT9dfjpNCZRO6QibQvRwnM73RSbjSdjeORadVcBOph8brTm+jM98UOzaG7GVf1Es57AR4hAvESyKYq2JEhDVyXLscydGgQXYWPTcPEmHwHvCNyQNlx7o2P9DRf6znL0wdpTzVRMru3bTQQvpDBytaIknzDevwZvowET+UyTfP69RFPecsDCWUTK/o0ktvHZae2qTlMCsZkFOHcuB8ZVOssJImxwUG5cnLDa53EdpSfTb2Fnl3kwRbL87ZM/rsWzZ6fSjVVYHfyr6wyrel2hYluJQBJCDkVRvEF4PRagI/KGfN5DuLbBcyZedUE0IKQRXhc6VSrHmXMxgmL8oowWilv3yQsfM11hjp8u1z3xN4XxRTnj5X4c2pSybOs7qKZ9wZpxSBfk21hneH8oJZqgDJD1PjEiWYtFWRnviK8gMMoGLZrjo74e0rBErFHGHO0Wq+zujqsBBFO99QK34jGDj1BCEyRVKcwaPSf766mQtSvrroZtUOCGL0L3sZ7d0+kMLikQDViv0kh0Rl5zuh8geC5ePWakXW0GVRcvknABI66GybrBhoc2vc7rQhkmskLUEPjMY/h56MvhEgyt1w9uwFNqmsQKE44iZOy+/c240nB31E4KkinnsyYE6ZwadoS8oY5F2yoK/dkB1J6tJlTYGW9s33PuI+BdGnDByl9lpYGXTz7Hc+cfFORN5rgheW7aU13PJXaM7bn6JpLVicWXVxrbPAm6kV2O0FH03kO0svimuWVACzsRmosWn1GqFymT5gtNIC8XW+8fwLI9z6GMlKhMTXpfQVletY7CiS/qiWTFPsRbyvvlft9c3nXiF/qaGx5A5AySkoFs/ZRL2ztL0qvIlN2+kuLQ1wkCHuF6ZL6puZV2Qfa67aWaNbEF0suvXkau2lC/qMUMd326noucg7NN22EpoCyR3BIfmw4nisIlrwqyryQoJMMBytnkFKUR9NmP3RGC8QGdQJkCniKKaKHUYyVFpbxNVktjeFt3PiUYUu2pRGViQsezjFyNVpJJaNifCs7p8p9Tr9FOGWNwxYwnp8SUF068fcQWd5aC+1wPDGi3ELsLFCvhPgZLABbf3jmvNCRD3UQx4ThmzgTcFGubOQILX0lAfxKvp+gbJ9SPmlS0LM8YaKXTYzEHtWNyjDhNQscNZPJlQg/9/FuYWfLdW7WyeFhSpjiMXsurpglPHwCmcY7vieIVYXd5Ilgl2/YHN4N44pybvuOMsUh5vV6642gLShXrtzlcdomOn4LZ99hPLYdwXk7rvY7X59lv8CP3dCqZcnJwoqUKvrFwdSkz92Zp+lrpCu2frFifJrH2Ad02y+fInpwqV0azPNaL3cKqztv/3NZhj7nRKpHljQx83asuDAAuqosX1kdwZFVThMKCi4g5o71o4TWv1w5Gdd//CR3wlC30f4zJQNDyho7TBNykUmKueretIdKbRiEP4EZwsrLMv+gtX3sxtpBvWN/jssfII4Yg+mwu50J1fpbcubinWOTrmAfEthTdBMBV2skPMKqHJizZM627UlKnCBXKVmvyMSWX7ciPGGLZA7COoZNA7OEDQNqCAbmFyq3wJmL/Mh8wQV9LgR5bJx0ELEIyVZWXJT245McH03BrmgEg5T3rj0JcOCAsDzQpjC23jXO26lWPzpWyIhODhJh7jC7FM0r2OFr35JBE3+saAXOTpMzz3BB4VnxBVcA/CC/bHEe1mlh6lNeDvq6p/MT2AOw5PMWZr7/DnHnLxolpE5GRMWFs6t1tpBCdc1xAKDX7KobACMk8t2ezKo/IGPAUanrHXyjJdUiHuVJ3j5GumqN5321SDh+4WYeaL5BbuY5/rT5ZMctN2Ac6meFGU0pf1zzyKdj5tBaktvXc7V09v60TZ4GXgOH4Qx5vw3d9Lc808EM+0KJXsmez+KCM+0ZuYey6gI51OUjNk+vLbjsJNK4jn10COBbrX8rSwsozD4d0couHZE6OgziTCNrznbluWP0vpPsA3+aX+rmZc0XJfRypsUoQHm8Bru8HxrUBRLF9uERieQrb812z7mqKdO36qPKuH1ChbsYDmScqjyGsmURlDWZnhLniG2E+rLWnxespzlLK3ulJ4GxZ7IG1y0Za3m7bq5Lh9au/jUvx0hoH5b3OZ+lMD0zXqqTywvUzh18WF8rMH57V0g42yUbEhoIvqFhiUWT29gY7b3dsH/UP4vGfomvPDcNz290SvAadvPP1+CO/CvZOzdMmwmkYjaJkMfWdR5EN9cbwufAysLOlCMVfjpGtbYYDoGvXsXuYtsktYOb6pec++cNNnjOD0lJg6jB+VXjoEJIpFbQnSrPKk3gfqPBX3wyyRz4m471ImV34U33KYzq6Qig+BkKrv4wiJW3v8EC8PvmF7MUChIU5ZLRWDRXLdqXxOfsfEdxQPqch+w25NHOJtANl3Tl6Z5VLcHKqacIIi7xrx1Vhi3vwRfEUBdpuRKVETuaXppH95IJAicLkw49Eks51JJSzPIPvE2dUrTHcWi6LpZRGXe7cp1WABUm4uG3+InM1WEgoMR5b/wB8SH/7dNvPZoLoLsD34vHVknkEwLqTfPz2z2LdL0Z0YomELjPIc/rTtRa0jN1Aw+UXeOvFfF/YccawwHcMsaZRmAnQ91els7b6pORX83xO7ug9UAEmiot/JpqpbvYy/agCD2rf9eIJprNB2MhCa8Ihsrl8ZwikLjjXwYbK+/ZAzZopXd8NJbUw3csQk2vKOxJSMnBONQQh0YZWyWxEwQXHgqphVhN/EH+lH/tBoFlSBebyFeXDGw2z0EuguZW+dN2ewvUVGF5zJ+5kD7yFc7+NY/QULQdOicUQW/tSZr0CIzRqoQ363v2heAkDUWYlSkAv+Nnqcwx+/OxJE3M0II5Yle0W6tPizICTTJx2ho85XVdksBpP8D/CKXWZynfVNw8hx988lwxk1+XDwvKVN2mFAj/BShnhnkb6Xb+Ne2lv6NFFqngJy+o273dE99Tj9vIHZSx4fAtDQZwzx4qpD0SIUFpK54zEHhGoIrudGw3SisWtD5itr03FhDVvs8n6LYA/SA+TjkOpjaZHt/s+hVPautfM/LqIUySnQ8e9RnMb7rKS/60ofhRnfGeVHqno02doV1xRwDug2V1RbDCFjngcM1iLbWx4veKB4rV190N8Tfiplq4AlCpdpsQjvcIhPersh8uEHErd39ohsCajpOB5CeF85lvWmsGFOCkfJ6NOKSQ+3TiQ2Nq0F0qzm80rpgaiByMmbo7TiFFKfCl0GP/4tpazaq4KC5gmw594IL4ktQEkbybps2zi1nP9yWWP+l/xl6lJOBNY9zWLLhci7acXlnpJ3s8SWB9zcEYAwUM9htdCGlsmWdqGRbU3QOHAFxOSaV82x09ypWveFE6SsXOnJihH5A2jkrrDZm6R+K69xFHEAZeWtrxnJad5dQ2TXFBO19XjgT2M9nN+7+UijkQW1HAKb3yfyj685J9I7GEdzz1KTIBFF2vPKgn7yYVL0M4Pi03uPPnm/2E4Ir84xbGAEXXAdoWHpcUmayTzlOlkvOBuebCbfRVtexKski+LXg5uAn7LseQka1hFrXBA+z4Fv28YwxVN9MTNhsR0KWXua5ANsDKJV3Id7J0PLrvJv+YyQIeJr3eBsUIfinupTzJLYakxLeLmVDkKt796OzdgW1W1Way/9PficoYU90bSP6VLNn10I3ITnlxRbnFrR7sW4T/2QbtkEH7VuxBMIdOWnaB5wuaA+kUI7Uveh33/LofjYdzKCmK/ltT0fSSYJq0qRziD4dFFUIRr2fvFypEb+PYb2Q+SGfcPKwYb6Xj2cceU/w3PjA/v5MoUCHiuPkiz08fSNXAhm7zORPbLSrxOUTsQjuuMDl8t1Q41NN/8pAvw1h9i3OI750TsIeZSED8AonPZjQyc/Yz/CVqC/WcHsPZz68BSAOfWo7sM5tR8VtvyIg7q1lufM8/Wh0iSSVuvibBZnBORFyCifT+PqUjc8kSNpwDSH2bE0ZtiOa+ELcTLdQecC11hWvyAnKvomH6adABkeCaSSuJIY9vy7rzTUZBzCZwAiSKTFCQ5LfjB+Lvk14vF3Zdo6F2lkj7TLck/MW57Fl9NaQkiZTMJdUVHEHaNcNHhUOhnc1c2ZzhUrXf2T02pl7VAz9px3zVDN9ojdJZZ7Aokbi7GBY0rU7NuqExeBHG+MuFBbuhDrTKF/gW1YuFMuuCpgv0mahRJAYiyaxpzLqr7ovAGq7F5rKQyr/ZBwqL+H+ciN1pxw0NdVTraEFpQgAtIFEQpcwjuSeb4/sCtJOyN15V4lqR5XAx6GtMHJ84pjMKTCXb+mYjS6/8mjdrVQAV4Nw3FpqpzHOxBwQuX52HcOJK68Ie6AtX626tHIzdipmWFO2e9cqzyTEXMyMJoSBUgg/PpwDyTl+Qv1EOBS16LxjH6ePJdrwA3F7F8GlFFMBa8vadm8XHDpAGiPBiILK09jtxwAK2NgHEovkyDES25jpahuEKr/Lr3ENFXfMZb5BVfd+0SPMDLHy/MEhdxQp0cYr+N7hh0WbrC8zuPdARnmRLFjmz4c5GlzsgH0RYvtMwqJxnii7AfgUDgc8hf7UHUfB6t2P/Mw3jus2qrM9719x3uIOFimR0Nml1Ky62OZU+5vvIQ6nQK19XK1NG+aQP476UaQk/WYPae7FN09QQpVl+AujeiI4CtjKz67K4Lu1n1/1lhiHAhhmwOYFw+GrzPChX7J1sSFcPHmGteyBn/4UMsY6+FJ5q010XTL7JRZ/xiUt9YJo388I95nAK75umvF8d9Ya0fvCWktnzIZsmGghdou+FSCWYljGgsIlSb+yoySVOJsnKQxIvxxOtWR0rra6zysvqQ/Loch5sEWpV8BrYTsS3kDxwHrUqUW7XWCNvf6MzlANGMR+2WJM6hjD7Re3wJO9cOVUhjirehvyRJhcHgz4NL4Hf+eEQs21vxRNZ9bqfeRW2/QTyKiaAlr66r9gXQbB+VaizbtFR4vEfC5hwMvQr/gi5M78xj6Pa+/CAQ+BLOgwuPo94JYlcT3+XrIulExALxBlzUAhZmU+/lBzENBF1btteKqeglnQQsZu0NNwmvfO2y9o8aaJjvrnWuqZtBuZOcnij6YPYKPe5zK4Uj/AvUr3tLRRvX6093+VPfhY/jEFHqjZYaOHdCkPK8hMUJKvgYn+lpUpBS4ygPxxm2/8wfbmSO0oGroPb9gzXbd2+NrJweHSMeGFIKh2v9T/JqGn7HCtwYGaZBONQ5qActVSFBBSfYYy34wX4UPBWsp77Z8aTbRlxe2rq4WtxgXSFtrg5h5f3X2inzhT9FEKjpz+CC62kFD+lx50KaMy/ZI1WQUdkFhoIGSBteFLILxLfX2tOF0FTUQQzY5y/I1VstPZWXDa2bwxcHg0MLrgIjM2h7xBDzTsLPUwV24usps3EFB458Yxi9TO5wgpWRpaVcWml9w5WLmjpl107E9ni+OEQqQL8Dm48fqKsyqnDAFF8tsFC9eqRNZurUKp2nn3CZOBM7E4N6+mV9p4Jc8NawHGOWmBhb8ELKqXsvO3dtMoCzwieurZI40QiZ3bt/JcvPQ7Xk4ghtVUJyrjCwJct8WkjeEYuochW4z65iNhItkr5wCyIYLt+6/RQggAi4VCJIk8A7yDuci1dTpUZTxKQXdsRWoMitgf5QTMhrlh4CyYb+502jmlSlI7fTijJqgqHsgh6TTjRgeVIOWol4lDDIJAFPKREhFsch4VE6E8cbgTMUjohtK5KSnxsL9PdZeGhj8WCQNbcCwXoMEyY5Vz/bxQ0UWLF9I78NOS3Cp/CeTLYkvV8Elin2x0EqziXcmoAdkmpDbkdgj5//TjSCcvVUWQnGmWPnFqyLxoQXCaCe3zu0BP0OKxSl3WAd67FvWzOh8HMZMXA6GaE2iNTTAUzVJvcJOR60Ow4W+uemRcNQLnGR3tNDmpZyQVP1EKukQQ/z0gwzO++8guAgLt5P/pjocIMGD6hh9ku5oqv8A57RmBAZS0E80pcfEstUOdACNFoUksp3uexyOc5nDOZAlYyVa1RNDk7V08eF1aIlWoy2xI3eRiP3OrvpjTTvvgfGDULA6IDP9KFsgwoMHJBZSUmdUXMJTpxIUrdGUWhxfh0QwM3fiOHZeBs3/vj19iDNHhqumJdcFMioOA5gaVF46h3fcdYgsMs4u7jqlqdfmF8MOCWZ/HT3k+PemPUnWvg74U/sBVfcDJaTr6YXv+OFUuZg0jm4JKokoSKjZ9aQsa9w3MYM167behV7D9/v1FOpl5Mkfar6JZwhXf7g94ZTQ9RL+JN3QJNwdd+auXW+2HGA04mm29WkSrCzvcJ4MKXAiNolUI3ZA4mWCxRwGRv4rEXMDU3YqZuF/YEmLUmrzu2uc6vI7XAtiZrsW6YnxpwwSlIIom6X6TlJteuhNHeI6CcLM+ppRN+7lH3qBi7fzsyhyAF5tD00+cybU0DfZRtBNTTpXrtruic99f0uy6CAno1I7GYOfsnPnxfMKwZvFHZurt6Dl6z8aGZ/dmcZMd+pHU1OpLHj/eqVoIeEs6MQHWChsbnFRIkbz2FWyDib3N+XL+UCwfBJzsDTFpwCMS6yaA6CIoRa+rZ79WJweQYzQScSUTOoljzBTY6D5UDgRBHCob70oo13gfW31na5m5SzZJg4R2fP0r1HChE2lbTDg6ZLEyqFNW5jJRYYdqHbj/se5Y49hoBh1j9mtb/R2bHRbVpOq5T/ndESb3IoE4aEbKu1Aixnr0yYa64ciVgzeot68uJYmgVpmTk2KQLbSSWh0B8yhvpxMNj1wDdFv1iG0V2a+fq0v4hYXEmUEYBdVtdSRaN5Fj9Ve2v9gA1osNJnBguDKSoRKydrgtZ6ImPLP/H5AVzAD+q43eh8jz683lqpEBLHunhidu8pxrvIvuvblK5vLhwiACTem2hn6IU2ke/L2mNfPzOuTR39LhAH/131ykOu3ztfg1+3UCfwUVmIJOFwrq0LFqeFQEais7HWY2iweh2PvJsMf9aifAY40PiFWhrzRP1YQcGepTnxOlI7kXeR7ZM62gDr8qiU37XHQRYKSruJwZLqkmISR8aADafqnn2gjqJ7qc9DzHzsuLJfhCZwrIxUhxFH1V9I10wPGzXHxmXlIrGPWAX6XZBi5xgxS9GkjB2HI1QvDwV6+1UAuaUXpTTEQ4xshS9Oh1tBAZ/oUi8vMdb5Y5lDLvWr8XCt6dOF+NlUqp/4U6klXqPx/EiebxWRtLrrT+4g3Q+GwIygcL2vIzGKP8bCCBgV4TKxinPiD5EORAJY9Uzg5/lcYrUgrN8WNlx7Is4JNTzcY/J9BYhBXj4YtIHkkD5u6wt4FHAOPoUhZ484WMSClwVStKJe5Y1QsfaBxfhYEXACXIBgfWiqWhl/HfBsTGoN0nclgSTdKGaBYJg4RYOz28jLXR93gfbSm/gKHM+txtzGaYua+mjH+F9lbO/TZ5BWKWt2F2mYo7SmZEPKnGczRWSDaX84IBVCpDp2q1TsUSF+OLvUYURJrl2PXk9cECNV//2sTlqzZtUSqaonXE7nvASXltCJtTF54gvIwYd88Avy4ZwlZHLwJWkNXqlV8+Dghz5lN7C6dzUU/HuqThyEZv/ZH2C4N2ewVHygi1aEv90QzkTeAS7Pz3D6Dv+g1rbDErjiZfcbu2gfwzfsymJ/h37fLtxV5H/fwIeWiIa69vtaeId+Fay9xZF3gsBoixDSkULWBJ9fNrNo2Qg51NHEQbCAgKdwjjFiBtaFZa2nwjeCgWwzAco7GMBYxFnC87pd8HjIxUAmqY7WRha03MnGDOVn99OqMmm94tm0y8NF4wcIPOIZKcxX/tfdP9rPw4Uzaj2tbykjhOUuJH6BKtXVgpAfQfPsDJWabIGc7AbJJXUlE13PDSqfc9GyDOH4WJQQJV2BppIwXLDado6okMa1Oyxa9SnhceZeDPN8S3mbCWTdGjTbrEY9GOJZ1KlS637HY9y6QCCFsUlCkqfFDmlRESYCeouZb5l8BsR/TVvIR6lipZvK17ex3ZaDUaiJiwfa80tTnJXut203mKM8gx6mq9mcPg9OpLDVCV/bhul5VNBFAoVmkmu6SsdkR9rou887vwUynQ894umtxnSTbi8e1+gwgoUJCRC1+jXHs695oAU7xTiUst1ZVtFV+ZeR1UMu7UuB+ppuKXrk8isAppDfPNWlyEkAtYj3k49P/b5cnqyCVm5LzHIwDSRTc5+CE3AwN6sSrPVTlc12YvzhmrnwMdsw2ouBPKu0M7P6mOrS3jxhl3dUK4ObkSR6jbhmklW9pVb+oOL93fptbQnup1htJbb5wjQg8NJ8Df21xuBqUqD4AMzFx9WL3KakE2zZAVD89qG/a/qMpRmg2k9M+sA1BuX4LJhzEe8X5ZZxvFZpO/SfztGvkEm/v8pAWT8GBz8ox/wagFIjqQZOyLhVN9aP7TjhLwM3LRwRsAG+whqYL43MhYtpzURRN/OGFq4B/0RwxOi3eIMorgjXfT5U3GU370l0UIn250EG/IkjzqzwY2exuBSyCmZbcKTONMWj6RCOIxD2nLVkyJsNwsylTl8j0FdHSUMO00G0G5w7rARTEyeVXgn8UBzPB7BrD9muBV3Xvv8SII/RF5xrAQ3WGFaORr2qSMgWYVrvu0bk8T0wVzbe8yLSlbYEe9JtsGAJKTC0ottX4ogOUTe1vrJzIWVyHIWWSuEDKjw+QmBHoSAUj7vPfgxPVfvSCac6qhW+O6xcSJBXUpGgBSACoM/+4ojsZ3m8Q2l0zPTSd5EVaM8M2kFkv6geP5g/0SX1esp5Hvan9pRlI2yYJ3L7u/A2oE5SWpEOhBaUeNAkCxtHXjo8rwme5iVk6nyGxwt9UJUeEEmGS65vwSFdFsQubhlW8LfNk+Q4zvVJRsPv0RolpiISF1hzwP5NQXQUvpvNn1vV7WRy/elWkubkNK3KoOCR9zlJPhcd9x/AQTcbe0yBoOBFWoSwmgrJEt24iGachTkRRtNhaaR6Vmb6lTzZ+5t0aDW2JQAk1JnG2MyZ82hYFrdAg3sU2EDOSwPrzrWhAeEaBDoWaH92Qu4l4atoWryqGaeeHyNDQZQQfnB1aFzC87r5iifD7YkQvGIQEJXQB0wIMdb3XwCUHZClvQsigl/NZASMvFn3Q/AbocuJ6TtoT/4+08jrBif+qLNzZLAlRhWKPndEsyAi/FK1I+KpqpI12IKqh3w99PX7q9h/olJlj21N8CP0XIJKUhuetzOKuJH2XgbPpAusrJTVjPkdWsg/usRkH3qfX3hivo/MV9Vcpep5ng0NGqU2tmn4ZiNPWhdiIjoLqzlOFT50C+obyV5ezmn842TzPnRwkYm/+VTRdOAKDs2/b9yS+CEr86eqU7MnMAKemWZ3Tci3ImOI92CGwxdlatbUCuXvArbjOXP8KUAJMw1Ie5dQhFlq0FkjMgSBXtr+EnJNQMNYrPMVcyJYYZ2GP+OP/GzzT9r2bBHkTNZyWFLqnILNhwuKB3TLI5KeapQfJEKomHP5MDuh5EoUA0t2VxCivflHtmcBlAjJTaj/utMl7GkuZHrYKxJ1GO9ihK3KyLGYF2jm9rSPwh0EzKKUeEfS5v8UB4a5JrltJx8sDjBZKSYfRaMasEc86EpU2wD2oCp/KqVBE0RqWqevkVvY9YwqOxEwbenT6UFFXZhbRXdwrDGVGBXWbh+B7h7tz2pxzHcJIb7DNhzwpWqDzaJaboTXjtpJZriPKQ+6PftW77JA6uklv4fiGtGN4W52J4mDvhYWJ6FhUDAExzpF3Chk6L+L2MT4BbmXhu81PFC+AdaTNN+zTZeqoxtC7/70o51QzSklPoBnBlQI3SJS/vX7t2YKDDWQAIFrHonFLMLblN+ThjQK2VdxH0jusWFzq/Oh8fOxHBEcTzK+809CYjc8BT3cFQZmev961O1jy/Q7/DdTO1Vrc30D50G4Mje6Z5wJUwJ8CaCmzoKskbhximbtlc1tWh6qZ80Goi27sVku5oxSsAu5FhzG8rOek/cuGFdqZH7igKHxKaOhbx2Px7LXg1LazE0KqG1Y92rTQXdO3Up9TuPlrcHLYv0Ph3bmiw+gYuzLPznYEmKfret2O8YYS0AJi0ug78OUttJsld+TxmrINbJ+BSt3mmwxWA/PXB8ZFWgUp4R+MKdLd71+fBkG3yitbjqB7x0DXKe6YYlnffDUPyPFpps1MEC7/EAiGn0YlWbn6hWHwFdswEXoa9bqSRd8dVn1WLoog426iI8Lb8Y01yEw7LU3lIqAxl+KnMR46cUmmzNwYCK/VxKSBct7ItiaVx/3/jozUPHkLagMVC+0SZGrpJNBNclRTTdoDQLr55ymdNZXs8JGoDB5ijm2Fd3Bgf6MjDmj3+FHZbElpDcLTlLQGTQ/uZwiKHPWHif4WhT7AL5kAVda0hLgnRxKk+VAVFHMhP5xzf52+gT2QmgN3z94U4lGusMsYh1857GDlYlZ+EX2dNDZm0mHQstrK0Z7Rxn7w1wYkOe6X4YVVmif2Cf+1pX9lL7q+aYqr+YCHu+gsnXBwQ5pBR2eGqaBMmk4JN4Jx5QkgoRPiRzzJYt2eCs2rOgdINmbI+ls7XPXHxeb0xkJpz3w60dnwLxoPMafJRccRuvKu8QT2KMPtBfLmFYjKoqUEHXOwHSc3ZR9v77juXBGiYBRv8BTjZJMqxUbbbVkqc/PRrC3i/Y6ZustFMvJp4sCfbL4f5gAqJwi3sAFxUB/zkb//6oqlsveOfEXDNgwFB5OFmbhmNYWD8KZBEEBKar37u7ROL5yO6oYp2BCI63hAu9tWJYK7wICK16Ow/cP4hVNWnJq0mGt0TodVmaUQYZGBa7YZ4MHG7En7+YmdgF028KrvAbDmB52Bj+Jwv9v2isFAc8mFzB3LDIdimVNfM66ONFM9W+nTgEnyA6lNhVDuyjFkm+yAYSEJrc7dIOhFCD0L6yjuw+8dwN0qsKyPYumgYGGe1u+LjuUtx1V8K6V6VXMj5exG5FKc95OdoNyM+A31cnw4BAiTzRf71ImldbRH/zWwQbGBmuTAcpUKCnjCSo2+ALTSixHZxnn0po9xiRVKzkvSr8iLYIt/pv06Ew2YByKXnfVKXm1CR+9B9XXOzB+ysdbKdgIkEh7BjYsj+nwuTYMp1SjFSPHE4bamXvp0UhD8RcmkRX8ioJILmdXVupjS6WXjryDrbK9o/VmXHInNOmXM/pWmgAWDeBd0B6X+WQv9rATGosD8jQl9FlSFXmtBWuBUFClhZB0C5cygCUbakyEz8RUO5OyexFW99gsb+OKtG8/MFpqo8/dYtkpCXYg+ZM7/SLYZBkT2hCnx3uaJX6gkbVNCFs1hW78X/79y0GAztVrND0WAROv2tEWFtmJ8zHoiLway0sx0FuWgj2cRPL7kTGsJNFr4fgWewUyz1B/v8vb1B9wQcWo1jWxd+Dx9L5CnVGV45YSnHAwO2yFBQlHMWZ6Z/tHA5+19zwwyIVXl2Lj742cyGQs00PQ+SmRlKYXmsvGT6FMjoGlmH5wyhboP3dD0gHb8eoezVdL7JODcOK9UZbmNPGAXb/PMOM2IcmyNHD5hRPUZoUrOUjQ2kGKzcHPZCCyBUezcKpBW/xglMClOraAgJN6dgyOlPA+Qxn8lQ9uQkU8VuCHRI1mzNQSgK+IkNsdc8X/yCNYhGr3mHRlcuYJ7r1oGeHYlQMq6+k62/LQK0O2W3a3MezV8xLMIDwA6P+uSs+ty2rs1zr7fCmvuddbQ8EZx7CcgY3vTNGqVxIVoMS41YrnWvbOoHFvtLx3I3n9ORTow57VwgmDFbIFgviTVBF1dOhXthRa/j5TnCkHFdKnGULYJEisEXjdnxIDrT7u2V6ORQIzXeAG3L9KQXtkBrC6+Y6Ahm5Z6l3TELp+4Dx+w81WkCBzM6W2gIuEOug7Ic5cjleJ4tTkfRHTPok3QuPzkGPFbBwdJ5b+OjQqaGiXEqEa+UThPwtx/Z3GMq202AwNifG7FWaK2A8YsSdgUKe14yJjlRv+dj0JxqWGYwdhL8j/7IJJPEEEMKEU9xQFWJRZTHziIwTJDRZIWuTDOFGg7vWZTJilVTH8TRber3PszkG42RdxO3D/lhnPBs/djkhOLueqcCSEH3TCpdTjm+YYMR7UpVvAZSmUErKu7JXyARyhmr0SzamJD0fdlWg9m/KUn5/RNqnzkvhGxgvqkJDVhJ+/mSdTp4cTepyWococcs3sv1qd0cdEHUUUzub2SS7CVU5qh02isPYWGsM8Qt/NKwYnR2kWOQLAp8ABwy7wgMLFnDET/A38x3HZ2p43uKwg2+dyDC0UO4xgkrQxhy2nPMd+W+39+vL6DO6Yxbo7o9K0tD2CFguPwyKZ5dxUwxH1LhQwFia4pLBTf/iSr4+mjzlxRP8HAKtbt+AVbGpzzgv5X4tP2BoECNxE/t9QeZrBq4kpL+q7gqwHRQLieNF5ZZf7ToIvI3GP0YLWYs8/g1/E1OjqiRMswPVhDaONoV1FniNk78e/8fl7LfIH/y5caOxXnwO0OEy8TBke5/Sp3YQWm9zm59A5clJz1G043H8WYEMRYi6NuvPWJdsTq6OMhIJ4wSt7XiKVnqWyQK6dHaHY5mQfn60nImvkJNQYDT/wGwm54lJDsCbr91ipLo/RW+FIzW9y3/hwnzD5CN7JTcne6ixMUy+1i9w75NmbglmBOHE6A5oy4SRX+xmaPLXI6I6n+lUHtk6X6BWt8X8ogpko2lJCET97QIJRI5U99rk+M+epmmIe1uAKRoTPO1cSh8Pw75dQENPaw5TKjfyDg0wt/TVH77AOr3u8jZQ/eGI/MbLDgY4jq+0mdc/3tl9oV328C6p3pBCfNU4d2e+pGQkTxHm1cWqJ3VUXfXiKBtGnsxb9fZa6PTnc9J+f3YvNmi5Qv66pC9U3JGtTis+EFD8xyiMLPquTB44whr3ABnOfgl8fGYfTFLgDzv5ZhW1v4ey3TCNo+bRRkdZoYZ29J8XDzH3ZPYTz2V34dFL1EcuJZcioIwJNMeQuUlokDIjR6nqSh6fFFvy1bt8EZJcBYTnTdtX4QUBD7iISd1+14vbMzKbMUEdtxjf3u2VT8OciD5R7K4OmXkorbEYMJsIdR3LcYtWR/2IHLtthO3whTXzPJ4OWDgXgdx4VZAjVronn1Wb2fbodenXJCwT+fQZQp/qA5xmCVxXcauTEtoY1i8ZFngm1atLlVcc6F7EgidmFbnOnfAr0ja2GFHDAe37vedjwc/Psk/rzhLAxC+9ZIIZk+VTmXPucm8jRvTDsWHTeEgsXpydO+xPyDjm9tbmVApCq6AIiNeliXCt2vauG3TUxwV048etEl5ProKWEsggSiZDnKD7M9BT3xauHVvqVkCczx/GV0iSBatl9NXCpRm/GpcJ751Gy460UM72Yz9P/Kuwd4ASkVedZPH06p7uZcXVauriKdeasrOTEJrr7bTV3Ke/bFoIMixWSaJniFd+19xsybGOU/3x/jBhCkEGliju+xrXe6y3B0qzbYnFHcHGToNcfp+ztuFHvOomJuEKyzmnZ8eSjh4Ije9b5aC4Pffx2elZCSFvCJ4YHTnwW65M4M73O0ctCoy2BBcY9WCPVgDQa1WWM/bKUuEeQpLqg9s5gwPL5GR1AWlS26qtd7UM2RaPtV02F8FqPd+R+FeVSXwqCgW5ULkhDnctb25aDFySNL0Akj2D36iq6WdX2m4+HKDmHUXVVN4RBuZJHlluE3hzWVioHpyrxe/f5GkIz6ftINzaC1GEFy/l4KJ+f8wjRiFy6D9N1nUEFHodszJWsGvSHYCYZ2nfJcxxeswoDjU+6hNxi5hsidg87wVHtM5v7Dn7bMCHX3bixfLacvLc/ubHq8q5L0jO/LzG3sM50k+kPXgy87RvQTxezQOnPar/aFhCBekT02U2Yu4NGOTe5VR2nzZ1CZ90ifZev3fDJYr/QwAsL5WHS+evTTQynIzgBzPpYncFc3a+xrbSOU+1LoqVsdt3XJ/n4XRQd6/KkJeqfkJ1DTW+0KgUH02A36But+0LETaGyZMbD+xXoAiiJgnNZ9KOtvj4htF3fW+GgdfG/lj4ZJAsryn/606fVW2BC9Mnb+B2v0e2DUNeXZPTQDHiE8Is40wddhzLEPg2csd16dWZH/ZzuvoPN0aP3GaeaizRPX3Hly40hyJKjsDqBf8GT02NEk9BUqKIigq1QUZWHdr4Ad1P1raxMs5fFLbkYcnX3aAxZMt8PmztR74tNz3JPJD4v1vj+/F2TXexbHikRCaVtQJtFdjh8bgJC9e+KIvO5LP4LmG+C7alvnvV6Pgul1oKx9iQohFKFK7T1I3ahHPT7HltoJhBTixJxe7WDrGdg6FrwiXJfRUlFnOObvs+E4bny2Y5m3wX+0ZrEfmczZaE/oBybjrMyKuQ2fcIUSNlOCeeku/LqZ93KgCup4n7jA2yMQbQ8ZSlYvg/sOVd8IHGxhsojdQ2rxsb5QcNYc0kbs5YjhbTdPpNSAJhWZj3NfXdCwd+K+wcPdBnlGoLAXRzy1j8rJVXTnhnEnL2nw6NyUQqdVqxZh09OIjviN8Ig1LAsurCoZpuNusqrlf+AToXSCm7xIYROa/vBD8Zi+eFIc1SwN4oDAHPJ8bEEYV6hMoZu5ir8FVCSnY4GBxPgmmxaVAoer/3++UdrKNuF8swqUzYHKgx2T31vla7BEswYDia+M3nQHIFhWys/QiMNOyxpta9j+hz0nnvmxzOgWXoOBjLIiQeqvVQGugWN6Ol7CXbaptiHag3YJI2B9cLTE0xNKJzT05wPri1WiOVbtKgtMP7PRA77CrKCJx7C/1xRVLlXzOrdfmA5loFHuwbT3mY+YLXC9NudwXywVr3DbRLz30gaeAM6Myt2YuaTAl+bBtxDY3x74mzHBip2H6EMVcb9lJbmFvE4aqRxvFNKmSE0oar53G1+qZeq+k/kT2DV5CPfFciA7UkqM0AqAezBU2ClYnmv9PWBNUMzZeGqXajyCKwyXfjCrnZ8xtukku6996jh3ReMFjF4qbEDMj0iPoddUw6eIs1Yv+s3mhVXaBoislN1az+VqA2pBsbgWHgXh8bfVQ2faqOAQvKvTMcbD8bLug5aIlzDvxRyIEGPUeV1S/bu78OPyUd33ioQXYVjW79cMER6bJ5hbvFupU4DgH92vjT8UR9PHdpVRVj04VwFnw7hYl7f1u+dZxmY/063XC1QzMTN/l6cTZjhWBIhEF2lblaOzqO8Gct46YcjlQy+pvEctbkTEEWtFmFXUB7dN2RIFAxJr3hsBLSM94kmaLRo+TToCKIVG2ayeZftGjoKgtGaDGHDNy0ts9SfAF5p7T9Wd3XG7AcxJsUHN6VtaNSg0zoAgQsE5/xNFwgKM/5FJvWEgQrorEn4MPh+GY6M2QfAEHEfEjcZdbDeMwCJ1ri+4yYefCMTh3Oz3yKBJFm+Q5tb/O6X0l0lXkjm58LISG0gDXbiBqQfF3QBKHapNDE+7LCAIEHUthU6DGwQRmOZXizcbSF4bKYJ4PPdxN2dZtSZrCnJ4NEkE5RXQEBZLtvVOaJoiPvvzF+BSwlCZW0G+dOlGcTUa9mi0DJh6Nd7D7Z9bTGzr6z56ValofXNEGA3G6MUz2v/W/xco8wgZHdGeJkgexZtjcL+GzKP6X7JHDrJ8D8buIubTqtscDDC+lDw6JNQDoSPuC+UWAvN3s9TlpZw3NnEFJ9VkalZeQxhBrB2U2oIokGw6kaHgPEVV3DVSTH1Jao9CCTgebxS2vf9WJI/rqwQLeIBXnu4Ybc5k7mjf0VvkpE5OopcLjJzJ5OaZmrwFD4dfwcwSCyWdDT5nbBdTfx97O8Fzb1Caoem0ADTPoyH2er59m+kQ1vktCQK2vj8++w0GG7UEyKqYiewfRGqqtSVkSctCXjW/oTjwtFOgLWNROBZB8rq9n+DHnU+S0mhFhPFKRYT6KsQ8KZYmVwtVkKtH1/5BubDVj+Alyw3h9Q1KDwh/VgiHGzT2JbSio9HqyYhxXqk2SFNidAKQT7sz9MgVhP34HYeXdvFzCBPu1ryAs10rdphLJ0sx9Jss0fFsuKrLlF1103H+QGbxhdURTCcTWYqLnuXUAhizjqivkUMGq6ZySJYqQlaDvbEcGcCuTuUmr/ayq5cU6bL7RasS4mMyM2Zbkn5dSHhw3gNN5GfWnbWbCMoZP4d2WqYiTTwkX8xA6sJRw4puXC3NpDE+8EML2GANQmiF/DkAn6yv/sCsf8RiU20RZowRVvzv+IOAf8eKWMidy6RGNtROj3nZ/V9Y2d/ZsinM1W10IsISSaPsL6mmihhyRYR2Xr//D7NBnI8aKSMp8p693oTVuv5pr+Q1ibXaohZNjbZvNdNOwoZVuGcG7gEa/Fs2NQJrEA5rS3dh36xRdRThCWWr9xczIsL/NyQ1sUQH40o888MUxDyPShc8VH8bZtspsH3Yxa1kKnowmyRXRp3STwuOJetaAOqLFlUjuDZCs/MvtTkfrtOBWeiXNmuVazJjJu4a3/5tdaDXWfqL8xkb4U/RRYiDykx7Cn5HXPXtm05BjKEVWLGb8SJTGm1aB1kj/+MY7BpxCZBBWEFkYS8ySUL8T6EgyznklujItaCv66Fi+WQYSl8iTZ4iNFtGEFgJ57rKiVoBusHf/CLJ0pmiELlAvn+dcfjP8wMKikUd+crVNAsvUmE4uLa3u54rR8hlNUN+S3BV6toXAj6OYya9rvwGW7vKzzosZT+R3aRRygqglZqtkLTUuU5Q0NNuxcAuyCGkbUdTJKwQHdI2HFwXsBrzorg8/HDGj4w9E0H8B1Iqy3HMbwCQQeDYjbQXfNWE44D3AQbH3zf4TSV2Pgtr9bqLYLwcTopLs20GqGLZseuelBtRJK4YN8P619mgs8EMoBoQ0E2tABrhBe1WDWB+DrRpm8wG/5+JzjyqaVqbAdZwEPZYkf5V7yCuLpke37whYhYyr/GFuk0cGqNISFRQfm7HHfPCo1LqqNt03/ARgqKcWML/wcJaeE9vtuuwy0vcPn+r4irzbxl+DsV3Ji2Vj6fT6KtIWnjLp9SyYvw0Rb9+KcJd95if4HInkpHRjA6eh/2l7VbuWxRM7uCgHYW7J0nAGbG2znmlUmMwzFwTZ2nHNCFzujg42UK7Hh8S2E3fIX9qWFX6ZB+MiJsZlQPwlKOp+1vMjGj57dnKi/iQKNT8xsDJtEIsOG9PFQVgTSoxaG2uizB5YpXOSuIMyl6Ug9QL4kTJhh32+7jHdmBs/bPxcYxaz384pjFxxRJVerD4EfbcJoVj1L9PWbmSAhS0/xVgqP8x9d2eyRyzFDwyh5zr3k9lV7vyYt8qKFYMrafPvys0F2ixxYmY4DCESAAbIY0yi1JfYsleJFNj/+C+1/u4y7fj3gs9fI9kgHsF3HZsrYdBacH3bBV8OL9onAZv+UsTua4hukoAlTwLCTvvDuXX0uQafev0vcX76lGHbulcTn0RyA5Te5PVwPmFwOLqZdfPhUaSFKsoznJGAWYgN1FjXI5WJCfEdfdj6aRLS6RrAIem3dciUu1/cJdk9RQg0iu+7qEWYySJxgtGp0f+1Y6J0Dp8qUgPjzF4Qid2G4QcJAYlLDKpx2h2lhBP4bn+D2UzvOJIFnk+ceVl1mnhX7BWh36vNgeGNnTb/PAqHEmacPPjWuUyvpqZlJc4KRm2DmP9VvlwZjr3jkkFjCBk7gAXT7MS8B9S/662ZwllDbwvKUY7VIifjNkh05FJOYKlT4aF31VDSGXEZWJ4518UD/2C8h5Zq1UemABS90ExIq/i/rjD1Frwtt3BcmYBqkwsTd+h3mBo85QbyNPfe7v0Wajzb3Y41m9WmBJSfr1AqpzhVXIqKOqYjASn3cALga3sX1IgZyfDn8QKQ+E4yo37iMbD11FvY3bjoC7uVvcGz3P4TE3ObbMe9so9+TE4yEUQqX/oS8I7OxWiqNrNuS72KGK2w2DPTiwlUfCzU/rej5CC2KKILGo57zArDPx4mkonfejNvdzsAhPZqxY9fVzNxyxD3J8Ol0zdifRJqXURiyDn4hhcHZ8IF1rcw/XXIjfcYm0O4105v7Cjs9tO+9VnESEJoNjSSigXDbIYyQZzoNBjdMu288chqWKMVN4GzQwW/gGuiJVYv9ythnP5VzPy4wdD/k1MC+/IFQi9RE4gI1Rc8/9GizY2W4XwSilefAkqwaUgONR/SY46+Oa7bwh24eXVaPs8kYPO9rszd7fCMupMKxouVfEZEcVr0rc54SjqahFjd9K7RT0m//Cudn9vkGgbUhmmpD6wjyU84mPH9QXVkk+sgxJd5qr5rz+AaWsyk1KFzE1tGOVqZ3YVC3pxwY9OEJzD15UMZAEfpIzYsEs1C6E9f5PRZbBuvT5dgrmhXtk0wG24sIgo3plrSMbLjjcYS8zn0ubP/P0pBBXPG+iRdLzcI0pVt/DFC7pGaGiLKvF4LjpbWQJtgtbX3Cdet21gtTFDKxu5xsuco4WOxfEw4PwxCfEiZv0uuGxVU/rpg2+r0nKzwDdGA1tWFbokmAmmYI7GC+/PnWcLsIgOiXe33JxRkMUeaZ+K6E59LX3dCFE/OYkdoCUEY5E9bk4P0TMFw5ouOYqJlA9a//8rDjlnwEzGDb4N39D3yjniBYpA+G2qTvdfhL7E6uQ6oOmTglxO13+u9GsMS8oToAAyPxohHoBZXq2vSQDblJeWg5rcWJVIlHMg6XyQjQjXPqG0Dw6v1fKJWvBoM6NYILP4xCs9aJVOs/ogTBWgxZds3HbYqsF9sX+O5AoTcgF212G0qcdeFww07K9emq7Qz6X7CBGTzL56dgMYCVvm844JBbXYRkJ4gOoSgp5JnJTcxWRJfY0Louk+9CFALtxyfqQt+VRUXEeMotD68z4RffGL9IK5QmCjcfthp9dyvw8TG9a94kItkfa6Yppo9MRY5SsRgV08DWWNzC4CSwXrlKlXvlikSP1h9djujQcu7FD6SZi47j3499ONTUhGi+6e8tVKD4qQ3IC8fNCqYUXdK5mtMuRfVG8z4jv5GySqGEsY8rbkTI41Q/aO0qikJ5lMnsPv1V48KAWHSTLiurcppo9EPJFgSvuqL4ebAmFIEL/Aqz/Xr+obmG7KysUn2E+gM91KTGocVhAkgvFYRSmVNO0Y4u4WAlxvpGin5FBvhkrrqOM/O2Gd4trBIkg8J9XeTRYPzEwWs/H6gbiJQBTkvdRl76IIDKuqzOeWOHgNO8ArOv49Fw+ec/hkMtvq2nE2hkLFqskjLppoDzK0OD2opUebp93s/N8HOvr9is+6S/UCx06k3TY0JPP+8ungcD3UAZm02YXtk8QzTmBp19TIRVvfFPSjSbZBFhDx06dBi3T0M4DM9dXYRJ6Wxqe7Sc15tOyAsfeLS0fEvGmti9WdDK4ju1VJm5kOkCJMD89FRU00HMWqCP60VSecCYjCRbuci+BgGVYsj9bNgTLsYcZN9nEDTcbX8ZMnXoP9YylY4MyuSo8DQHA0GME6Odbf6ip0nQP9WFTENEk+4kMgYcWChg2BiJuvMOIgqzmJpDlBT27gUj50iXaq9sqb3li6Xi348uHOIn6dAwpIFpJ05wISuCb6XfNw20zuyK2Oe4rJvnxJhydGPy958qnhxvlmpY7fC7c384YUt8PETrFlkDfaNEHhoD5LVM420t/Lusge08Vbgb5qhcSaxs3iDtlwCjgEtwQ/JDT7K0vADc6Qe938GU5wJrAwC3FrCBvluQdSlQzO8qw30ao6xQOVP6bP2c+Ciw9HwzaOKE/2l3cfFSg+5Hf7jsS4wlfXoEsLzICskw5AOJntLlH6KSbsjLWMAW6F7WiBvZ7fXsQdnJprKIqruIyoz8CGT+3ioZp+3Jc7mS2kRDxNJBPX5cgQMVW+ysd78zDeCctnccgvhHb/5L3a+mFbtMEc9T0rQyOPqN4h970ZJyZIVdcjmR3WbvHX0biYObChw10zYNRhjlzIdNMmasoCz2sSUmPYgkB30x/nTmQ0u5dgwNSoScDO4jjq7YKIJHNkyVRdW3pNw52J0mZNWaHvUG0jXsDHChIZjmjFaO/xbPYtICG9z3nwGY6vNHrffJELseQH51hfY6J6YbtcgjFu4aTWkNzOivrLHg9x61mrCNqdtDS4EsXgt/6JPse1ATkTd3fJHMn1B2tY81914ocMmCuvqvb5yc7EvvJ9cbgUZQchhFAvNYB+mzuBTQ2iWtTQghEOfToDr39E4mTWfm7GZez3gHzeD8prTSGj1UbgP05p6xoM0MR3vjnE0jxwBtA5KMlNsTiEFYbRxJ7k+KMpmr66LWr9Jejuc4whqvKM+XlvT7IgWQEO2fIzmVNfUIQvU4oDnDhs6ETL6Jd2UCxWDtvnJUXbc82w4+3A+0kqMWBbfTlwa6k6biAlbQXE4LWpSNS5iKIA3ST8YKmVtPTYoaTmItiHwtI71UB3ZuRNGSD3bkS4oVxDCI2usqARRoWNrwaJlOBP80haMbiVXz0UBf+Aqm1z321ok6vdJHZX3Dl7V7xHqljLr9ZDEYH1I6KvxGtDzFLJAlFAZWD7NLn7bZLOXGtB9uZ6iuBnmMWfZ8nt2hAg8eoIgaMUqinbeIKe6OLAb2g10xv5IfAFmkT/VjLjcnomp98IuMPMLqlgtxoTZkSGkCSz7zgXayAzywyBea5kMC46OdQK4iEzHlARhpPYEVk1E7/yAYD4SlDWt1fCAfuz7IfN1XVkCxVRkMBDDUtnlHNX4UI4BFJEDHrbZKQjXzTFXS4HhBP6gHG81T20Gnvvm4oAsuGTUlFSEbCkhogmbpFMXAYfdx9VK8DyQEsM7RLBayaJc6hoFuSirARSGZd/kY22eVMezvSGoVQxb2E3Pf7PMgGP74PsfbTkgzzTosCcME2/bMEUJK7pXj6q9Nhh0pg6mAWKnZgtxpfWdb0fVTTyEcxvBBfh9gWeEyhgnaCvgdSeOmFerlt+EtijCLuat7qUanQaEt6S9peCuQ9g65mFKy3pkRi+q/7dcmCiey+aNxGuJsiKMf8cWa7LySzXDcUNjds3giCVtKIgXzM858x7Lv6fZi2rrb7K9OEgIJHOaRv1n72m2qW/UHLyO5NxDSAXJX2NwMnecPmgNLbPXWeJBPPC3Y7FABujcE5HkKGXTvllQgArzDuGcgVk/lkkeRndrQiS6yJu6+pY0JMjSAQ5BppbBOAlCITbC54rpZKZYmZgGP599PK9SbHqYctrJAtnvlcCEbXI8a5bixlCM+eBoRAL9Lo8xJQ4UCymlvWnDeyWs3QlCWRPAToWzQ4B8EQyp+wWRUvLvrH0GswysEeZ8wA8WkPEcfUKkUMhNCfUpo8picVQVRK/i1DDz0tacKYP20tfry8p1XlCzs37vZrRZEYv/AwqllXB0+gXrKNzTMRUrXhwyvbd2d/c6nla52QXC73hg5mZKnfdlPWnXO5mwWndIjw/4x+EMW1+p9knBgQdgk0iQwliuA8/mzSL5Fzsqsd2qfjNAAJdsrIENqa/A1+0Dcca+7tzVVWCREan1m6c3aiCpeJQ+nGS9WPCE7QyupSsu38hBIBWMRU7vq02lQ0q0cJExyN2NKgaH3va9PZH2BYT3bmoWfrlO0M810zL4O269IL4PJPlfvry1vXAEqaxz7BKCKMfTuJyqRYIfdIGUnIkn8PsmWNWh62zRuxwO1BUyNGtkSplW1nuV/5xKELXgInE+CZIeGhPcPx0ei6bVmKzz+GUGsl7zuTKabZ11W2C4Rx/Ut6mDoa0VncKCTf+6Rz6D3+TpZTIUP8N8SuvdpPKCx9V9eOxO1paJORBunXYUmwUAuFM9sKa0JJo2Ykz3tkHxKSF67jOyc3ygTorW/Ld1EbKWcxH4StAlHyCs9WjrE2+++O1xknBFg9aciRUoXUwV2eOyVphTEzMBoKvq2yZTkL36RSXnBdfJIOpFL6CpZIAioZzRZXm4ol1iFSCagmeAT5+gExd7gvJN154YQg/4XYZtLrhjL/xWklFAlFcCgu2dx+QvnYsSDpmWPkLHLPjxdSSSkqVfh52nhXPj3DJaaBqBdSjl7p1ic4C8EUFPAvAh2Czlh0Q75L4smkmrBUDMwYSfGhTby4R75oNFJOAtYdlSpmH6iTJjg1h1SUVJluKc40eRoGmcL6bSO1vdz6C6VoHJQIJj8g2/w5UiMgOXAr1lW9W5CHFBOhoCQ7ZmX5lFO6wF2r/52pj4ZF/5jLjBO5TjAxt5QDH96pXgEm0rX29gxcLAFxUrVAAivsk+x5sH6FuHK7YA1NWHXAyNgttH6HwPkt5de9fR+jrwg8RR8ociZge17cUqqXDlyp7S6+pZOm9ASKXKFz3zChreJXAmdh2JZX/TIQQMi8/QLVEQ6nRY5QBKk13yvvUC51oa694P/i1ue6Hq8idWcLu/niR1pgXWG1vCGxRjrC+HSGpZ14ghcW7Iz5mV1W3UB+ZN4qxck3FDbVYzvgPOWjucfd3E7vE2sa/QgKPpUJrBmJ2yEebtq2/5yoNxAcE7OsEpuB/KkV0dFINNcw2Nn3iIntUpYT6djSVmSIOgEdWWz48CS7GCJbW7I6dmdvFYTwU8tLAPLUd349BSHtr5R0ahPyAHP/Y8p20t17EknLBmnLJjxXkpzdjcMBbZZS42QlA505QJTornuj/rUY1Gmo606Bn09Tgu2Z7YcydL/SZT/AmEXrL98K1rTd5bEcQAgOdjHEhMHdXO1yS/kOY2jbFrmwVVu8NcIQWJMrByLZMdvUALNsb0FuqzgGJXFVzbOnQUIIqUPBXt2gIcU/JRW8HuMMiHyaOa3romxEDB7rf65j5XnOom/bUj5HXizvoDEIRAn/SfWONf79zsRWQWES8nLFjDMeFqsmbYVsyYFyFI2Mj76mo0YLYiFAS9o16Hpg9H3vUIBvsbImtG0hbDJrPuusz3c7cgWqsY5lc5wl3guPXOxd/5Mf6vmXPwDV1xCofHLTvVrsCrKBZ22lVKeKxNin2iASuEnxWN8jZ44ABkyEYYYrieb9NcP8RdqoaPlPNzwhpRh7fpSd9Brxvw2FpeWyM8f8JmlRq06xQSRLWasOWmsYdf+HzK/HXu3MZWmXK+ORRXGwiNGwAGv2Gd/vFHMAGDfE/1k31rN8cmrnl/sedjGVtQ64N2h8y6Z/IYqbygQx6TxkYZhRb0ETSHc9jacMZreO/67AnDJy0/m0l3e7cB2Vesp/9ARqAd9RSjWScdOv6TROlcPihemeePEJbSif3qlQl4fQ4EXfBftjZ9s0K/x4xP0AsbyDh1Gi8iKmXzgMtMMAYbN+rzRkBsJNVsn0jWgv4ogLePMyc27ZxlsOi4U0pA/E/5D6/+jKlAmus4S9F18yzoQPPlR51/u0/pCF686uCGsIvT8rbIMBLoGD1gCiqzLYlYsayCJlZYXxLwvucnVzFDqZ02CLwP9UTWDZm8SiMICnSHNdq8FSl4vAGCPcDXd0pflIITAhWGCDY1GNMA/i3W8Qw2r+TD3+DQuDwWKnSE7Lbsb5NXmmSOckFMSC4GPBzXqwkW23uKDZcoIUtLl5FtwFRxKPysVINW7OW3u/MYd1YhPt/YMmNquurJlM7yJnqTmrjV0T/3WPPzQO/4V3KU+2Tlntr/EwmakNs4vp+/XLdoaOS+VnorIplE1E5/WiZPS6AOrftexTSSa7ALTFFGC0HrOzD43EjKqhqhs0HZ837kvbBe2uFZgZSSsaZYIKDQgOB0yD7A/l7EQ+lKq3M+Ci90K0vemvs77zNRb7OS9++RjaZIO2alcLJpCw/p4QuRo3J4uwyS86BfPtUDQFvH6wmiN+ZVCjlXLfJZOrFz3+zWsFCj5GJHp1UYeJ4l+TnbF948O0c+DcVImAj1vvJcAyAmnXO7G7FiC6O0W8oTTB/7zpL+t1zN6XwKvzwYjmgOwj0i1uJM2ESEJqz7zPYuuZ1OlSvzhjX1A3dpFrBOoSgOktdK1zS/oiYegJHggYIsIjLFPRh6dNXzqw7VkGfA8RTcaXRMkHVW1wLJKdhHS4IoG2pM6LXJYUBq4UbrvDvBJPRxh7qjAbiqW1CMl24ZHmJ7Mnrnfd1drtZXLuDgsJVcaKLYan1IvNE3YbX4frfn8HZhulngCmhSiqexT5EeOLQijhNRB1u7u7iOqSSOAKsI7ET3GZWFdJKjpTT7yg5GhyLRMcX3O6sMw8UuvlMK61u/FQ20qW4beUzFum1zKBu4Nb09IHuggiHmSls6DqlbojyxRvarEKGiJSa0hOkkQFGdrGvL4rwRNrtLjRpjIsQXlu62mhCouYiZzDiHRE62Vtnq9nRl4oM/0r/5mSDM0IDo19h8GKES8CXlxeEyO4G0ucQQg9nMryP//r9i32phx7eM2Xbyyxr7G1GugUZ4NDYh+ukQPBd/E+ye8DgRr8Jal1Dquxe3/wm3EeDSG9/zotzDpkGNZoTcySAgQz+VQM9XGkSG720Nv9ph10lTdQHiuY53WTvnGb8KLh83zZ+Ju7QQ3SqvNKM8XtbVDmBd+CIb3opLkswJIREziTkdp//eW/RDRJa1/MTU1U3je44OLxL4AmXNEjPT/fdUUkBBDvWGsB0Ks8a/dwH+MHnFlHwuiGl0fIljte/kZrj7oIhfEx15RC2wtIFbACkoGcFskhQ+KNFuavCswcHCLgqgkpCElxpg0ThNHwKcwtM4vjiPOKlRKsJcCbK1uybidVC6cVZx+YwjGVDZ2dFTMC+v86RNUPXT67RrWRMT8NnLUiwSrDZ3976EJ+tNlXj1tu/R5jWbBmz95MzhDkUK+pGAGu9PjzGJxML3F0b3O0U8bgdHMKcu0BMUqq/ehb/uNI+MY8tbrolJQhTP3Y78HoEKgFfC3Fl5MBBxzMZsqaRfkEo8gNE/n1zTaLAXHduHbJy4rZp+DUA6UYZvXVAIo4SKO9KJgc6gIMOtqKONA0BPJFjC1tyLaoYpHJ4VE6lbSfMspqxBQ0hFwZo0wZY247UwyaUxxnrvOyWbPaiNMFj/outCSNCKBfLWFpufi3n8Q7SXJNtoaUZ8eVJIwPleHrPy1vcc2/ttuo8oiz/zPsyvxuUt+AZu03bYhKaQ8mwQr/fRCOAb7h2F8gqG9RnZE5IrqiZ00ltoLnp6B06KF47K7QOrN8wpBTtHMswLESe3z6aW+x6Z8+hzrRX4BZ2F8G0QROC40rAp2jhXDX9KLnRZY8Lc+c4nGnCPKC1+NK1oz2h2SsF2WiiZU5VWIrEnBT/2OK+1coCgYhRU6bQZbJOMkVAfcjkcV/u+kim+Wq8r/DTd8mqjv/JozrTjUJEqBLmkrY3vTGMcqFICvIWgNsaXYGciJn0I+0HYktPhOa3JHT9gmUqH1UyfinNuslTZBM8lud5hiNq9nfYZzWCmJF0xxdbGs4q6WzXNfOH9wN2ZURcr3gH4/5E6mfLK1PkrwZNP+KcLqyJyilWRWybkIqMQxvBp1XAC3lkfXlVBtXl+QX/T2WNgUW+9xmT/K/5BHQvGruzOQ43Rauf4owml7gd28W5HnimakH0GWKudmRdVeIjrT1kl6xtPJgTRJOWUFC8/zqaCD2hdrU0HccdWh0J02nmWrT7hjWrFFhcGIEUMErBZUb/r1lG47w3SOUOhargvimtaK1kl1ka69BgCQiyHaLOwJ96kq/LnBUojA2s8+uQMV+IAsTuOjO0bVQYsZmuIBTa7eWjrbX2RkWpFxMMMf5OjmbX19GTjETBQJSCGmzPwqTxMZegX9/cAeTXeFxe/jW/kMHlrx9btWPlnv8CYpru571SnXf+30uvAx14xnbLXiwWZLJFiCU/uHvihG0tde4S0NJ6Q3RMUyXlla4eePt5d+ZgXOg6qAIELa5D7VdhyVVCM59pdjsVq61XD4t9TxdB/yWubXBYcN+ZCsSy7mlkFnpcSn79A/YLw80FUvlNIvFd8EmgKUwwWGo7CVVGXOjMTzPwjd63B3Xa1+hvt3ToZdBREDQ22aO66fYo/O3NNnvB92NsctifHogDEbk22sluOiniIOG7BH5q2Gv8k3Oid6gq3goGhMFlAk++yWl5dyhxRXGvAYe6PdjQ1eBkqgx9a5jIBFM5LlWGHEF57EWagRrrMMpRL3OVkcqJ5zoFfRgwrrFifUZGpULmuG71hjxX74B4KwJ6Qh1eaQlzIbd73bbzmQ3O/VUeTSGKkS92inpgUG3VUI1R0Fc+XtFwnoua9RaBfCq+1wDtv1kSqLprmmePh58cVv8WBxvtlt2gs6g6OuXDNf7UH06/KFjb1l+oMb1NvuVRQShd9UqioZ14AkUk5IeRkQj/ZdUYSkI1Zwr/FY9X5Am9oPZRSlwnRoGldRl5x5838/g5PWg6OTVGU/QUs5JmGgbbory+fjYPR3AIfr/kHBOsuyaMrdFbfTx8MjH1hDnAGhPKqKMHpZo/leHxhRjfdYiN+01JG8bhYJ9ZV1+AVrsvcrZld+Rmlyhk9MYr62CoekZw4BEM2W1c6fwZwdqbOxdvFdXUDuPbACDsd3hMZAfo+fVlPwE4VxS0fr5rTCPX52VrYbRfddcAfiv7PZRuDcXxmnh2ghYVtkjTV6b9YPMh7tPyBHfPgde7UaQxKSgc0JNaYKp8G9TrpGjcu3XpwnWBd64A6OqgojQXuwUecBU1hMbtD9St2RIM8wgJPCJc8og7kCfea8llUo14K+oKJwlRUK+ZydaQMYbBIgQ24paPSpuckZRwsA279rFJhVPSnph++35cZqVL4FD9lz+nnsfashAr1wiBE7+hDnVKP39Cd1Z3dW1p0tIxu8e0vbrLVtCtxuJt6fo36NzQY3qg1uCDJixWOvyAipsvL81g9m45Y0AAS+/2WvJdbIWtTk8rIG+o/XpxEbPqPhCNz5CWUg0lNu9G51cBchinUamNhx2QVPK5+ypC7k4yXF4Zm5RelbuE2CB9BTf1K1rRmOJFFhXBDqEL8o9GbrgPBdP9OL4LjtoHxKOUcIwgJTc3vzjAvKGwa2/Qknh7WB4+huGRCV7AGNX+BzivxVlKRZRfPBl</x:t>
  </x:si>
  <x:si>
    <x:t>gnZnNtZnBaDl9vV2jaxaqgwcb1RpjTqyU3iV8oDEuiAKzVg33Q4zoPa9KWK4ZeEGkp46Mr0r13t4IpWkrCfVK1dB3CItBhMO/dDoaaCNhO3PD1umV8tVhjTprGnR4laVufH1mIyQ+wXjap8gmFS+lCuALs+5pkRE/lXOLTRttaCynERBE8AfsQPUXmcWojKttj8PSzR8PEe4hU1fgvVEcKzFd9ACxywSBN+7y/wFUQV2fq6rjHIl2PBjv9VpbCljRxAmdbNpUoOs36kldM/RKzeIYemTLVbgae5Wpz12wakkZ6gHk+k52CIUDPpsF6uR5soNZuqHfqxL66v1lJK6flhGA8Mo0/hbGuLi+nhwpIxfSNG6uOaEQAZCpaffY6X0gZBZ1S044osAplGVlw5uR5UuunDyojsowxlPMae7PIgmPtX3+wEq82NnDjPGywzOwc2ssuS/H7Zh3Y09P7pDaiMi8TdBjL2dUxgzKHIe9U9PXZ9yhrJtcIaiTWVLGSpWz/OyUxCDLnUMv7HatAsWJzNFR2gbcZmDeKqQP1WX8TUYARyTNM46iJPlEP75GrpXpQTogOSFEjlPKuS6wRxg2NRSB4lhClJfzT0RE4LBSnELTKmGeawbKhkKC+JgpaPE7EtAFvni7h9ze2K5yM/r7afaZyjcqBZxflgvpwKZTXY0jQWph/zddvCSA6tiveZ6PrGXpjn3GFr4FqngBAqZXEox0Urv540kAZR1elv3XGSlyzAO90lMcvuCvSrzD6ztnN2LhV5emwo7vR+LAZpsqxu55Dw/jg+KA49KmRyY7tfyzUIZdfaC2aAMRdWryczI3cw6smC09BXkUATFpNUECz2YPGs/kouDoa1hzk6snHE5hBGInb24599VdvGS8jz7rBB4UQG0/+pzK0AFCuS3aVJDWEUzGudysWIPk6YnJCNlDuMWRKDgJQ4+7TEksXMCqe9tUukvxJtMuBKDRxvLGj8vUTRDq51MkDecj+ov6njzOUZtyAuMg4K1S/2v7+yHxFRlgeNiJGYl/mkHaoz/i/QLVndT4kDVsWCWgxReFNyW4dRhBr+bKXy0gG319lrRALpts2p2fWjL6Dnw02aYFnHTR5+EcEsR0ruhdqGnXsAo1oMyezjs5X2nmqO2bDCpy5DDlYV/ERJlftehXLdYOaqmfY1BX/o0mtxoOhU7p03wLdLKAab3tjKfcE2yvwF3UWT2K/1GXjMV4zYPfoW2m+HSBR0JeYP20s5qsdhPeiRuqIEzt8VEwwzZ9vqp8hiKiMpgDNKSGwXzLWR2ay2//kPwVFPXu1RY3C3KI1A1y+IHEZY72lnRz81qFhhjm6vVl+9aNsTBPpRLQpjICMt0N9DJdC8A9kfSayXnDSXxAemOnt7zIPx1NTEcWr+a1zBYWKJIWUzkP0CNkwMQM/10FZ1xu4ro5kvyWP7uq08vsbdjN4YaHpi7/lwlKq0QMB28opIQzsOC1TNhY3UGIM9/BcaX1Tpe3UaJ+NqkvbLJKqSC1pSkari8cn63Lg4e+PXO4adACL+mYLGbyp1TE8UxWQ/ZkJXHgNKY8xCGJYDeUtLco/kQsuXLVWZ/2NX2fL33Ju+XnvaWjejGXBZ9go6NuEpZEgThGn2WHE75r9K8RErH1E3HloRXCcM4iaRqefjh11qN+nnp8bxJuB03YIejMAktlAYgfEJeA/NmfWh+fNBqRg8Yywg7M9O8t5/jzSi7C70JujlGMc28OzVuZRGmCru4iqc2ZHQSRLMlBwbdVqlpkyF3iRvE6BO011hsQtZZ/otVqYX4kYVUbtkI9PzAZA6e6BNDZYcUxzjnLQ3+aUy/a/gXu1mfnNU0+b2DCmEs5X+SlVH7MZVDfvn3Riks2mL8Zu8b89ICChtkKNvou7xxv55sUQd+zc9aHEAX8eViYv/K//0mKEfssCZpzpH1ykqaKfX1optIh9+sFNC3M0nG1wVIb1+r7yPEM+X7Q7J/LJT0xj+jL0CHKubHgcwQc4vgk6cgycNfg3nvKNF9iCwf6olbSA/bR6GzwgPJyqIs0IM/txtKT88IMxIqfcION6zdyPEdYkRTAiz+tOSyocVF+HNe1NbBIM+HFjKlvuifb5ySB3PdLcpiV6jjLkAMXbGRQ2TGqX+8yg5w364JJ1Fp473B5HGGengKwiI2URdI4LTx00bwfsi3gqfUjsqVZk7ARpU9942jg20T8oiAIOyCqCe3Wp+5RBe9p3LnR/n6dKMFMp9h04Scy1gKIoquOq14taRV9g1nDoevtcZL1WlCPTbZl2Nj+2cMYIiqdnF82y7eWeqNIF0fSkdCdonimfy//hi/7l/sp7LrqoAQdTObpRha/G7MLk4pmhBorWyuP9roxBSn+4VCJsGYqQeWNQMPZibfckmQVLg8K9yvLToyZwjuZmjVfuWopkrwCg+BBgWv4sXTF/BIHq9Indm3JUNXp8vX/8tE588XyrUFZuiMNWMeBldmAb0mAWsB2SdtoVHqB7JHc6NVuyyl41Cp4x3OalmbMv8C6nD/YvDkwTaexEjSJZO7M5FRgVVJ+W0ZQddyDf+pGf2saafN77DQUHji4gbWD3f9Sf7U+CoAwwFNaOSnACvVa7dE/VwqO8V86MnjATj3u4v6Viti9bgvvW2EN1LM+euGaeMGBXZ5RvB7NQQhIFHZpSYC/jd6JAHXGXcFJrhclmIsVLhhSn9pFE5ZHfaefFlD7MeXdTiYPD7aF6UK3bHj3UgeET8vr5o9Tn2YdIjSKEqSs+T2U5dUB/sycMLHj98x570l8iQsxLYWjjZx3kf/deKw3XHXVyurUf1B2FPGR4D0lJH/9K4osEVYLwONMoD5LqOm7pvCas04oUHXVu3DNCIMf93sKKMWoHf1gdzUy4LmjzrJoMF4i3nWunKp7Hh0be74iVc3DRibH0RRi+bB/DZN+tvM7ZOSFV8rcxh2uEV7VNIzJMp0u3lQtDrv2Z2z2DM3tZfCSJSd+IIrzSCksqRfOZXVcYd8f6KhVbfw5sHipSHWbGp/Gz2+eh5vCQ7wj7Ko3nfaZN6IUm4rOpYUaRoxhhKVQYDkiYR6rwjZAGLjycMX5Tf/7l7cSxKS5/0KmTALfBelZcmH2IQbbO347YZ8CMGBF3xTEPAalULksDaExhMLdBbHYkWgn2eD0DgB52LQhYVKPraxi9sU1QDLvQ6Lwcr3ActFsN0NfpH5bXuALRiTqPW5Xrldot9Iuy82CpDtcXD0A/kPLYWX/9O0p+OMJhqotO8KP+nV2rZN16maFlxLa0CZvltVD1wsT5fibxgUXbBM1926vYELkWIj4WnI99NCLvuA1zD7MKwqLfUIRbr4vIRMvGynh7O5wzibfMs5gOdnbuh9popR0yoyv/1F85DNe0FTsBO2o2rdKudfnXbXyT7HSUDYX5vVBL+sxccutrbo7yVp9fMHUwYqvn2q8+RWS9h1v6Qvv+pe9xXmnwkhDPqs2z7YmAnezaaoXzWrOaXNl2r/FoLjq3+7ViIS7c9yAwhyOlloGcVMSfby77wC0w1HyAVWyNJpNxv/26wtoFscAlXefo864bJmmipnS6Rp5l/FaUhYQG7hf6Lcm5vHP4+yCTgwgfIkn8PfMNKXfDpP/O/NpiDg2VpJh2W2qoeSrAe84u48l8qcVmkBn1ujHQpw0NpQlnUXw7VvPoFNEt9ad1hD4lzwlEc01rTVU+IttEFF/8c16+gww8jMuyEoBm7YtOYzSmNMJiowlJpUzG0cl1KwAm+Hai6rTOd/ta4Nn9tcWAzgsd7CpqRSdCHpmLFttrt1XzPZyxb6s8NdLkY2/5KaE6c99QvKooC12Rx+K7VgacwsJbjRQW9OoJr4hWqIarATgV6jOk9QZkyQG0sHvT+aNMsF8z7k73LfMDguxetsQW5VC+BJWBRg3g0TQ61NiV1V84maxeRo9CBdJVOWjoI0m9zVb+DrtVGhnkNlvbK86/Pw/24umn7ZyNLCS1aoiyYlIYlxB25emWgNVfo9SRXS7WGnyz5ZcZ58NEQ1Q81AKCDXgkUJmqrC26hw3V2sBNL4e58FZU7eVXl2aOrNMKc7vDVf5v2hk7G71aYts3hp/TS/2AinpwcIjrv6q7vmKKFDaAraxPNAD3ZjqHlKWJUeTSySlgQhhJEYABh7/xrIRZFkQ6+4z5b5u8F7MxCdGjNEOj3Ry1J5ACsy/GczKDBiUakgJo6ugzuKpW31zCqOh5GjA+hZZovf+B9HGX67DhCDSOquEWibHZwKKuQzgsy69h6lLVKHkJ7oznjQj5++XZTpBXsECBXLkqOZU/gJDE5c5tnm5e8YjJ1qb95X+NUfTAKk1hlJMz3pKAZpIiFFzrWYTNI7Y+5xsqT3zYe27cVwI7ojVGaC6QtWjBpCNMtITFDhT5t6HEjtGrmbWAdLspIdeC72RJo56luKZO/kIx0Js0oUGReZdbayZF0VCwJN4vxbnHP6ww2cOCP/kH/NkPCSncBrEEIRht5VBJYqpGpsCfLYuGVOebAqoeCgUxwV5IBac6OihBHKdN2ArIBkbbPnkaQMkOrF4yQyH94f6ZuX5bACCtkOkCZyQ1FSB/VDAPBb25ygpIzunS7jTSLlfIvjneL8i4EWg80WiHau/6m4lzZZ/QNvLyrCvyDwebNJcGnBdwaa52QnU4DrCL+yc3ta6RIbhUeORi80g0cbHTD6YMAGyuEd5KkmCJshLwHh7R9iA6OoxHxD0PseZs7w0quYrAx2k5dJZK/uUEp+pRjfdr1vTiuW+38vv6DXejCS08kys3qLhEg3rO27OKP4a9PiIacQAAI15WI/xLL2D6kOod5+CpCvw/Oj3XMTkApKIq8qgz1ihyhn09SaSBci6M/Q7mAP/V843esYv+hZfAnH5NvLmjf88RdqzUq9dqGLNR+l9wFzyOv47pc2L2zTx2+IqbkfKU2+063yqDbTZQvlaNJNFaPj4r08VrEgtAjGBO3876gpovWgCh/XpGfOIqiVV9AMoXVsStyATtr2cxLTRM4flq10ufFjy4dZs5OlzIuCj5ar6gYnF5GYeBptv9VpeuW2ebuHUE0jD2vLwrNNgrkxP9/YxdSbsmFLzQu/cbsNrvmfGQM0V+NcyKJNrnHCovGq8Lj5biKxqo+3ZHw2yTSf46vSgUJlVoTsYQ0uTA94OCEU0Osdb1wRzQ2oVy9IXMAl/vmvDSrSSPFJYFolIooXkPEfnB7WBn2F2J1DifV/XpqqG/5w4CZTedPFBjtTIF8RHCNAYAGZTvkwj9bVBB7FSzDtAWK+2qIMuBio5o0PJdiupZ8JgrtT18K1RGqMFn9hrPZqRJO8NTFEkd+UMdKdq86Q20J7VqDfp4Ga68ZEBwn99A3k2LD4bClqBQ81i2vRINbYTZ63We026Y0UiggCCSpONi7WgLB7po2GASqyi/Kn6lA5YWO7x18yuNY28IoPPpf4OmrmwVRmM+zUJ/wO6UY7N91A9NV2IvEgZdCZMeipWLSz+mGkXme04/Qq7o8aNTVE1N8jjMHbYMMvvRdSlKvN2IW2h7SdqUQvNjRClBL2nqfJX31kwxbk+wMaJ/33aNzscpBiEcNhC8sB6apnnNNfRag5V11/PWVr1acvTy9ZDtNccI07NNvl1C4Yyd4hzUsWP2IgT3TJAGutaj3keiWL+FPyzQQ7bqywqxXw23L9dEPs9jjXLBs8uyHKkhewA+IWN06z3nzn5J4BCo1PWt0Dka3dXgtm1ge5Ln9tP70wUCMwDLBBFtz3OyiQElCQvBIqtC2AtIZ6drnB9ei+vNyt5ARdEl4extyYfPce1F+nplCu7ewt51ow3QicbU3GVonFCr5FHyZ2iIPTqOLXtQ3nAxslbsZOUxHWmIse64c5nkoNsltPj5cpvAPtsEguoPxOVn5E7t2WHur8xvAEwSAHlmI3mNmiuuQut691zu7w5MZP66KTRSJ3ISp/EA+VSGMLdBqtSVFrlL09rHNmMRMMfsrInyomA9jlG3LNY8i8+H4VwDzJolcaEtrsdtwpisBC2JFc8lkxjJ2GS8kxPiqdCX/mA4t7JXFyC+NjYs9kFKGm55afGLA5UyQpzAWgVZnlFSxbS6Zxez69+/GC1D0tPyPpr01vvKECKBybwvGY5BK0BfrTvZN/k6lDGinI5cfD8RbLFIWBIoMkn8m4e2s89/SecJ7OaOvZFf63j+Zcdgc12rGNTMdpou07IIPif2L4gN1Myd9tysf3WK2ZrxHDbhGcoU5Zm85+QHa4gmID1/wU9V+RDF5yKtd73do+oZODnZUTdZO9yJNwp5EMKLZxcI5IV6VeBfn9GxF1o6vIl6GgIPfiQC0dMSRi49PTRZb/yjRqkIZeY9MaQx8LflZcSo8kmCrqJ+Rrm+qlgOEJXE+miTZB6FKSQB7fjkSGGzkZmDaz9l5DlYN3DYbvwWiR8eOIUH4bXtkZsOo1misBbDfW5WxJoenvWnyiGyZAxl6XgD9wNga736zOmmK3YgXjpus5rSSoTQb60tg+ub13vf3rH/Q03YzYD7uGIO3YV+oSDGm3xfYgJlBZ3U12DCFhcITsMOYoMBcBq8tqnYhVK2KZP6/disfriJouFEIloSwOJe1v2b7i57MEqIbwh7BLjh2hbId8GUUJF93eXP9+UjNpEoipjOsbCzQwSd2xlP0NlZQcGIQJ6xn2gmtFnjZAv92OagVQD5nKRtDzs5sUAjyp+WqBnASBKGY/qv9fTqeUiI6HwZjWWEcjESzCxLSJILgVtdPyZmSkx7ftbcNaX6HrcuLWgSuJBBWmvEFD8WARR+T18PTA4Z7Gpa12lHU5blYt/B9TCrE16kKYHSLQ5hyieN6y+4euUF/zZDhFTntrNI2gLkt4GQy5KtqRx5d4GtfDLEYbi2OS5oLqE/LzLqFLadvfaHwvR3rxlt+W51L04v0V5CH81SoAa62N47cZDlg/oUKPLxQxE1oni+UYYVmhBrO62jfANkzgP7El8eVb/QKpiq/kGVmLnAhLFEdYF9BtWvvpuT8rp/QrJ17wpzV+Dz1dSekVmFRpOKGPM6qqeYcA7GP0bx2ysFqH1cjeqj/lKsUXQUVW74hp1oZY/M876bOIdtxuQVgncXot8tHSZFtjciKlS2MFRtwBqOEHmglYX3y5UvboM4B8Mbo9hEmxJAou0OM/S+BgHdMRwANfDMPoQPXCpNjBnBiUvq/PITd1TnBHmHQFupO14QXz7aQfwgLS7ghFs1XgiPgo9RKQiQL9T3EtAcoNdDupe0GkidkS173Z9izeZUXraJ96+8dBYymBB1M3hzSWbh8yHl3AWuFsDXcaQYimRll4NoHGXfM7MX07lC5FFajYSFGMotOntCpQgpQ7CMm2PvqSeBAe+vBl7OmSxEs9IHllGmqoKY4B8tcfT6KDHYAp8I69EC9dTlL+4Xyy5BT5jq8fbJyspMNhLl0fBRH4QAmhCsu7QB7O2HOWhvEaLvG0+8+1xfCW5OxuktFaKs1A8d3Z8dHnVnfzrYj+BOaURvANAct/PFBtDnpIZXN5fpRhBukjXQK6YuUwp1ekb9hza+4W5K/JtzrUprO0SPhOyROCVumDwqAA3X1cITTdn7T2152Aoq8nZQaQuI4PrxDOgvcLGsj8tsZ4JG3xru+d5CU426TJCrYA2lL2+puwYfTAQRuH1k887fK30GjHO+kpYDSQS+DZWjBm3+44NVyotgpd7JP0qqHly7ULVbd4j3w7RB7pNymAVbURAi+E+j5kDNE2tHYapabqn70VaNlSjCpogalj94OAvFiotA/7OyxrS4LNOOXwnHBf4u8vAs3yE7HGaOr1+ge6PKIHUBfkP7BgTLyIb80VrEhAy1yFrMz3JpeU0jEzJYx7niJDZVzIqbzLyh3q57bnHoxOZpUJgTuK7EXT5FHn/KOFUvA9tUAV66+uLn5GBVZ/rA7XK4j/RTY02cayb3r3X1xF46rhc0CMj67a0wv2m3c2Hd2VwmFpNPSomJpQZ0AWfN0UebQNhbnWwf+cv8yzVs3roIi+HYv8MU3sUJDJBm0QPqYf3o6buvXaXscSIyKAfNsbttNbfyJxMc2hHjQJRPW71h7jho9uizXbOxj5w8hG8CyqqEeSTOiZp/KkBa+0/mzDbjaERm5+iXXign6lg+Cqnjo1JVaWB3mYwdvoYG4mUUpvlAvgrV1uHz/HpgPApeWLenh01e9Tqg0LnGy7quqFL0/ODZ4dD9kEAbde6cBABzgLQoWVU0vBczBseRrNjJNISlinT+1xf50tuGLw9nql+Mjaivo14JfNqlSiWT7R+uyZ9Raw66vpC6s5dCnII0y8S8LrdmKAwk/L/LQGXLgBPncpBrblgDPECR/JG1YOvu3M69KJAgGUgu87GPSy3ApjYh/WMG/y0hL8BTXIsnlB5M8bDxRInU5Cwsrl82EbicanLnvg64el41bhvWawg+2pe98Kvj71lIwXKHSkjKmBosYISGQlsrvTICfDkHfaFGBUwDfExBj1Dn09vgN5ok0m1EkYoyNbHoeBJMF0mAzn8efwwOZdjwzCTr2VMi0dJp3LKAuNNX0nMbJsi/uQr6nhRCLrC8SDxb6SdYlc92pm7ugnuygzHyRR6hxMJK50YMiJmNhRZer1iYGlsyVVWRHOQwbGyiPurlO3vVo2cJJTvJ9AbaA3UjPD0IdyL837e8tfT+ARUj79HZngB82qZC7NBGf3CASfNM5Aw9JOyxsegIXDhw9DAldjNeYP9wmkJeHD1xzCGDtwpDfLw0/g0IZX9TlhaydadfZ+k9qpSz/B8h1bMog2NvVbROMRZXmMfM/90ifkHYZPKYW41K2BfGO+W48ysaJOOzaBACA//SXo3AFjwujQAUAy/xek7sQK6dsUl5Jlj8fyDpfcN2wOnFl/kh+QGksph3YF5pBkXxriGbQbLBhnKTcy6GKi4gh8x1C4aseDat3rtfokpcMnCDPSb6x15PmaL7AM1PDfXbsFIQgR+OmxEph+gZFyG9MrEl7jvxLi8T62YMEEq7clJMPpKJ92Lful7tpfHlK+NeVl/tnPkoSkQmRKKz3LvSE+53BU0ih992ppeMaVHQkMNsxcQkJpnvBBeonPxls+tKxJdTk7b9mm2/MrUSHEU6BiUViWIfc5WNQJX1YkrtbLPVGlfwALHtv4hHhqCABMTfQLuB5kI0XbLpQacV8e0DPcsW1v8Z53rlKhHfL/6qA9KUMMJP+nS4Wg0g2kCrcADmfHD8V+B43AreJT353ASfmUZV6ZyymGwcitXwuin4DN5l68IaIXp1KcO6QcLvnEKY95y3Em6HABddLHV89MueQqjvbkOXjqeBUjmjRiXO0UjHMBiaJ08uyeBd706Hvq3yhOo5GTvuxfri8iGX8UAggEWaT/fbzWgTMADSZ5kro7X6TLLX2V7ZDdNzk3ld9PW0RGNbg58njqdGqaxK9WPSIuOaIEbMxblJ0x4GC+6N2J4D/AwGQPsnvxBjoRi5lg97zOb/vlxbBXMFZerWx1eC5RE/i/TLlPeQHXCD5Pmh3G996gL8T0zslTEPN6oBV0KwjIjNR4s2QZay/1Q57/5KfSzfcU9Wm/Gn/ECzqSmD5Fl2BlonRE2VgwvvZ06wWf2qaBx96ZfHRHwOctz2JcBDT10BuZMubKqsVdCOnjr8cveZtVSxkFW+b0jEcUkX2B8Em/UqogC5XYDQctpVggzUz/hdl34EpS1Z3EBd6jBjZ6cN2gV5SGha3GURmEq3/PpnBO0ZKAx95piQbX7HcnrcTa/f/0WdmS0oJB+6bOprMz4Ogpzu9RF3xDkkuytgSqHWd5iZW8irCH5/tfSLWI3g7AbDl0k4E7iFc7O+ZcFz8s8U9sj//ucvBn70DGiq50rece1/WxEwYJZ0wP/i5jWh5S9wpiqxv+qANdsKWgEjYVT54+Fyo99CQJEOXSQkyyu1Bhsfeih1szp1ea0jo0LOeW0w0M1rx5XnfAhbJEAcupv+PoSPRYjqzzN1o+cAUdQzyzbiAqvXx3SFpSE8TA3hhLJvxgM2v0CZYthhPw+JhIc7r4CKPZGuoHAw+K7Dm9kGpLFExnj4vlNlmOXRnm1Dgj+WvtsbOiSzco1Xj2S26C7xcYAA2nOsCyHXIvFlEKSNEshb7Pr2K8ta/wQ4wQknskJTdrqYcEMmRj82Y0aNyI5pYlMyaIdogwwFMLv2dpWG/ZaSx3lMqqcQxtM6+lmAbkMTRqvGPM69tHVfifRaUtH/7xtL32d8LDLgYK3opXmWYpQWMYvUUnvnfrub1jayQdQLZlff8WXz6Gp8RPn640Rp2qEcNMn/QAchGctQXB+nVa1GufRb+R4vIASoUQ9Sjn2dz1Uy1NljzHKS0l2EoUUfPxTUtHV9NH8g0Rf9/X7TEvQUapcOoevoH0CyPILJdgTsI8dZOTnu2a+IZnCMQ+Zge0ipH6PCvyGJj8D3r1y8v7MbGzJ1xaQ7wfc2kM85ux88JFKu9H58w2N72Ol8YT9aroOr4bzrWp+Lpe2ENaogk73N48kHsBh0rmld9HcV/z11fz7OfcGmahr1Q3JpgZcfNNnNhzvDwTM7GB8F/ibdNdQVwk/LWVeVDcby5dexMeCbmTHwrHAbgPEB6TMRlIXX/5InMGaLtb7Rteu9RavtPd6dd3lTXuLHQpSuCwk5p/wadvDlvagvI2Rq7L/LNoFrkCcfdTCEuhjp2TBYChfJ3sc4qIUi/Cy+hyBONE0tnIH++EaOhw56zyULcS0d+EgPrUsz1JK1U+wCGzJUbOwzg03G85/eSQwry+aEZFBZhjKVq+pM1XnEsMMgz+ODH2sJPAFrTs+lJejp2sHsC9PsI+NLTbFPTnyQ5DAaa+XDFaR0+rkH1S/+QliFQAFwhvB6QDT2bMseH7HpTaOnWYEn+1aF/e4o07OsHdDvnTAawQcSkuLTa2Z9zoO9pcZoXQGEyi4iozOdbheWy3I3sRA6SPKrhl8igXPq/rGyqIf4qAcjZVAWGNsWxodRPYS8ZbDw75zSBgWJyuNNHhFI9ciMGsFrTs/2QA50IUXmrxlip7QD2gQJK60TDG3EhkDxH5I8UrraxcWjpXhOpJ5Bb3ENqrtdKEHJeBHzB6KcOpWhVmLTLVgVAeve0wHrSdfptDkgek76OqYYPViq/KxbWbn2Ybv42x3OiwfA4Ic9WLuCYklRq2yKDSeR7LhVI5VTGTmkTO0lT1eK0uPp+2vgTU7dThcc2sNfKi8F2y1k7CO1w4ZZpsL4P2/jXUtqrfR4dwzX0carb8bsz3ILWmLBX9hVjHGTWn97lNs/dskvj4B3YjZoJpYH1f4z551j+NJ9Q11XovwduuNFn2rvgwQuD5CJ6xNkDmDWwoH+PAhE6FXaA/gOTyrkEoXPsXW5gicrQSPvn5Rya0Zl3j0dv477Xbu2seLQU8n18q4P7ySMV/6+6Ay48O2CrcP2a951vxGhtfmohpLC2kz/cBQRvuCsXzeLfizh30Rl5lKgQWciOn/PS3oA3w4GtDYaPiAOhZ5DbnR/g8GG1EkdB+q8zVIr8T4cOj84NsAP09DtCnatdgOnk+O89Lz2kfP7Ebg9YwO+Trh4o33/FjWTZ6H0CTcI4OeAcK/AHxcmNVXol3EmUue/F6QHSncvj1wVuqtKqO4Es+ia3R29t/mUNQbLKIjNkKpGVkJ1RuN7xMOJLMAtpZ5QZoHrb2SRwWrBmz9OfFrz7fO9ceUy8t4hjAuFg/OpU+wGr6GTZBG2cd+cD1hbZrjY6eY6w6TOBNMUrJt+gYxGCeXQfJ6pe+XDDu7q88QLSAB2QPpv+f5fm9mV45u8UFeph1LEx+X7J/wzlpZucX4v/DcXS1OZtzS2/xAwRqPgkD/bGlj9W51kCEo5/aT4hLHCJ4SV5BdK3+iAfEOwQBLyY8xLX3KHTL1kTgvh2x7Th8qV4s8pGVC++2H3dVqfldHUZAzvJwiDWk+qlsw1ZS5TWQlzwv5xVy53b3elSHoqEJlPN0J1U/yI2YM/riV9+E2cVRzLGLdzDu4d/uwFrh+NiX9GrE+J+YcxeC+F7re+Nm3yPE8bwo6302MrJI8s/RXKxz9jDKqI0r0FTmnrG388Z1vsC7s5zoaoNYKFmKloTAnq90HGwglXKPMkL3xbq+RvOLCuAcG52OjRJ8SbmjrXXrKK0Nk/OuVbQIsm2FM5T6bMILaNWljOqNc/RwwA+CaRR/ex/Wuzze0kBKipZRR3AjLBMqdZhXi5/3vbg1o8cxRO1qdEc7p8cp4jAUiaaSERYhafpHHdmx5qi2VAAlrOCv306vAaVyxGpoiBecrb1vYhjUNqPQRPPB4E7DcvDFSIP4RJs3ovdkQ3itJNMHZNw3Lz8/qBBMPWQlx3+yNjAJmPWfAq08YEgKXdktBEBio7PBjgaT+lEi0JDjKY6jUcIjY8wv7xNdv8muY+XLKSV4NabwBO9FHIxwDHGOAdUlvRlMNmMnH7qg9wfw11W2Tb5dSuwqB0HRFax1yO4aHl+/OO29vGYR2jFkhZ7Gdjhi3LDasjTl/pdN/dtvSlUHG7Ouo/hrTBI2iObeA1N1lt2RjSN8n42t4yk6kPhAplHhsMcMw6vH0/azCcA7+EwC8w0oIcUbN8UwdgGepGfSnaPNrUIqAD18J+tBNlPZqmc5OKcJVyNmA8runsneH9uOeGAfutavd+O8NVK41yFaI45784s2QNcKTAZLhX/aBn0PMtaOwnByscZN/Basg2XgSwPcrOAHSkqk85LryzzhHD1xqNFNgmD4ZZcMnY3/iq6Ar0fAFEK5WMtIlA+Hz/esKXqygq3Yghw4ydXejzKa/yK2ITtQw+pZIYW2nuE6dPUOzgCndiChMtXLxvWuMWWdKVD0sexWA0lSIiG1Z8sK3z23TOc0THgOYbN0lMeHDmAihr1VahyHXYIoRAxsyuECIkZSLsTKPZ/Dh1TGCsJ8839iwLLf4r75eFumqWo3bR+dicmEfWhCGEz0dk2NoPVndXLi7A3tdq7/RyALBM7dxOdFUCpey38CR3LRnjgtTJalEGhfi4GwPjFbHxarADymwq8SMu5mUhoRlwe8vuLSpaQcM+Nd+PqCBVghuBwunLtPrUvBVI8jQHOIkSLTGrMeD3Qu/XcZoD91WOVtoRR1rv4mnR8/OzK0rmpGGZBjv8xhBTD3IsOh4ySva/Nb7w3xUYlIkiEgy7aholJhd29FJpOdSnBmL6BVldPgVNV6G7BmMewaFlcZ/16CR0L0Ww2//rQHNZ/Fyg+w8A5qoCZTrDcWV9IiYKKTmdJyk5qh64y0qo8KiqpCF6MfjQ72SjcPZzv7lHuipLY/MA52P04sA7zeNUK6pCkksIMfg6zhhe4jF+cZDFkfUBVgvLwNA+7DhQZfL2UeBxQakR6yg/zk7mi83xa3/QSY5pOLoYivy/TJL0dwgGRUwLJkWK7hQoqyRjxxg9Sh3GZJaxtvo6aPRnFD0G/CY5g4GFOwMu90Uf0AKzCRpex7tO94iw5KvGtw9/WNRxT31rcC7lAnyxL+473IY4T1DYtjko2GEaLlckt6Tl0WxC3BM+9lpyCkh34BjIr4m0v5y7xLCG8y4ZDGl4KHSmhtoWYqlXj1C5DMg5HzVXdHdbSimn0APMjqQhmAaP3Rbokbof+DuLQ4S90o8BSr9kN1LMxiXrM7bv/5B2cHIUwC44T0yo9kCsh13VTd7/bDZPFAJdZPrtVNXUZdTC96iO65zjpO3+xYWtdtjRKMt+awj76IEvdeRziz6FQ3UcA17JegnULYQ0gXai18mRY5CZ8cb3MGtizL0HnkOmrDocXjD/pfX0HwdDlSxVGOjdwmulY2QuVm39tBWwmpsU5GxXfdxnX/KPsYpDsnXOT5sf7EmzETelosRiKRbtPgA86gXgZ12HAJhRc6kuqAATcHVcLaUoZWl+PptIu9/VqoYxEQFEyCH9Ps3C6+GGYparg1/YWJLXF4BpJ8vxgg4JxJwT9e+ymhMsB+cmwNx1jLxtJLBeniONfWGT76aR132evLr5JBUltlEWjCnkph4gSlARORPnl/nOOL3r7stiXTW7WnnRdPbVEmHu2BhtBGveD9XfHynMIXD8hh+nsx3riwmGc5sRMhHYZVsTfQN9d8t1JtFMO2SPoGpGeDplCBeuzFg8Lp/gNAHBvsvF5rm9AXjM3C4+bXfV0mh+lMoCI+eSGu94XPCXJKPYyleWY/O9Hpp7KHZYjqUCKIb7xHxySms0H/IZBsn/OMKEX9oEij/z0LS0JMeTFkB9P64zVqgZ+KjF/ldvmNpd3smtseAfxD3xqiBG+21RnR2/tNKq7nrR1Oy8hfss6gw+it0CxsqHBT6eSbnhgkf5q6BdZlDDq7nIWDMtEolRE2VfVtJBLXt/ktvBxvMkjcxfApv2WaN/f5hlHJ4S4A0ZVIGZpXCxjhfM8sGsFS1M23MB6HkexRN6ZZ3pQfJVlkh+8XHTs3MkgEl8CYgwMSiGfd4X4romqy8e8sUKJlmXMZeYXq9JbzI9J6+AVGKTSTysyAL4C18EoL1cNaMHG0gzErNVW3BDBsX9nQsHxEV4pUF1LAsQC+A4TPCXBQhB6p3lvzgwHDGQA8pVqwloEczSQHFqZqlyqQotxm/IM9k69iN8NPpY23dyVXmsMApGxsoMpKEyySrp5Yxb283LfZcWjrmYkXRLgL28TH/6L8v6XoWZ4joI53nur++k+pThBfYZ9wnGb1dd6ZrkNUIhVDGIJn5CoV/i1Qk+3tQAJ+Ha2dRSGKh/YAb+z+uaqHGke+ziTLpFqDmq3yc8VmcDxB5+DaoQs6xMx1m7trMtOyWQf1ZnwhWzW9kajXj9QxwWqfNH3ZjZVdlfjus/tNm+CCJ2GRBE/4EjliNNdxcxIARwLWOIXaoMqS3tXukFDHgtLR/UR7bHIMd1CBh5oUOilHuZD9qFb7pH9iH2qRmt37WRSA5jhoWrniCQ8eK80Tvk1jmHXA9drdT6IUHPKwuK0TjIcZ6MvY+lmU4sIcVuBAxHrcd4icC/4JuwgZYwgm2LxxWPFDWYFa/Xi01djNYsOmV0UuNOCsYlHRNtzBPX7jo4d0Vx1+kUt3kGtvcqZwokMjM1yZnSyP1go2/wxdP6YtGcxnOv+gZ8MrlQeib1jWoiKdSvTgdzJ4wUIzEcUR0e7u+8bYw9IPNX9caaQFj68b4csbouj48DVemf3dNnCdN+fuIuWA4wNENz+IcVJQ8NSmXKxqTSmi7jzLyRoZEq369Q9g10fHbdgz4YdkGKQvTDz/pier7U8b5oqmP5ItQB7IKU9jCXU8K6rPCNrK4jacSu/7jGx0Pjxy95vnLG7hoiTBCbVn8pDFhOijRgFU3Z2lGsrQhbHDb7RtwFKOyTqBc5+0p6GT+YznZJZI8cqlaV+72AxCEera+fFfSZq20s+eWEDG6onnoQRwE1pEsIFl8a6SC7Y7DVJZ5CquebaeV3lpAcVE9czvqajMk1aOvtw2FCWPigoa0exO3Dikff3FD3pT7Ma0QyQ5pgE88Edfg613SSGWtYH8peIJ1tAHd/eEN72pPwmJlqwX5xQvt1fZRS5gXvGGQpUvPWZhM8xK4MgpR983lsX/+heKDGzt6POeFf6R9pZ40+S3+0WycMIXsroUyi1gW3AIuJYM7xBrAMkEjEVbB2RhrwiIh0/3QQLZBaNJjUdAPlSECeD70ZiNmy96pxXLvgcaC76ouAU7X7e6u6zS//RvBz0lboMyP2v+YxYQCYFCtSv9lu/l16hBQB8W1ome4gueWcoWAV5uLgRNvVjgBF0fop7NEMgl1iemEuE5PEppxSNP0xVK0xwlQyNA4NZKukVzZjgLM9FzNGL8RcHqEYQEUZvHl7UJK2PGmzDDe6THHikq8DG6TBSnU0FPpPNldWHjoGSSKPxjcV9elpn/VjxRsFkeqFiU1owCpBIqDgPkSl9b0FCCg03GRjdlJx6YySWK5dyV1qFDTzJXRvDRj9wDhRgPHn2egmmjtU9XxkfAkJhW/1gdChvdpTwF/+YGfyE8JV/t6zhDzbDzlcHD980yAe/j8c2gztlgIoRkTC7B3fINur0f2VCKj1PFNivKMKfFG8y/EVJCS/E5zukDTfmyYcZ/1tqrN+AQ+1HZONdIzTzQdXNlPv2yx3MLWao61xtpj8Td1HeGjIaKfJjLbyF6Zy4aWNFTb5Kt2R5gv942+NxwsrSQatW0Pn6NprMSLWNS3sW0J/aTWtqXl3KHaRv2TQXAok5pcJNWwvnYmjn8llVOXi5UMgSj0uzE7YeKkJuXnyRwig4hTQP1Fit0ZHwKcmrRD26MuooqpGSMWwyrfPnfS2XvmmY3uySEViKlaE2jLkNFzJEJY+CG1zFKkDAh+I4DUK3uHuWFwke5iG8PKzziD1NqO+d0jTW0k1GR8561TA2GhrwQolFQdQqWgT5ogABluBFKOT8Fm9TxJcJOL1QquorH11Y2mTFh01K1rXXVinv3/LtuDqt45Vy9RyItJoFuTSXEaSii4ah+t9mOkGPdnl1bGM3DGKQZI2nGyFJK/8rNiwVuOVW1XzSKevoyRSGH57NLdRwB1hsgz36cyhDiRkc0CyOt4d3lV9thhmbkVX4HS5LQRR3EJtANkKINwp5DEbX1IXh+GWVdkCPPjqwPIAqbu5LiEqJmdwZCvhsMX02Q/df8hAFxf0SDOfoYsJs89tQWVjmVMXhOnTZc2u/8lxVdNHBsSB/USa55zedIXJf4X73Ywov0jqSnFHKoTSQc0T0xfV9raEELd8Cs30uqIoXPjffMmVkYySA/GdI4i6lVNW5j4JD2FFIvqwvOBtoGTF6/NsETABh8bZibwMxgzdtCrU5vbSRT2+sZcuNC4EYOjzkFe1HcbDmXph6nPFMYEfwP1ELhHneWuLpqhnc9rpNm15xarSIoPxknl21icZwF3Oym3NHqnrohh1+0jzfRg9uY3S5vf9PPDiD8CqQWGgGNP5VSbfG1Uvk5ob0h7J9fAZ2xbH9DQok7hW24taatjK5nHnY5odahALqTpgGkAoyA8hknTVf7jLd/RnQsCeB7+VVYfahh8DLk+aF+tHx+XqZdnF1sg4qJ/zEAKHhFSHu9HZCL8Ml2PClZOAHIczPhkadVEp+Eo/CZ6pUtxAoOCH1eIAUY4FEYn0fvEm0iZb1zKXu7kCzaLT4E1wVaF5yV9PiWUXAofAbizTUMZYyWiEToaeItq/0bYSMywkbTY8GIv+0nrzBMn47ivWIzmVxC9SLFO5giRFaJvfKCZiqo6hjZzcIYPzygdyF089G6OgxFqo5vyeTiOgGZt6YbL50SmCULbgEcKhe6MA6iTk4HzWErevWVbRSPatQ+a/H3/CFLhdc4E4OUY7otBBiXfWXf6GduOjoar6CKgQsEg8MXhAcBB+jLGrUXpD/a5lexMPQQ4ShnWeePDUHLWdGZiOY4bsjfJVsUKx9C06n/eE1uo7Qyq5H1BHxUDKfcT7j3sRFp6McBC9JlfiKHtk3/FpdEgK2/+3v7tCQwPCMYFZjV4xDuw5rlZifHksHPGVTaqXwZEh6iUdDTvQXiGPah+1/Kz0BqjZUpVvuB1RWlRVIypW3B05J+JGPGf92ePjQ6z9nFZC2SRpQqi6Q8efte4YHSoGX1VZXxG4KzDxH3uI/mLeIhGxuNm3bew50phtIOT9p2uNgndBqfPYMy1C/0Mpug5N5S4c28J7h0enfiaOMhzGqfTNXHiPWlI4+QNYAAC3L0yfiSwK4jkKxtzOblTwEiPTSpYPSvgFzQn/qnyqtftTjc9rBkXYf4cqgWRf/sWglyHlmTrps/GyQy/8/8boJ2znSCRvEeJImckJeUTlTN+YwyrzTVtKVkNLBnTJ7zrK3PV79dSZqd+ehbqFjruENTNkFi902j1tlalFN+glXE41UX2oPdmvTQixKk1iusiNz65OC2DGqZXw/eSB3zhNimtQn8zxTVR0nPUrLOt56r6FzfIx4sFUrwKTQZ2JeeOA0IWz3WsJ/Sec6swpvwQYNYaC6GRPmWuZ879Hhy9PCKVwdFhtRfD+yy1KlA5n0bLoifTKZjgSaRrCeGU3mtVstc7IWHqt4bBtJExh+BNzQAOJgwQ6qd3cXD1KYhNDoavYIg5pKFM2GmFqzyhgadInbrj3IZsb/9fptBLIQdbf3upJcGBhPAYAK9Zr5YJw2pyHswwQPBvBzbYB+kuiBH7S6PYMojgN3LbyG2+27HuDIbOO0Em/owXaHO5Eo27VcUAZate+NHdresRshsSLpvPt+P3E1TmQN4mFjtUiIYWRLxMN6yP0/alUegKQsAzgxcHq8jiR83B6hOgI+N9xL1zxqUvErbCfxg3H3RGdgPuJ/C2vLoPynvRk/62u3XQDdKXMvrmDkEWQIkt1r6FJsrXJ7kuMn2MwaCqWYXu82dmCaBItXMC0wt+g0j38hoY5YMMiQ+VVR2oWSCDyGfWb6A0PAzPdVomgDBAK1zzhs7uE8uvfJC6r4/Ap2L6h6rcnhuaynz7GY7yUye5dRLZRKPukFp39kAox+8L+5gRy4SdsM1m3KcnoVW5sdsv66VKXCY9bpXsMVUWo3ZUUQLwdO9S2v3VQxTZ4SKv9F/LoUiq5kUMTvtlBfJmvi+KDDFmRwwxjql5s/G3KpCEiUn1qrIR29d04djRMk5z2PemLAk4Y5jCf6pENNt6DBAwo+AWVKNtUr7/iHhfGdGdwhybyoTI2LedhbGZyenXFaJNwI5zPKQoD+bWyzXHnfOiRvVjqVm0j1PwNOujEY5iaeYcTdl4NbKv34DgdGY348V3o54uMkNwErWtLKe+kyIhTOw8BcRZ1ZZDhyZ9UxlvAvX7pm8t8hI396Fa+f0sYHHoh4wvr7h/exTuK+eYvRaLSEqzz9A8c8FyNfv4v9GNGl/fZ0HzFx05ThcuuFNhxUXZh7uFQb0kkTBx8n9liTb88py4dYzCPpkiNfarPTCf/l2aWZxqhBizMidaf+Yl0Wv92z3/9mvO/rja7cfBcVrxYSkCw0LXnBndDnpz8yfjYHrrYfC8vEwqbSFB9hmgrEaGvOAKRSd5+/gpr4w8b0nKwQszj1oKYmr89Efxa50Z3w6/vknkr1ooeE+zt+/BiTXdAbtejrLUsgob/FWsKFBA7TuvTpjiz5n7/rjvN7SWjN36YZVlNYjIimUiZ6W/QhcUrbVV7AQwPO7qh8hkK4xRUQVbXVYShfTffYN4HRvyKfFSp9RvKGNPOHzExNRsT3AsEeZM6zzf4IPXq2M/BxDnACcMGIbPJjz9/TlClWP5IPv7UWm8UM/p8Vxr5Cu94ScXny5qyTLn/et+Nv2IevW/h80fdqCJkIQ6DFQcVIvmZYp2Yw1ShNNJZkFfXJVKFnmrTTiDYxznU0LEMC/EJhuOCCLG0xE6k/xSe/HO3TlMWCg4JyJArGlvodNNaG+W1WyTp2Kxx9kF9ltBfOlCyK+Y7fwIECNm6+L3jYvHhMlOGTWU8/bqVedn5DS/CAjht8wh3TnWNvrGYkQzYBEQXPsYsQZ/+EKfzbOwHtUZS3rWcGjTvJju598z038RTWhixSCYbj7C98DtMLiaF7ajCcVbCoJCPiieUwqQQhv3Dd4kN78e+rNMrEz836/LI/Tzrjvq//pfIQddLG4aQ+VddmruE+TuT3RG1RxUSPf6iNiQ/PweF29Z+OIPX79R7nh7P1HeEscy3Njj7meAfsk3WVcYQk7pzIQU2XzkzKWnMkiF0ESMeQx1jx3WA6+YToeU2K4+BXhlNXdgm0JKYZY0ZuXeSjKIFDkJcnz07tuZTmrfPVo5gEZpxzjIQX3mSH2d616A+ucw2W13r6ZfrKpHD36pEAbRF6igzCxjmb1s7G3Po8P8JSaBpbE4rEZxaF68PI4sR+U392IjZMz0fNrE370rPDlJ3OseHuJcihfadN/lKPQqfEBeAdBTTL6dVuTXpOsDoUtY51lardG1JFdJEpCzCJsJFk1Jx9ffPBFO94CdfXOfj5KP3EX+aDTeeAJvrevyMd/v/pkM3XOZthoe7YJX7iPqanMEXkk1QjkY8zcQGsFQTrhinrC67yTP6Gs+kKnxRlQHkDdW4C/+SrK90E+qHa16h5+5i/AJUEwnjAMtPl5AXfommEktCLt3oOSYcP859q9HCp6+MBCRkeG7d5vSbIvNUx06W4Va5ob4tVCBbUxfnX8QuFWmtUn1Gg1lanXFnIUq0WqZ+60HY5HMwf3ilruxBJziTo7x4Ce7ovd94tOMLG9d43ud+QWhwhQvpfPrAbKhmxmumWSI8Q8hw/q8xoK8Y15SMLb6AA4m0ZwgPwzF5ZeqrLzMlFI8cFVczH67D3SYOKWPJWVKDy0Veqz84dJvrqJCPVQqd7do1o7Sr8Y3cZ5cgv/9GWpeQi0DFByrqdiJAU98jGCSRUlI8sDnzVeJ3v1ZTsOgOq5WCMw4ZjML8SW2swc0wS7vNsZHrsymkFpeEKidlMa5FH9dddgu2fGco85UYKMTCKdRHEE4je0wyYNWA9NwYiQpkU5cba69ImYmx9zYycfVEzEROtL7OMWX3PMo3AOLhxAfju6uxjFlITGS6nG8NstVRYGaIYlI98FCLFnXU7z4lEyiHuhHDbn87LG7hdwbxew6hkyzz40oRsggE1I6gbjjN6x+X0ywKHYe1Vfp1+vLqERDkU3KpZiXe0NqmShs1eByqSIVPdvGabVTmsJLTZoih7k1mJ9HI3rWv1dBfmO4oi1cSqoOYBPxMfhzLS9XkivDcjzyT1/55ZAGaUHeZGm0e+OMsjthMUbSjzTBoqluZGvrzXljT94xAxJg2dT0tctwVBcZ1GffkT06gq92EiLoCCingoMkTN6gzSmGY2KX0wNFSPlFEChO+WrXxbSWAGS0ZaumDqZ0fVtK2c2jLHxmydt/UEdU09r+D5Fy1hct1wCId6S8EuxW0LQYobT8Np1aDIUWE3y0pa8BeHjL/BOSeJIDDmSlN7k+lhK22jTIXpp+Eq3plQQgbNQzQ2qsJOqN/wHnPmMCAk70lCBh0FDNtDBpTqwN2jD8EAbRRylDALGSeBGZMjpm/wMRU0ikBZgFNkvEsxQvHHc05DtnxDFCG2/Brz3yU+VmdkMFg5Zx6ULPMn+Qk/CgUFi0TXS1H/SZ2PZCNbK0YnHreil04gJph/xhH1tNUR+QevBt0U7NhWCd1JxYybsw+7/JlyAVHmv273bwchctLY7eq2foa297zAJShRK7NlJodTT1qCtpYI0j//mX7BMdKPDQ9ZYqsPsHL+tMJXG5cfVaDy1Sgbb7RqNVOCYltU7CeVQl5CymP47kLFuxXVlyoCDTyd+zglWkjuJ/3hJuGC/9dVB6HLMRGMkV2skD+yN44w0oM+M/3byHWeG8sOili3CDaF0Dcp/GkglvbHkMYIDgTn6zUDASxAIs8k24A6JkwDNVbxVuIdeKY1sLWBJ1NoRed4ty40X8Nr5vihoateS/jqZWs9ZlcJaZSTyf9mPCwWy2einqxHSSqampg1M+eVRYB3SGZGMM30kzjEnjct3w4NZwFPRoclal72CtbYkkqFaWuDc2vp2YG+HM6h3xCeOsR8C45yfQiukrvW9pKSNUDoZ8cEEOImc8bVyOGrnZ7rllTlTgOwBoXkWl1hBJr0KbYKEKAYkLBcpFkWe3tingWd8dl3LZIafcdHPqtqI6UW+LRJACPaKGeMbZAM6u65WNhMscBQRFqb28lKD27n5El5JGee8WJAgQh2FqCBEic6wN19Whu3TxifS+/5ODGmpPbmbdN2Vh7L5JL2/6L+fPUyi/ZORvd8m5XJ7eGlmNiHiJMpYBSh3Iqo6iBl20p9aOT78ANrQqO22RT9sr2fKvlf6alhycwpzjSfpbm5sVa2/EYT10ZUYFpEn2QnwGLFHZuSbRLgFGX6R3QoHJ9BEgVSg2VYq8Xp1HVweLauyT+n/fWvukn32KYJpmFM5eBF/8HSeH73pq3PiNpzplAebQ9xott1UQjZKfRjMvmLOBp3aiGJDdiL1SIxmkrVUA/yTu1qqUBSTdDV75BwcUaQmdjQxdz6l/0u56iLvXAavv1GKyeb6+k49SQFV+2LqCT/wRl0yVpGPXn+9nz766Zf4JA2RinYEVDKM+jA0L/M90dQpuqCBq+lP9EkqYLE3byilBXjRB42vGdpcNHaBkwANqPIbNhRES+2jTJPGjvjY57CCkd8/kTfSDK5fa83YZJKtBCO31Mxf4vI2BLDBoKEno/M/UuIVJPfULKxz219aeZq2+LFi06XRVDaPjHoJ+Wcx6UsupqJroonIAMP/wq8f/If5/8nXlW1CRBb6hJUFHB0FCAMm9BWnY3e/683hB8vrOEAnMH6qAgc1oo8iMVmN9nVvHsTr2AwizivXfZGAO/RY/l2qJB0Yn+aO8oXzsHzeEuOAIO8TLg11BEt5KloMYwOScMH9G+siwNzpcWXBFYDyR3t/47/YqgEMvXaFdgYkUMQQKEkgdVXVvhjakTUrIpP9sM04wAM1pqPAkDu7HeYNq6zRei9H9OyUcmWCpHdHOtsiNSOLWvGfrRW/hhKEo5L9cw2OAg7rdEU4BD4c/gfJQ34SczWE466xUbqCKv2cUgoJ5aCa+CZsxM9zKpnIVsozXBoMD61xxk3p5T8GhO0wDHoOYx0rgrBzi4zsXwsLCcasZtdqUHg6ZwriX7Mi6OIYlh0oXqTosisCm6el1T79rLmepr/PlMcRqVY8uDYDZDwFOOUocip8BjKj9h2zV7f6xf/2KgQgvtHecDlV7BPZ9L55KrT1rifrNVoBXMHo4XbWeS0GJHSuixF5xRiJnyTNZmC4yaUYIyvvpPpnxj0HOWTQuCM9kL7Zm2a3EQ04Fz5Itnz4spNAmy6GjA3Avri5rUA2FeZdx99HOvWotncH9sMknSzawVD32BL209wyCAQZ/FwIujmXssSKSA8bT0TKzlC4gTUM4Y9BwH6zFRAOIcdn1+jGrZiONVkNAlyhWU7GGKLttMQhngSC1wtUKD1Ntn3Ey9DaQdjRVmnk0tIc/OY38KZUNJ5sIj3Z5q+rNwQYcMhaCx4W7yFyH62cw/FqWmUKKcTtvvE/MjUBX4H4Lv47QpxSnwWIGgUBLTp2QrZ2zpoq+6Q44rkH/KJU8P6U6puz0o2BPrl4DGiu5Ks5/v3Gb39A8feijYWypxt6uGGUXaTrXD6YR8mwJfDPRItfFnXaYm3bjURAfzpnKouaAcH0JQ2BG0cD4TQW9iytSiCMNO2fEyKzlwebsazKDON2omMcbMXhhFEodM2In/BQAxivtnewllaVcEx7hDGRz0lgoC0sjcSk9VWh/gNDdJFU/hbLFLOaHuFAuumO0gGgcb3fvEwKejL6fyGFbMWuBnmnvKJc3lG7RweoQ4SXpZETjrO+cxUxbnthut8G7uujGwYHnQRoXxxhjQh7miYWMu1GBx/+Y+DG+7GvG3Dp1CnkCX1nVIOMJ/X0zVO+mlZj7qDxp9JcdXyb5Eza6TZn+v0pgQI2lQ/8S9jF1X5EuFIdnAqJQS9aDVCNiNVUkh+tKNoYbjFQY8L6EufsbQbmPpSaM4zY/4VeULhPgOG195MEpkkmtV1BKP+tsGVkXqfaGSob5tMxKIjCjL92DGKayPhxcoHL0vrAncZVcisP0PPj+Oc1DLxVxLMPtyllwxDCOcRz3O7fxly8JJ2Fl8Cabja4FgNeyF5Zf5lFAorHq8X32a8t1o35FSifFK9/WXV4wWzm7qO4APzxDbGq2h0YnEqaLjKw+rH7xkPIzhcqqhpy+TFOnddXieGbyv9rQAEQvnoW1r+gFrzM79fUiSFM71VwJTTCwf+yLPJ3SJjkqKef7VUqGazHiYxnQB0oM6MWl6VzikdeKqflCJATgSxl7aCCZPHTHflqfyoQnkBDEPOY5/kZMZcv+E3GnQ0N/201IMx0NiuKH8C3xh1yjY8OXvo2Ftcf2HhuStFISrR+QyOEmrBP8MS2fHH1BcWwWNKxcpZ/DNzrd/AotSfWVjVHqN2xIubDSbbI2LsonHmAHSilifvmXEf3RwhkhOTjrWKbIvltL88iLCHkeqfobNFNi9i7FpwWYMwIOhqOlzFRTsPWaglpLSsizLoTUVsUIyJSmmhCPczEE5EuuhgOwokGn57y7hwCRWsr9Q57TMrK3PRGMsoyZjVpGRFiSPsp/HVgOhouKTUyVa1ZaQLqmNZRbdD+HrWgJ/SJfrGFZP2OdTbLKtiaRyGs7fGMpZOi1N5b6Q7uPCmnYQCp1MaHufTQycCBMFCMu1oDYqBkL/2PaQbnm+SfKqdUtvTBrSwtbOJ5DrsXH0epQfAG6apJsvl3ME3TGyckl5YWY/a4qEdVXXRgEOAiVSUivgIcjeGPbzlIbS2TKCI3HB36OE/pK9RvxeYKmWBOCjgUpOyeJsxzqDFtoApSp6QLcFPTGGiukRU6NnxsHpNZS/GNu99P+5WOIfraJ/K/CjT5wipM5SUKubpXODsylO1JT6hLQB+Y6CHRkSmJqZQZjD3lyq6AnbktXTbBBV7d0o016merzXUln0SCkDmcDQZQNh2mDL56LPVrrwCcukcGHX+MuRJlykG87AoSTddMySdII4B+efBI46TAMX+nH4GUrpir99ewx5gAmjagdEf2L9DaISIJg08eoDZbseujxke36upisPBg621trHzqOIXQSgBq9i4O6pDKvOwQhNQ6Ny69zXFqn3K2eTUIV2vwKlfWU4YwSMQ9hCoWCDKZgOO98K1P51aC/sHjXnZr/0vbC4sC/9/2QiDSz7eWKqyjslAI16hXRl98qiaSTj5Hqlp7x4bkBcFAFeJnUuyuiw9oFXQWN8pCKM7IJeTL1gTT1xoksby4NTFuazmj1q3gVlR4+fQPz7Y7L6exicwD41/ytxyIOhtX9RTbNO7PaP8icQaYnnPYbrsfoFK4FvJYv//VfIxZ3YspuRNEoYPdBnjmFKqnkQVXd98RrCO/cF/fz+HLmxYWtL4YaqFDgW0jtqeU6/LcMSCQXh2I7dM3i75e7T0krB5Q/ngvO7zSJ3yIHpONSqf+GCAQAuyzmGCs/ztYO3gGDb6iO1Y8mMVhMJ4HifqVwSFQgQ2P2S2svr61w5e/pjccouaaycxrjKE0xhUhkVcrF51B14RvZaERFh9gwR+r0QHQrb/Bcbqb0UR8SQ+on9c/5aWUGq5rp/vWdBGgkGnq3pcXvV+d4B2wdFnJCZOcJaRIWUVFh+6jQIal1x7yVF/3Qb+DNZBekn2tJjsoZplQa98Z5s+eBEa5PdcPcMAYZweKWH7hNon1UFTuuEHrTWLn0Q4vOloasxFF2INGJjvRmkVfQ4fE/2NrTjq5prXxli+Eivw3BH/AwygA4kzBwNZKfpWA4eMRAjOKwSe7xWTqZLXQqJ9/PJr07DHGmxqHTiNQ6YcZl+nd/7wGjYwWyJNT7m0xRVLsdVUefGKXPYwFtcnbBrWW6AUPZONN1M0WkPvi8lCHM6DygwLct2otI6vPWZs74MzaEXQ7WKSO7m8qJ6fiNF/pPvFVQNUAE+zSO8ffKszDoVK06IJbgd/jYNft+5loK+SXy/bEbZ7XA6TYRjmAiLGMIkdrKuWOXsbwqssLAYaQiI8DFA7NqD+Dx4sF1Ht4wOAjvvzBD7UkknPR4e6lBEPPIZTOz5adNurS11hbOrUiJrolWnzw02/MJmNC+Msvxd7qYpbS4vhDIvN75dXNzYTfyJYNX3eXy5z3Ix+Um++JdSfTdOVDMq2+1rWmOXQXwMAEX06/Oxn3neqxJ5hGeASknDFODFcy6U4df3oXK01L2H6Ih27Xq0RhV/ZCbv8o1nXt471OFPfrpTrOQUOFfO7UY6I79oOJU+ScxHwM1p6kyoQzqkm5/X968Kr1OmLAR2aZ5RQAG5eSNc1cCM7DJK2U5OwF5EWV9VGG6gqHDjFd/c9rDr9qIxO2x8CSX3rL5pt7lneRNjY+Q4IzuJjvo46DO9wnNbCubHzbgyArnajFkE5SSrKRwpIHdN/fw/S4FW9qUlOaGll6qoUDZTCfGrkNLJB4Upn3SrDm2SJxP0l33/WALL+nF/4BNznMhxYCCmEvqtQKulqVAhPx+fHHTfQ/CRqin7GgFOHgXOEZNP5thXhjlQKxBP/xiefi9VLX6flP3X1yzUPS11oxkHJpVDn6uX4Jip1MGuwJsLEXKLEgErKcd2nY0Z87vI/B3r5rnM/WWnqNwB+TRJdKQeAxWz31Lt8mFk0zK37clTA06nVlla0Zo18yJxfyWW5pNaf1lq6ZS+WBBKbi8Agjkw2iX8qkcquFkjsT7oHPGQF+kwlqisGodJ9Q3+j4xLijlaidUPRSM9iE+1qoDPxvR9DUA/6lZ5QYPa29n2ceeFAt8zZJCR/OmXAVzAB+SZg1duWQEqM/KG+lPUUjC4Lk0dA1GIHYrd5PkYzZpR7AlvPEIY88DXeiRWFM10RynEy9OzKD8rgMHLcBfr3tOA98ZW+PnW7AiNBs1wr77NMT7xSv437/HQ7ZbQgvbI/AG6tmSe22Jj5m7zcpWR7EI4/42s4aQwTFlQbpdSjuXS2iBRgNIqvfduPrXky0cKsBsNnoE9jSFXnWEgmBFAwmqkDD1stwFzivPhItTYPIffwcFkjeEbJ8Wr3t5q0G3jBFhN5tdirohmEBS0Na8E1Sw1qTr+ZeEGMgPMqJHCetCaeLx5OD6FcQJsm/yVuDAlOSDx1wn7+ES42aQ6Ujn2DZEZdPPNld8FvOuK6/plZ/IepiNcfNd7e4ZwfIiveWGBg5O/sO2XG/GvhXoyB2b5QIRprmUW4F+OUMDd2g0vKcs9UhnSBr0PHZBjW3Px3iWiRFCRz3mLwVGUzHjhnMndZTR8xjCDW8jHncSa8kwKFOhqOBpvtJvu8XbquD3lJ2Oaw5k1NHoMUnMBLWSTQTzIewxxX9NEJALQPcW4oiqR5myFYHsIFDRwoOys0RxcbbfUCETNL6cqxKRt/4KdJ/Y1Ps2eS06KgGr3GZ3Z3LKcsR7aqoyl4U+Etm6kLowKHAJsu5nmyS0r8zd+ENpI9y8wcdDqu92ixPsgdqJd87W23Ouu/SqVmLBtwOLQ6mlfNLaKz3FkstSn+OYvkjpMydAsqlIqmJsje5s5wco7EUOQIha/0X4G58JJTYFzPB2cwGDibcPsBnNVR76zkcps4rccs3zOoYMl8Z00ZttarWYnYbAlNvQPegGRgNZpqpGkmG+yhCG6ytIsBk9H45U+ywzDK94NWoM2BOP2/ehT8RQmgY0gh2TebtkUfYOAuSxCbaQVkA+46CNx+0NRv2tn3bvCdJ5oFTh4YJ/FR0D/KCDwYinue0CP6tEG7oIfv4KVnCDsS3cBSkJPe68ilG1EW+lNcni1eyyd/pcM3YlhwMQOmvhlE7UDq0vCf8n2a/8LYIxlNBltucxWvOpbkz3YagzTYThu3+8sbq0zs3/Ui3M1ybE30o1MJ1V5xz94tgqesk5C7is6/B6y41T7D3fRu2d68dSVhB4DjnxCaN8pxl/gx5CGjtzIUfpC9Awtg4mafLt4A50XjgtWS+p8Z69CzyU3EIvym7vhbZ8WFXFYx/7D5Mfu+4AizZle2UcuhAhXYEQPN/MNqGSXx0MEQjJaM7SzPy02Bi3n/OopJMrW4qLT4KC5YcCGCFes2EKKyNUVyRgTGm1+q9k5ZGFBQ8mwZTrF9tZBybw38wGxCMWDGeN3wduyZ27Q0/UbrmRgwiQyql2qqgvc/MNvy3yPGDM50lm1fZ0jWxNIqrJZ5z+qWQsDIleLmsiwG7BvKy34V5fy9LGluphre2s8tQz0+9xI/i3KjAdDl8O3sRD0RVTqDKi9Mku62qnR8OJBfo6wJ9Ql9oqzYYcsJ2SE78qRIBQhYyUfSIK2PrYfqteoQDQY17jMcMkg6cUST/Tnyh+ClnbCq9nn39ur8rlkhcQZrn+kFU5zC69T0lXs+1x+FaoIqZUKpRCmhVpsqnVvoex/CL35qK4yjtEyBEO2kiDDrvl6XjzC5mhVYRF+x3K5LmTzjXnO9yZus5cwX5lyYdbqVFjRaSmGxdAgmK+gd9rQDrXjzh8AJ53Aiv6hY0TYyFb7CMCGueeP3/nXlSCyf1GxTbvFvcqSLFyFM3zeC2vuj/vhp8fvYFb0gOywWZGJc2pYiyKPEQBYCHDNoC75XlqQJJIc7CYvjmIgXr6j6orN7gBXIZvHaIVMNlwaOAfLMCzcHhlPGoJfotzqT5uhsjCmAzqVsslGedxGKTqs/bMpfSSeRmyqik6rTGOUG1xMJ6IjjoTTBXV66D7vrkiN+6lBkmK3WIxCfi2Gm3ae/z88nGV/Ypent2QsBOIhdhGOIxOFyvOVVRw/VrmEPH+kSQiXbFUxgR6wfLxdGbRWSZux1Ebo5Wc/4xS10TojgBb1/2Er9QVWtxGH2kvs7xI1Fruxv3zYgqBYakK/Ot5At7fo3kR87y6QLV8l1jjbX2akg/mimqCJ5jXJ1RFnAUWKc/Okuj+lDWBboAqUizDTxeAIN9gN3NEHfqmLiKOPXvCbLjHovtMpjJR6ytPHkUpZo+lnOlVn8DYK9reNH3VfUkQRobfwrp1Bt/gEL6bNnSOzReyV9namVAyPOZo+rOlj/fbTRZpYsoh21vMMAKr+HnzaN1kT8gccYcwAGrFZAHvNBUIifcqyMIr+cKoTjlOaBxcCMsc/w0P0ndsi6cYWmif2MHa3afqg3XIlX3W8vyjsnjmiNO9B84BEZhXRvYtk7nIbz7+t/Yd54CaFv47A1tMoUMX7TQnnlzCBXNO6/DTMTSoVqKHfKuWA9DaG+9ylx66ITFju4lYsU2vKeDy5eu3++sJz5b5Q+4S7cBMKNdrIT+UHBwxPzLTyGtOwt9oJNEnWpdXuN2xVo2Anyd3ul/s11wxGGLhiGUwltAyjpq2UJ2AV+5GULNMrl9nFQKfP6bh6ie2NLYMHA0shXfkoIkmldi6IF7RiYDrTk8TE5gIfHTP+MXmllj0oAbkWQTFM4IbDZwZtFIktBsWwfbimOkomhkQAvEmQa+AHTuQiHXnfsXEH4oNhhHi1p16/MiX1vujcceYkToY8wFfbCNY/ygcNDPXqrHDx0cR27B0sV438yTrQ2ShD6lbOluRnIiHxomvv5S8wOs2YoSlpYSXTl9+08aAjCwC+rRLAcbS71FIU+zDn0TPn5a4s/G05zm33tSNj4cSzYSsj3Ip5Og0hlH+qccW5c8JPUfPe/cf+nhVSgV6rsZIzGKnWVO/iMSL6HjeY5vzIiz3/ms+Qmjt9baYmDJBlPakrgQMjztWjnZkPwrY6N0AeCp9nHAn9Tv5juyuqHNJHNF8Q++L4cv/d+2yYYMwo3x1cionq+Qfm4tiJXhWlBrmfQFJaLhKhzbwxo81gp5b46rvlWgPUDGP3VJQ5rdZ/J2/6o1LyVkPNJ9QtdOOEz3JGTB00XYjaHbbU7ocAl+SvkRhCI6p19K2qnW0LNqNXrMIqas5W1RfzweUDdtduWHkRrPeFZmXyDmNsxeeHgqx7fo/94Ws/gFIPbG0x7Z8paDXF/XdBzFAEVkL+H3X8KB8zO2ResoH/LkdK5app8jw5J3PWDuz+XZeBtgJVpXFLLr3/VvkccOYeY6tyNmG25aVmAIqQ395inoWw9Rv5bVYKJJQAb6ueV0prkm2+TVMd4I27eFj0wJBFjSo18wQP8vpzEmwRFCRosaaeo4yDpRWItRE8BoF0CQAXjcQvalwxlKSbZJc3NECV8+c4hI824It1/OLJQoO7X3xs9z+J+zi1e6SCXxufjOu75HfP6gdLxZsQLO3yDH+2Z/kOK4FdX+7STPXkVDwXNqMyaWyMu8A5dVxF1fV4ejW5UBr+uxlGxwUalBqQgG8ZY+5sL8nvPTutd4gwdJp6iqbpnbepdq1x/hpjH6pFgDduGfpmf2iTN724wSBqOOQhkfEvQfEkNrK8WUZtK9vKXzkAOkuwaLN7EILWKA6mFfn0NqK/ewWIRY8UmeDehyODj6QMIMwDtJ2RhdrPRRGKPRV4+votL5pIrGox/NxfhQW2vNdiYe+uO8qvfUXiw+8Xr3AOhXllfc3l1Jh6lNM2z/WH0w1iHhwr3Jtynp4fYCZmAvIUFGHg8zf3ogj3PVsKkS08i6Xw3bRjWAubCWhMtG9MRTiQWxGMOMdzOEICfh3T1oYYFJJELrNGbrMICrgmFzQzj+N7wLxZ+tECkr4f59F8aUi/JiM1SV4pgixyYSOrBOpI3VoXCjT+lympoM3lEr4hwuJxyJr9nyYhKIMTairwRC8uMU/v/qwDcL7kw5AiqcyQDhgXamq5t5u/hIwKDSApxJBCPPvxYqTKoh/ADoJxZ0wyzTgi/cuN6ItBX5JfBEeg2vhQukHoFnl0KIpKCYLPvqdVGcVgsHqfuvsrfXwGwm/iElTvXhnhvsi2bS7V2nibHhadyl8W0OsBLIFb8juYX8vbdKATFf7xuLpjvukSTGzRRJq2c8G3qlzQ7n2friVGdX7UUttqDgR8QbG5ffbgeUg8OkrwEl5CCeiXKWS/dfilt2QVIdP3qEX9kjkaC/AYtnkrpbAifEsO/nR8wZQr9HmWhhuq8TR/DaATHq3GiRUmO7ep90TJydu3U7kPQdysiaHuNWiFMbm2LncU/FFFENVKVybT4s39zbbWszjAy1ZsAQNdxdz6BSdyjUkoz/wEtIegZFgc54TvFGttHuT7yKFIFGxMpLy3qVRk8ObSAYJhN8kjBT5F7DRFX+m+Jf0ARJ6Knxa3azU+u8Y3TtbGmfomQJmKRECLFF57bwwCPEe7N21Yqf3AxSzuDa8hplyRbZoSvfEXfwJMgAefXVWeQVJ9GkLYobcQeq/tY+9yIUVF9VxWaHd/ja9dMTibg2GQkvhAPbg0Qvm7cA+82lwrJNXB0X+zUeK6GTOsIJUz3fAiN2qaRgP7GSJfP6bjqHCg/yw5yvXVUhGyMX+TGE+3fUxJAXSJN/HI5aBXA4g3kwGUcOevINPqdKJpubdU53HpDbyWVB2FHNNygvKiP87INhrdAsNRHOh57Y9G3/cLE9iQZPGy5KpQTyGVUoOZMpcjaZ1OXweqXYIay+xIxTwHCr2id8UTxHwidwP/kkXQca2kIvUZ14eY5bzy5TKfzljucr8IG8Ovony8XjOx5auOBy493/rOktYAByZMkRo/Fw/CKp1mx/zfI3yUofsbrZULNVqiNSWl5bKrNjlb1eEifxEgSQZtM5RCYBQJlK0awnT+1TlEWiSD1lsTHlG12lA0N9tAG0fiso8kPRJTXJwaG3LGcysI9ZuQDqIdi3NjaRG7G05EcEZpnti5Gc5kiQSlrqTFk0/buIaBUTgwJMCpl1krDNWPpHASRAAv2J9vXSUyVQmGjVGLNO/nrRn2nIaEHKC6+MZTOPNUms0AYqSSWoF3TjBoDBH/fEqPY323rI6DWCYziGZiOGdlVP0fRX1m4VyPilYBEMMv/w4hTlcEcwHwFDj6MSGGKzaEEv1kg7u0wek2zmEdOe8DSs1FCYcScnxmGIxU0+q5uQofVP9U1SLJ/Ti3kScSzv/r1ECjN8UU2l5BZ9Y7GOmdUhZ41n3VBvoMSEz54sZ31P67jC5o9rDQUDShDnKtyabQ2/eVZfkuF5La3Vzc1YQtPQuzK+vTfePFDv/5S/OORM41+qHsQGGeNdaVqIcKp6M9ocRUeO21xo43wu8KmaRWPr/LkGla3rXcn4d5g1mtkMoXyxaKdimYJVmHx3G/kErzNbFFBG3+jZrjcUIcdXXjiPprYg/yzC9LkeAP5NwBp/3ZEQmzYCUrbj1LjMhRiSEnVhHk0QajjXtog6ggOJzXUq+oTJF1912W7QHWeD0ZPrrPeUUoVcksf3wFnSqniLOvCZnbc8QE2Avl5WxUCCXhA0Zqx0JVLgv/i26oWSqA38R5zhTdLDGurHwzJ7TPEBFTfEgGHrVKm8SYztpsYNDDZKIPLBdum67gwG9hYg4PY9juQOqdrIu3NIt4xpJb5MbYfp7AmxiSsO</x:t>
  </x:si>
  <x:si>
    <x:t>8nAova1xnbU/Ef/G2s10GEbCDNldbAvhl+sKxvCqVrGEghSPJe4hpzL46UAvM+N/tXnoqC/ZkB7p1BR0tI4mqhO3p7Z7rVH7UAeEyLNj1US/sxs7qBUIOeR1+bHxYeuDlhCmlhZSuf1haROIuSInxiGa6Bf0S6R+zfWBeHR6xH1rATzFfmCCUkOd4SA+l9A4QwRZTaWXJZEF5jGIOYof/ZEKV33dzZFZZMipHlqlcoHpDwWJ1q9+krHNm9YPN+nlceMHCQcQPJB+aqCS6HxVHf7RsajEfPrIluV7iKr4X0CzCbnu4SJ+z1rx2idiAt+9FDHdl/kco00nMOEle1XrxHHRJgViRC5vXWFFbdKzEeqJg5h/9kEDwmPaWFa6qpxagCfiSyQRVhISFiMUbVWamxpdOeiWxEvszjfVGEjV9I4WqaqIvx5Pm/L/wFkE/KaxkE7Bxc5nkENnxBT8H+KHY1+g5umwg2shcbyXxYQBaRNiD9crGtfAGGaxGoIM2BzXBG15/IiFTOsGzfJtcThffcQiGcsF4gOnTNztBuVN9tizridk8FqDgOK+hA+5XCxdfnZNOLsy8ro366g5HKslz5FNbY8yefzLn+FT+1ep6V/oQvD0OLM61ohgpEyfYrzXyogqk6LNRLq4rpA4ZdNlWLl8adMnuUN+iLIqSqaORXK6cfbXU36IyxSnOw7D/oG8oS4t4mUA4p1b6q1CjNQENMsnSGotF/qaYzNSxcJhjZ9Pil2hNPwRMJ4MxxfrqYcB+EIQAQqjsNuap0B0kOQ25Lg8Mr7oOLoR6ZnWbzO/Zba/etXZcmlOt04AtKjFRdHZZF+u1w6plXcOHForx5RQlRcoSrqSjm8NOqaETwKfBnvJZtSPA2w6wpp+HOvMc6j13tOxma70JrUznHapZ2+DYWlq5VilED8XwBWeUg+pOpKpkjGu2euQ8l90PYRftICxW3a5ftu+U1s2Ap0oB6LdRoAFW3GnR2w1G0KWa3Hei/MEVXtmz+lgHmYjxEdhwjPw1TQWb1sBK2BTdC0e404T+XUCJtuKX4bD0t/aZv1uDz64wMofsEGlUX8PifkIHIoADyMBw1udR9s/6TPQAwgF+VByBml/GV3zzT5LVeEkOQ47FWj4cUhGvGDqB6oACRqMfDVEKRmQDSBv6RI1UEOBNjTUUFKTVIvbrB33Hr4JU3/ttDgNhtuMMRO1h8P1EY7hOgBxmY0LrCfoUeYgBrTfM/gcEFJSJO2k1WBo3x64GKkRSIveTG6dD4Owbm8YRDCiOxaKL1JDHb9EFPLIBXwkIqu43g+8b/5Hskm8fdYClNKeuR7sfwIgn/BJrzlKE/H0cHL2D8TWcfnAomkiFRBKEnyMWYLCb+qn39MMw+nxGocaL3118jTnUn7b7lvwdpIbHgPBGsf+z51Wtl/PwKKhA8DJ8H1hoSBMXKZGwvzWiXykSX/nTfRn5YYsau0GFJ6bilhK7fzQWc3RD55d+BjE+k8xDA7gf8XsPA/bKkDwe2HBDIKEunkT00da4KkkjDXGZLADU5UyyzhLzV8Q7UqP1799lrebiKS17DlIbhcb0TdcsNWyTF/K9LxODRovTJ2MeejJorv21VoVgx9OEpAM2/sPgcKHnE9D9azqB4N4vfyRp1HSwWGgype4FqmVmL9rbNGWvrc8rLOLLwNhJXEL+1qs8sxA/yAGaobVfFnTu+ltoGPSJbUms2BeHBb//2M31gkJ9ov3MdLBVvPrzGZIwhyKAUehroZ9pEU4d/tjFbGc49ZEs5JHBTc6V0E6P3c036nlnBZR3zplp8UIQkPiuneMO4HlghzGlC6IDIOA1PK/TcxLFm5OIZFijmAbw8xd8JMOkjDZsB6GIG8nbhPRIiFhJHtVVEK0gDoL5TX2CM/D+MreVk/cF2w9hZHxQyAjMHRZRMCq0WPbQrMzISxxtsMKMkGpnI5eCrrA1VM01w2Hiq9OWmkvyVO3+8e2eOArFFV/PHH/K+1qE+WBLbGTnhM758UlG1a9ut8e1p4TjcpSh3MKJI7hou0xXoBZLyW+JslPgANOikj06YduKZiQb1KqA3coTDTLuCbm7q2WVlF8CVb8rGD/XklrulNeqH0uhJ/xlAx3p+Vbhvv9O1IEXV8F1GMjX8I27f8Nrccyvg3lU6ouu6heA+ZOpeC/959hrKM5NSeSshRuEC5LozPVcltYn2cPFTC6YP70PhdiHZycZgs1EGvU3T+YbNThejpm3/1GT26nhDNRM8s34+hThKMNFBmgNH+7GUVJpHwlzq37vVs7yIRK+KyBHBJTzDy02kEXXRg5yLkTeSLahlXJ5hLv1YIewDJ8r4/VG3XPV/Sh5ZLUd0l1TdOjjCsKFioWNsu7V3cjLn09xhba0e6FXO/xPX3NOks0KdO4yPN0oxKET9CpcwzbqQcvUx3od9Ony0Ut29RJGR6xdN4tKlXLtg/TENmfBWFTk5X/MUXxxxkszqYzJmBFiVn7p9Qd1ykOi8OzO6tNzvumSA3SrnfZ7WhcSyEZ8AecshUXhOJQxv9LIje3yWM7UN10DSgTKF1GrDy9KxrveqL3Cp++YIMxWBCVkiPz0sHZnL6lqTd6ohcRVHtHJHVzryuyImiqSJ3ke8JI47vUv4jcYr4IrngMSmkopiRWFDsXyk0EJDyq/xM/Xh6z5JLVX0KiBmXv9rTTnAAE2KerHKX1qcMZZjSOCnsReHXHTVKJKpcJSLCPC5jG71yuEOoUEI6jgHIQIJ8syxpA53Om362+wkMjIOO1vlv3DsP2gRbq2iPyGsXJ6Oak7GhuJzV3y35Nx2ShhyF+vgodXECiMZ/bb/Lxh6DZkXHBpX+bnEt98nYtPriFkMnagvQ/HsmmwX28/nllsdzPvCyQidGGEvHKXzOBHm4AU7hHOTihNVOgYsRMxs6jG9LTNKxaOlDwI/NFNJK1mxzYWydCE7LY0ezSCHSjSlAm9T93EeICDrFpojEEazgP9DojpgE7Ih82+0RaEw5WUiZWuq1nM1nf4ed1eDjYSy7F3QE9N7uE7z8uEKBt85zG696IX1nh9yB1E//kvoVWVyhXmUSfMy94MQhBYbEoybvq8qbKJHwR1wqyGbl8veRP07L+gXJdtZHgOcAZnYeFVt3rwAuTe45Bi11Yo2VZg4EkNaKBcgP7wD3ZdBWgq6xj5XeGRsPZ5phUzVvJh8A4/D04o4xfjbMFlKV0C+ZAoZDZs20u80pPTXGM0lXnUtByJ2l3TizZ4GINkFfPYyIX9NkhiHq/jtRSWf3Yud6y954KMZZ/7dzJbtyHGEg2LU4Dr3ILfvU2NrUe4S2xR15pE+VhWmM6+ZBitVt9uyZame7q3sxZCj04gCcsEf73MzX/rTeXHGc9yplUR7dsMlKFinw6x5jPFh2VWmaNEYwRdSXHmn6/DESBuP9Pb6Z0T0bxyypwt1qPzHAdYVkCiGSxSdj8aQqxGqSno4HaWwELrmAmg2NCQDUWsJGyFRl+HOsLDYfnZwKiEOF2dH+kVGgI8g46Teiv3+S1MLJiJSByuZUbHQVCivzfj24h16cWqCPMd6bYrWtwKqGkFb7ArAKP1mMJnDajhZXIMYwNOuTczgTH8tjv7Dhlro+pi3a++1H5L7mzSZMDqIQpiy53S8losL7mX9Isf7GcyLm3WW1kJcHr7kW8yjXoaNvO0G3JubrgB45r6Qq2xfSOkOSd7CiFG/AiKoyFJAcQW2VEH8ACTMbiX1HDtvf4h2BN6f1gDfUnC8k8dT7JTTn5Sf/PyDaDgpVJJESr+4xKXKMvVXJGlCmlHSLGApQz5L8jIozpNLvIqcdb1UWJQTkCfD18kgrsbW54Yv/elrTbkvTfexzdxL/mzVBeyl3jYfmyvepB1a+9NgemZ+GxgvFz76QrFTzqD4QKbSwKaAh7fzPZkpWpaRsFK+pHs8Pq/wL+5JJmNttuJmbmvhYHhZfmaArw1VTuAsjEmJUAROT54MG5MYqjLBoOAcfSbus7HhsXwlFxGvBRkBMvGfwT9jMuhEVABB25alrVwmqNniZhDQkMVSRPmWwP5JFv031YkGn8+ALgWj2BcGSHOJ6aNGWBl4YRfK78SbWHDRAH9bX9UW8LbgqKgUbDpSZB+9msbvs15bRXcEl6VNZEwIcDxeuMPtC3wOLZXWnpnCwFsQ872OHuKf5myLXNmPdhTivGX3U7f28A1W7Yz27BJPXtQveioowOAKcPX0AKparkfUq3jaJfEEoiDhqx+h+wRAVua/m80h7/m/pfGle9MUn35YWaCzE56Qk0o2e/oDnUJ24wD4J+5mFOdOqcwh6Qp7dtS/697Jp9e6PHQSTfhPz/+VaNJs6hjkDBWSJxBbGlAA/oaGLn9TaxS0U/I3fQyrCsvy0b0hFUS7WzLtypyz/xMcfDu50QcapKC7D7pxRnVYPq8Dt4BdU5gwPvP7nR4xEnIbOH0ManbleZnM2PIDQ+GA8jO0GuXqyUEbb6cuQGGZ7E3xO3tJUcK5PWcSDxlg4BBtqntmRAuwqKs11UCj+pLk3c8v7yQ0pZA6W6I9FZCoR6ksQG9rLrkMYR0WTMRcgoQaPs9Sp2JaAcFkCtF01scYVk1rk3A0YlIV4yyNznqRYlXBDjuVbBYML3RSguJqpTr/1QHqG7CxIOW0JWoraYtWzFpSOV25NcqcQV5G2gXTf7ZiURronD58v7L4ZsCTuwBKRhquA3qz4mao5xrfJr+l2xRIsGtDNcgw/yxyDDU76T3QqS8BCCX/1cgvVIzrE3tPFVy9clpWqKiodqbVC+GQRmm0xJQGH6gBeqAO5MPP+vggZY8rR1Y/Du11csCp600aIxvSIhJnfcjzqQ1sfAqwbCRnyQ2+e5dAvwI0JGFnxvoMPKezk+LyDC5VHjzXgPNkyX7ZKffagYLQHlV+t0wZTQxeHhNWZTB9uOda69mwk3BB56pzNjMOM62TMJYLNAHenMZw4CiByPupfkyvU1JQeChxrIAEpTbBvBQnn85X79qtcaxijl7ifN1aKJxBMirY6LpoVRccznGQYfyccXr23W42aazhqtZJEn8UqMed75qizZXxvciHVqSkFMchsVjikXbD9gmljxgobUebWApVnr8+J+t7T1h3CxPFMr1cd4YIW9Yh1MDRKvisFup2f+2tCj/qGcbO+9sY07+1rwr4FzF8sHnfnLYup6b2LmtP0yN77O+jH484mSDBTwhmsbpOjtuUW6ZJ/jsJGEognTs6Jx5MvC3BCTp7T+7xBxFjJT7BfbJPo5whdlUr0ivM9ctWK4xl3rmiIIVFEU7F2uAoCFgs7k3GolDwayMmBrpsIB1zkmQJqiSd42nrej3pQShHvWMZetTOdqf9j7C2tGiQijEggBPHQ/kaynYc6YObeMjMKG8Rkbjminzz+09TLg2dPk7AQ9r19s0O6gjuSiWis1mgH3+tgydKdDdXF3BJTxn3xOH5cMlxp1Eklo89LrXRi+4+LucWrBgNjW+Mg9GoulrkE3wXSKEL01CpmwAnUN24aV7itAPcVymAmk8M9oSokcwuzXa4Qn8fkh8uyOcVt3u/0y313mxhfb+TuqIneQjEqONbfBZMsNYpqeGawy2gmGXVPl4SXQlFp7cDWpxPMb+15+Rqb39mRECpj9XZ4Kk0B6WE7I5C00VCu2WtF9TdLATdYqAvxa5Bx86/jJnH1ugGYT8MWLG16tl9/6Uafl8dHIsLKAeah+O8L8Ie3jqeMsG17Fo+crxhkBFpnC+XGNcGLpJeRiYMkwMfFcftfMchSTbcAJltfMbzdY+XATIY8XYsJXhKlrq2q9zGJQQCukXNNQ1D3qzdOSB8ABq92mHZvR+nZDPlbmlRdXIPROdsOZvcc7ag5lKLTUGbX93i4OcXSmq7TXZ6j0iohfqa5/GdIJhMK+8FLnEP2RHGmT60hNzWv6a/uEVS3lJBXJcin5PUQCOcnFxzhUFbE2CsOq+jE0SdzHYaDWABnDBgMsk3UOjUbnGC8XknmlohNPAMbPyhLQEoq1hDpSJAj0tCx+82nqqI8ukJ9IkrZPWxcnW4pllfTZYnusghUF/kBz9QnjH55EHIRxEgmkXCQD4BnP8t7r1Z52I2MwXoDrzbn1a7pdk68ZQ6RtV7EukOrgnfbq7E+jum5rRn3CF4SvNUcwXXIYrhmF4iA0IFJu/dWBqpLpv3l0Y8u7KFUNzUP7vFnflSr8vK1RvaRofYkSo74wFT3ErxAqKR7NuWwGG3mRnqjWgk9R4iTxkTmPM0vYQnue+JsehLSxnsWrmT8OAAEaN13U2O2i50K+6jW1sOAvvyEc7MureqeHVHMGIYRInut58ua3cUGhD9XFi8yPlHQpv94RZl0VnRDL/zSeK7spWhQncHpMLpqj3pXuYxttHsYHy07dWaktSsl3XTLPMNOKipuVDWKIDKVW/3/pGifM2Wupmv2JJ2i3HqEqVaAcfv2h0cE8++KI6zgPPk1eXFo9yF7/scNKSqfmo9iNQTTkmYfgEPqucDIUo92nbHeU2FBabRauI6262GrXNhlVx2Wao4r7ZZst8wx1HINaejA94GoVz5Pn4xwgPVDGo3qv/PufZcB7/yh1yXIroR8IpCB6B9dOTXDEDLqLogBgGtyEH6si03kRcRM4IAnYuNDXrQQqCzOG+evkAn0XafSKEFJK3A9VJV2xLLdnmJ3YpDyTPmLN+TE57PgoCAqNCWGAra/rqKoLcAGM3VOxk6Y08/o+b9iR65CpXJcshKPkQ+5dbmIT4U/8mSx+9Uyxp3lv6LexS7zbnr2NjgGvoVUq0/Y2gHrMUexijcDU75SboT8UQEX33uBwnhveLEv6XyZHk7Z7yezQtfw+c/OGR3vbShs6WEP5CEvRYKptvge6r80idUOUYP2+p+Yuho4hhtcQlZwuc2VqMhSbFLw543jPP+fYDGWWLofqgdniWoNIF+smiCPiNtQtpLnNtgPx9gwvXnNujFFYDC0Is949130R49kV6K/1tg2It4QojQ3F1Xzh+sutnoDsN2oqLuppZDihY7C60qd17YX4M4ObqT/HFV42+IKOVGWU4LE9rkNuDVdWGZzDHu0gYva3aUoAZMUf9K2KIx5Jju4MLbhYrBiegHIDtW6noVf8TDdlMouSbMCMfteTygwlzg5yJqJg9V4+gQF9i1r4risrRTR8Rxfnw5vLlH+JhyTgmj8eRvWuBEQqUw/WSQjVcj+8IbLvvsVi05IF4xRbSRw3YqgTtYTVvc68qYyU001AoOQlYxNUzt4jVceWdmUVMcGGBAu+YLFPUe2As4jho4iDW+NISEthhskrIb6Ie1TVXcbiCuLkKdL+kQekrj0qd6DfXrdTbZjrznSCoIKU6NUxUaGVGq827+jDv0VDUltKsgfF2D6KdPuVAFiabuX3TMy4eBFRhM6sewPFx0zRaV41RcYkEap+irIJc05bSJa2tKkcmLX6X115yUR3/xmSlNAHJmYIsxERnvEUYFU5Ig+AgzF8Skk+V8hj7mp48kboKAG1wNillkDbbIBJx4OFdKVCfS3fHwgPQ4yUZoG+hYWekWZuOiPXQRBc4FH4n7mUflcBk3zNNjDbwRH8OsWTCY3ZjCNtX/u5fY4de/RvXa19FxciSOw3/cxYcIgieY/dYMX1dwv/fCipIyOptVNUBPSkJ3kq4RKMoVJ+tT2oefyVnKTtnkaDQzICEOI3alpc9JEKwQXYiz0GG/fA5Cl9ze33uqo8AQyp5alj9ufVqK3+QEmkT48ykb5Pz+95t5CzMGYqsTGVsaAMw+/GWzqrtuEw2jFyxzBGFmRQAfsWGfYubR3i/y3kCMOcFXdrXr0TcF5csTEJwtEwutPo8or1uEDByNC6Xqz0IaHD6HB0VtMoh6JJdj7N1NJqWPgQqHmJRlU8i+bbuND8pbGVs7bt2gQkQnG23S4G/L9SX05FnpEIDvYj/xmcKEiyJBxSCKdZLlgCg/X/6Jv00AVVc4hzfSy9hEdgzCRHbVoE5QjQu6h+Ww5YrqH/2nJrdDBNCJX2XZvwvu19LjlGUJZn38gvErs0FIm8AaZ8397dMiFwKP1o0nTeENr/+EJyVhgMOoBTP4wrYSnbA3Tyx6lNlU/REa5rXlo3p4VMgRX3CBgGsmoWG+Gkv/UwP+M1cacG+UfWi2UH2uij6BD13JXy3w9emHdVhEGr9qDhy1MaRdQxRIfqV15F5N+D4lddQJx0tfZ7S3mnBFr3j4nDJuVqkCT+hUhvBFWN6n8Xt0eaeFDihVRXrfxm15l5aKLO2+tPZDVHIQ3MFvPijvr73IYtLatanlJrpcj0SFlRlHz181FYUKlU0QuKmT0RUgUIZNGpe2GHB8NKrLrJuumThnyNpAF7Zomn7kP66qJieV7qNrYLZSXPlOqC8Co864lVk+kaoBU855SiHRl7TMlgU3uK0n+ADtu+HY0RsnnW6asUvDQmZXK+Zb5J92f/e9C2ii1R8fstVGaAO38SKudyrzAIl8WIot9w1Qxg1BuM794k5yalYfNGoLfnApbdnMWGjEg1QmH/H1OdwdGB2GJ8jIICprEkvlRrhrmswVketNe3Mp5tIFwd6PPCMbY3wlxSw/PC2nKOYMCqfC0hOGBYjp7R+2QlT5/+0WC7p/oaoyY8O23Btc8Y6PzB3LNPZv/R4j9whlnQLor39iuJDFDLwEjycdTokCzFbrl5IZ0s8nK6tLi3r0H6OUxCyOfxxZGvW2mBtjIe9AY9aazPd+GALwMFF02haAmSzcIc0I9NswIBVhvzst23VjfDLgHhQptvAbnhiVPjFwqPm+Rr+uv45yRyUdy3yPpsHOtuz4S0zxgSdfcASo+DMbhu5ZWIyw/nAUA7Rwkpx5kxwuWHZVNC+JMqOY62exZIFqOoyco08E8nwUWCOS1+65G+R68rQ4a6+1cev2u+2E6pzkrDhfWJLBJp+EYkNiNphzVj1J0vocCP/GR1zrUFL6Vu8D2aX7wBlLjfDVs66x7zRy5CjftZDSFIDgn1wNnOCtpb7hyP6pbgKFzxPLb7a+ZzlLFYFuAxwgxpUETBf4brENzMVbpBeBH8cfFFlrjFaCfK1R65QqPLxzIaFQ7nFjUhhNbjv1MCfiGEhLjQ5E93qSo1oO5TeT9r8UzX+UtmAo4L1da5R+RKP1RiQ7Ajs3BZvfMKLPGVGAZdO7/5Gmwi0QDew27/0+okiLv48rNKHY+2jmwM9gkmvxX1ETVf8oR5JW22uVJvb/IVX/vUAwU4xnFzm4yMHT9wJ0aKNqpSUwsVqCGsNvwaFL0H5ls1y0E8DEF0ZNXHJKhQ4uFd5a8grvb0GUyYx+dBbuR5qhiRKv9zmZe47T7sfRVw6sLj90toxzwiXoI9zHJng2TXfhyGM4lCKUKWa5eXFKyENp10MmierLcR827VZq/m0E5fCOcWXQfQKZ85OV+K/KL8QaSOxgTrZ6Ij2QOwOgRkrNRmGoSilXsXvX31eM7G0/J+tPYgvR39omrOVZVCcn9xtt+la8+JI8Uz7PW+ZBY+iKlc0fAcsiTOTZRpXjmMFiPQX8WgZwjv9XNCVzSZ9tyoteuNBJj6yudyzTNWIi+lSzO2uhxyg5vHYqOjC3tDlUUd119GfDP+mqciZnIFClUy3uLEQBeBo93UJPit6sSbwVUuFdOKNgn2CpUnEKvHhn4HXhpZ3IyaeghcrQYjk/rtQpt5RUALaEAmq1Yxs8nGGYZG/TOWZfzxt7mEniqlEtGimZCqAdz3khVPPkn+Ztfg9ifVqdQYtz5n46+nTxtxymnH6ZC5xH1WlUcGaUIwNirGp+OMaaO+pyONOixst6oECa6oe6j2KAMjxn1RTILf7U2BeJMtWYMzi73wmSyNHRDg9ak57jGr/lKLK0oCXISrHSpfYTQ4RUqb3qOFgso8fYU1AoBM6U4+qS+1TNvswlz50+NnJC3xIPpU85Esp8MC7YR2/CV5oG+VEmtFLAjVpkBIGjQHV8E8tb9gp4/Ye1nQBIkQzudhdjgi/VOswY6N58RDvA7/tpMHtvpCG08xH7lOiV8oJQVlxJMt8rDPTp8DXHiM1lEk/HsuzT7jSe6l+Vf3n6ovqf+6IZb8aoUS93fLB6oT/8kJ6EY80o0bjBnm39re/LlEt18G/8fVVJTSJoxzvCSIWioNFdrczg3qsPEETHLsxgHFtSZJz1ZW213fq8bN1J2kUbvxEX1unCHFvqLlvPSU4EE+kQQXOu7S6/k7+tQzRoTWrv/YoabB3K7YTWE3Rd0wtyAVYIaXv+qN6LJ6OiVhXjhIFqn8yMCIp2yYzA5FtOa0oEyyDxuZPKUsQjKk8QHq0oauwmixIGoI4FVQ81UQ4ZX2ck/vSw5qH3aTYEJXtV6oSCP+8idwyCb4uF+zAUZ6eJSYtdmzjiDyvf/Dj/5e5yKnPIDequO6rREo8WhdUKkhGyVdg4Bu5RDzaEa1B3Z59jsQbyKkSiM+1WL5NYnICwUDXROXzzFr+fsX//gvNbvxg7/JnW6kTKChdZw9OH48vxu4xerSAmhdvsPDOdrvBroyt91nP6Czef/NWHy4WVo30PnoEwl6JhOaokoyQknbg5i1yy+DKBVqdWDwdwUkOa3W15xc5AMUud1mt4Awe8qZ+WFManVrZyTL3lpEnlYM35zufiOInn5XJmIFKp3GmDY9QkT1uY+jXzVOIoZnLp+w/k/ao1qmfXLfuE1YNv+3WuchrZd42hfDTnC3QxgM2wgZQehWX9fhBPNfIzqLfM9leL4QgHngmdZT5GPenSDcnWlh+WGDN0JBFL0j2t6joGUuOIoaTjCcLCZkCocDsjg6r3eVG0ypvd4HKkkwTgU0nM6EQEo3p4HjQdqQTyhuCPuF+8zkiYZqCw462R/up8ZAXW0OuRr10FhS/KstGMm4Y2WR+fLuc/XSE4vk/BXG6AcFrAqbE0R690g8IwZD9t2uc63+lQhqjFUNpuFGi5qQj22vs+I3tDFMVjYA6DpnJVdYPjAJIu40/AkDn4FbjVzl7I+2dX6BZxluuuuufGHmOQ2ijjytAtapO+W1ilrYzifLxoQroet9dQSWZ7JKLm4dG83T8FVN+/EZNgifwXCIkOJ+p1uAQ5PIIZOGYnD5SvK/BzGFFyjQeqIdI5kDtztyXuIKXjIf6edG4zYlruKqb4pSHpmTfa8z/nHJ46VKbm5Q7bu94DqhWvY7UVD4YgSCgF0LdMmyl9I0ElAFutOoGEUx2THd3f3z57+l/Z4+KjEgEZm06JxuzzYiLrSNhUiYTm8sYu6PaAmlCtopAU5waGX0zQQIPF4k6JpFKZM7YobRF4VLMcjqfTC09iAZNOxmgRH7vcDLL3eeSjBOaJsWoyGVFSy+Gb0M6Jb4au7AOVPKboOWi4Kz1ewk9uhb3bOHZYyekmnDpHkBOw3id0OXHfvxAHJGePi0ShwjQalMi2vYJnYmxv1ThswvVf00kvqh+YPVjJuaE4v1Urh/4Cutd3bnBkyAoXZtwMZ1uAmgpvTT40ujOweIA3dXOH0mBIRAay+YBudLux2SgcmLwxiOu6zOHry+XsAB0+SfIP2tyMKUjYQkK+ybHyUOYCaI32ONtLfRe3UMQDIssJ20zAyVIOJ5bjzZ3+Fu8vqrdtzzrxJSuFPj2JHb9CJ+qThgxNwXe24nxNEE7fywlxUTHSaqFFxA/5lKAoj1teUO77/To/byo97jgUCTZmfa4mqWa57va0MOwQ+cBRHXO2ro/l+IYjfTffR0zISM4SMAhLLP95rBuER69KxYsNO4jMlHtDjIpTMc/Qut0+5//ETCettC0+Heg5TJLcdKDaPZVeLITgATtp7qYYugnanT8X2Y09ner5OEdn1gaFN1yTkXahUUpWlXVYOtdj/x6vDlg4dQzPTqtjCEAiHWJrTR2/Ze+WYhzgANgP1DTKHEb/cZxjkSux4z+jtTf2x8vOiYgOoii9/O/2xY00poSrbpMKJkNjwuFFIEDjJxh3mEqngwPB5px4ACSRG/hhQdr/EEdtXMfcwnS1MnmPzx4oCG+pyv+sAj+zCW3X4WzIFDk714hhrG06C6FASecne3+1KYR7torJW1aL6H4bcYBR03zt7ppGos0AuWEzY9i2ANAw8eXfzNtghCK/U2FoafPL/vzRZFTxXy6pQhe3mZnFwrJfZCIFFM8c8WsOQlXdm5l0luHx7+YToSsJAiXbOugwKKZz/Wqv+VXZzbGmiVRwSeIYlAZ352kJOlVpcpzWK9Y84NURrZZtz3B3H6UaIThGICmpJyhy15FtKxxodV55kd1upiDchWtqyyIgWO88ysh/VteKm5bIS8Fd5B2SAzC4ix2Qb/Q1kbjCgUJbe46mDjCI8F+zsojcK/nrpF5ZHrKjoWEWPpiQC/Tbii28xcTOsPz8dlxx6836sFOlOJ1xDN2go7nWMmf74U71lo5DXRRx8RAwIBFvtdNaSQVf2gNEjeQjRxhK9ya6ItvoXXg5M1p3ZBLK6UFZ5H4p6vWtS5PCT1gOeGDMFnIRSWC2mlakS+aQ/Eo98Rf7QW31hY345AyCIYKy5uM21gS0BYXqAvuj9BC970v+dZKcd2c3IZIPFslcJXo7SblkZkOqW0Dq/J68QWPSf15R8rZsgyqnzlCvpipaGCS9hUujXXyM97CaaEsBtDwBIRdFiXilVYFrjbrJFIZ8cPrdfIOlG6btQ+BvpIzjVaEhsHdSbzqyLuLvdUTl/pofLGRhNaPAlyanSgJh7hGHGftaA/FL5PNjs+wVSndxAFJqToky8xJQCHbQDdse6mNap4J2kXMvQScYKVreY2LqQWrjWOm6m4tBx/Uvlo+xo/wjBJJ12iaT11MhBZtgUC9tqpZqP7NvFZn2ykNHnEewHOIojUB+m+DUIFWJhOGGZStEq35vCePMG7qVASUU/OFwPQexsMgUbDZIZdEuQ2w9N94XxLNCkld+i5z02TGg93aQ4ki08xq14EZ+GQVSwrRmEqnvFnoObHVjL68wBNcfvWc5CebmNn0qz2/CaAARceQMMQYRBUm7TyrlPULGzeMWfNfeVBG3dYaZTXpihxFN+FlJE6muSCGVr3uoG9eCO6BxAAciWV2sB65TnE5mtowWvQwfgixEay1bScVVDH2/7cJ8XjmqokAFEsmiAcT1+oTNQOao2p4429P4LKvvv992LPapmD1TXZUTzYRRYRcuHNk7CoCZZk9Mtl35dFBjvDiDj5GIJhkCpiAS3QPHmXl0Ne+b5Zy1SIbYO16IhgJ80u8BhzUGXQiOF6QJzmJj2715PE6R5z5YSbWxxqU3YzyJrwnLk5lFIgAtKwfgtlH3XHw0y42+GvZPFVEKPCmTI2ScVcbOf8PueNBI+aip8ZkCSjb9LOoZ8eyY8CTdk0Vp1rlhn4ren3gPHJAL1Ou3FM6g/ln3cLrfzHdO3KajYuhvQpJE+qJvHQ7E8dNR2ERgNOqdPVeCMqJlZJVZ4smkmNBH4iuzq3+XhEYZLkBu5xGiX86+XlFbPasETYlixrQk2slykI0wHDiSlyxc9N9Lni5nquoi+RgEm+fQGAMmBgK+RrEoOQqXgx8pPARItMdGckbI41zy3Uzc7kRjlO7dsQskZeY+CEo5PnbunkUVHmobi4Kzusph6onJRh++Ne4xocRemigllCsyIeTVQSE5MoaqrcJ0iZxgv40wlRLUCWIudYZP73L/QEgROdneVUuBgCTADE45Jd87kSccyUFHwecPfvGspfeMVyCvnp5drO2abLvCljFuYsIbr9WHNm2WKwFtAoHYbPjZE+xeoMClBTk4tm/OtIypvwQ4TR6Mw3J7ZOLEfe8mAtOZe/SL6E9RLGGO2nRKXBL5wlcSWBOF1kPtiDsbX/EkVdDrNeyGNYcMsCrt8TwHI6UCWWUl1pYT74LA0vHZP6MVNsyG+2CePCTfIe8Fd03sfeHM6DH17r8466sE+zd5K3TzqSgUIjQTOYe2UXugfQp+C0WVP/WU8wKQzdAECmQcydaw3Pu1cmtgKN2aBXViwBT3tQqOveZAizo9YCjqKFUVV1gdJiDhYL+zPw5maXvdsnxO7YiEgqeIb7ER2rG6Njp86QnZgTTZRF19fbb+VgdZIOFS3UzgPxU/bl4UW+Z8FpEKNp6PWrFlTv/bT7tVWdEGV2SJVO9zWNZwOZc9j2Cb8smdtVqoijHOH1bHRT6kmkfTdjsiXGKndD9UGvZ40pb6Q9bk5Wadz3PI0ZT7fisC5x00GH+rrX6a40qgM2WqzpjrR3ycByou44YRln8TGgNBcNM79Zqi70g+R6Kh8Erytxy4cdf2djwfsXZvqAcOTyZsmGqNi0NxUFuKrdbowTXZ7D81hCUw72fnPp2gq6zgFBnK4A9mDF85Wu47KUpx3IXKMj/GxQGc0dZaw8zYhOV2F6TLTiLkErjC5vQUZ9ZP/6c1OhnmGNAuCj2t6sgDWTlDtz9tQQxLy97G4IKdBhwx/U2Riea0AOnHhTQD1t1qIfeaGS84gkf6zocrp9YXPlXJ4Hc0rQIZ4LRC0iK6cyUpyh2mJcwJzMPoaYb46tvFucn1nwhRRwvy+eT2ESqFvOFgpmS1Cdmqi0F589YK2yU4Pr3EcrZrwMSZ/liqeCaixuBk1usTWs1QAvGjku/0bxcO0r/W7ufv5NofHciUNJASF9grVhMEsrdfmT1NLPydMN3Wp/1c3I+wfk2u2gkWPx+Fj4CmATXwqig0ne/ou3dwQlWjUftxEVF4s0xBrjWTjKsO1/zDUNhKY4RlSuQTRskUAW7+SHXdI88CWzGCUEwnKbDqRundPf9QLEHlynFs+1PKL5wPVMU+HQbJFzsb2GgAdPDBUlhuiG+9dHWgKMoDQ3TKwImMQZHV95sG8U9LbYVQLEGt1LNUk7mx8qgCAEN9P/rqUH493G/RF5MknqjDluBMO87V1Lvtqltlns4jvVSzz+ypqwPBy/oMscNM/WGA=</x:t>
  </x:si>
</x:sst>
</file>

<file path=xl/styles.xml><?xml version="1.0" encoding="utf-8"?>
<x:styleSheet xmlns:x="http://schemas.openxmlformats.org/spreadsheetml/2006/main">
  <x:numFmts count="5">
    <x:numFmt numFmtId="0" formatCode=""/>
    <x:numFmt numFmtId="164" formatCode="@"/>
    <x:numFmt numFmtId="165" formatCode="#,##0.000"/>
    <x:numFmt numFmtId="166" formatCode="#,##0.00&quot; EUR&quot;"/>
    <x:numFmt numFmtId="167"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s>
  <x:cellStyleXfs count="18">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7"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166" fontId="1" fillId="0" borderId="1" applyNumberFormat="1" applyFill="1" applyBorder="1" applyAlignment="1" applyProtection="1">
      <x:protection locked="1" hidden="0"/>
    </x:xf>
    <x:xf numFmtId="167"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165" fontId="1" fillId="0" borderId="2" applyNumberFormat="1" applyFill="1" applyBorder="1" applyAlignment="1" applyProtection="1">
      <x:protection locked="1" hidden="0"/>
    </x:xf>
    <x:xf numFmtId="166" fontId="1" fillId="0" borderId="2" applyNumberFormat="1" applyFill="1" applyBorder="1" applyAlignment="1" applyProtection="1">
      <x:protection locked="1" hidden="0"/>
    </x:xf>
    <x:xf numFmtId="167" fontId="1" fillId="0" borderId="2" applyNumberFormat="1" applyFill="1" applyBorder="1" applyAlignment="1" applyProtection="1">
      <x:protection locked="1" hidden="0"/>
    </x:xf>
    <x:xf numFmtId="22" fontId="0" fillId="0" borderId="0" applyNumberFormat="1" applyFill="1" applyBorder="0" applyAlignment="1" applyProtection="1">
      <x:protection locked="1" hidden="0"/>
    </x:xf>
  </x:cellStyleXfs>
  <x:cellXfs count="2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7"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6"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7"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5"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6"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7"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4"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166" fontId="1" fillId="0" borderId="1" xfId="0" applyNumberFormat="1" applyFill="1" applyBorder="1"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6" /><Relationship Type="http://schemas.openxmlformats.org/officeDocument/2006/relationships/styles" Target="/xl/styles.xml" Id="rId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calcChain" Target="/xl/calcChain.xml" Id="rId8" /><Relationship Type="http://schemas.openxmlformats.org/officeDocument/2006/relationships/theme" Target="/xl/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M207"/>
  <x:sheetViews>
    <x:sheetView workbookViewId="0">
      <x:pane xSplit="3" ySplit="3" topLeftCell="D4" activePane="bottomRight" state="frozenSplit"/>
      <x:selection activeCell="A1" sqref="A1"/>
      <x:selection pane="bottomRight" activeCell="A1" sqref="A1"/>
    </x:sheetView>
  </x:sheetViews>
  <x:sheetFormatPr defaultRowHeight="15" outlineLevelCol="2"/>
  <x:cols>
    <x:col min="1" max="1" width="15.710625" style="0" customWidth="1"/>
    <x:col min="2" max="2" width="15.710625" style="1" customWidth="1"/>
    <x:col min="3" max="3" width="30.710625" style="0" customWidth="1"/>
    <x:col min="4" max="4" width="10.710625" style="0" customWidth="1"/>
    <x:col min="5" max="5" width="9.710625" style="2" customWidth="1"/>
    <x:col min="6" max="6" width="8.710625" style="0" customWidth="1"/>
    <x:col min="7" max="7" width="9.710625" style="3" customWidth="1"/>
    <x:col min="8" max="8" width="12.710625" style="3" customWidth="1"/>
    <x:col min="9" max="9" width="9.710625" style="4" customWidth="1"/>
    <x:col min="10" max="10" width="14.710625" style="3" customWidth="1"/>
    <x:col min="11" max="11" width="7.710625" style="4" customWidth="1"/>
    <x:col min="12" max="12" width="9.140625" style="1" hidden="1" customWidth="1"/>
    <x:col min="13" max="13" width="9.140625" style="0" hidden="1" customWidth="1"/>
  </x:cols>
  <x:sheetData>
    <x:row r="1" spans="1:13" s="5" customFormat="1">
      <x:c r="A1" s="5" t="s">
        <x:v>0</x:v>
      </x:c>
      <x:c r="B1" s="6">
        <x:f>IF('Projektinfo'!B1="","",'Projektinfo'!B1)</x:f>
      </x:c>
      <x:c r="C1" s="6"/>
      <x:c r="D1" s="6"/>
      <x:c r="E1" s="6"/>
      <x:c r="F1" s="6"/>
      <x:c r="G1" s="6"/>
      <x:c r="H1" s="6"/>
      <x:c r="I1" s="6"/>
      <x:c r="J1" s="6"/>
      <x:c r="K1" s="6"/>
      <x:c r="L1" s="6"/>
    </x:row>
    <x:row r="2" spans="1:13">
      <x:c r="A2" s="0" t="s">
        <x:v>1</x:v>
      </x:c>
      <x:c r="B2" s="4"/>
    </x:row>
    <x:row r="3" spans="1:13" s="5" customFormat="1">
      <x:c r="A3" s="7" t="s">
        <x:v>2</x:v>
      </x:c>
      <x:c r="B3" s="8" t="s">
        <x:v>3</x:v>
      </x:c>
      <x:c r="C3" s="7" t="s">
        <x:v>4</x:v>
      </x:c>
      <x:c r="D3" s="7" t="s">
        <x:v>5</x:v>
      </x:c>
      <x:c r="E3" s="9" t="s">
        <x:v>6</x:v>
      </x:c>
      <x:c r="F3" s="7" t="s">
        <x:v>7</x:v>
      </x:c>
      <x:c r="G3" s="10" t="s">
        <x:v>8</x:v>
      </x:c>
      <x:c r="H3" s="10" t="s">
        <x:v>10</x:v>
      </x:c>
      <x:c r="I3" s="11" t="s">
        <x:v>9</x:v>
      </x:c>
      <x:c r="J3" s="10" t="s">
        <x:v>11</x:v>
      </x:c>
      <x:c r="K3" s="11" t="s">
        <x:v>1</x:v>
      </x:c>
      <x:c r="L3" s="6"/>
    </x:row>
    <x:row r="4" spans="1:13">
      <x:c r="A4" s="0" t="s">
        <x:v>12</x:v>
      </x:c>
      <x:c r="C4" s="0" t="s">
        <x:v>13</x:v>
      </x:c>
    </x:row>
    <x:row r="5" spans="1:13">
      <x:c r="A5" s="0" t="s">
        <x:v>14</x:v>
      </x:c>
      <x:c r="C5" s="0" t="s">
        <x:v>15</x:v>
      </x:c>
      <x:c r="D5" s="0" t="s">
        <x:v>16</x:v>
      </x:c>
      <x:c r="K5" s="4">
        <x:f>""</x:f>
      </x:c>
      <x:c r="M5" s="0" t="s">
        <x:v>17</x:v>
      </x:c>
    </x:row>
    <x:row r="6" spans="1:13">
      <x:c r="A6" s="0" t="s">
        <x:v>14</x:v>
      </x:c>
      <x:c r="C6" s="0" t="s">
        <x:v>18</x:v>
      </x:c>
      <x:c r="D6" s="0" t="s">
        <x:v>19</x:v>
      </x:c>
      <x:c r="K6" s="4">
        <x:f>""</x:f>
      </x:c>
      <x:c r="M6" s="0" t="s">
        <x:v>20</x:v>
      </x:c>
    </x:row>
    <x:row r="7" spans="1:13">
      <x:c r="A7" s="0" t="s">
        <x:v>14</x:v>
      </x:c>
      <x:c r="C7" s="0" t="s">
        <x:v>21</x:v>
      </x:c>
      <x:c r="D7" s="0" t="s">
        <x:v>22</x:v>
      </x:c>
      <x:c r="K7" s="4">
        <x:f>""</x:f>
      </x:c>
      <x:c r="M7" s="0" t="s">
        <x:v>23</x:v>
      </x:c>
    </x:row>
    <x:row r="8" spans="1:13">
      <x:c r="A8" s="0" t="s">
        <x:v>14</x:v>
      </x:c>
      <x:c r="C8" s="0" t="s">
        <x:v>24</x:v>
      </x:c>
      <x:c r="D8" s="0" t="s">
        <x:v>25</x:v>
      </x:c>
      <x:c r="K8" s="4">
        <x:f>""</x:f>
      </x:c>
      <x:c r="M8" s="0" t="s">
        <x:v>26</x:v>
      </x:c>
    </x:row>
    <x:row r="9" spans="1:13">
      <x:c r="A9" s="0" t="s">
        <x:v>14</x:v>
      </x:c>
      <x:c r="C9" s="0" t="s">
        <x:v>27</x:v>
      </x:c>
      <x:c r="D9" s="0" t="s">
        <x:v>28</x:v>
      </x:c>
      <x:c r="K9" s="4">
        <x:f>""</x:f>
      </x:c>
      <x:c r="M9" s="0" t="s">
        <x:v>29</x:v>
      </x:c>
    </x:row>
    <x:row r="10" spans="1:13">
      <x:c r="A10" s="0" t="s">
        <x:v>14</x:v>
      </x:c>
      <x:c r="C10" s="0" t="s">
        <x:v>30</x:v>
      </x:c>
      <x:c r="D10" s="0" t="s">
        <x:v>31</x:v>
      </x:c>
      <x:c r="K10" s="4">
        <x:f>""</x:f>
      </x:c>
      <x:c r="M10" s="0" t="s">
        <x:v>32</x:v>
      </x:c>
    </x:row>
    <x:row r="11" spans="1:13">
      <x:c r="A11" s="0" t="s">
        <x:v>14</x:v>
      </x:c>
      <x:c r="C11" s="0" t="s">
        <x:v>33</x:v>
      </x:c>
      <x:c r="D11" s="0" t="s">
        <x:v>34</x:v>
      </x:c>
      <x:c r="K11" s="4">
        <x:f>""</x:f>
      </x:c>
      <x:c r="M11" s="0" t="s">
        <x:v>35</x:v>
      </x:c>
    </x:row>
    <x:row r="12" spans="1:13">
      <x:c r="A12" s="0" t="s">
        <x:v>14</x:v>
      </x:c>
      <x:c r="C12" s="0" t="s">
        <x:v>36</x:v>
      </x:c>
      <x:c r="D12" s="0" t="s">
        <x:v>37</x:v>
      </x:c>
      <x:c r="K12" s="4">
        <x:f>""</x:f>
      </x:c>
      <x:c r="M12" s="0" t="s">
        <x:v>38</x:v>
      </x:c>
    </x:row>
    <x:row r="13" spans="1:13">
      <x:c r="A13" s="0" t="s">
        <x:v>14</x:v>
      </x:c>
      <x:c r="C13" s="0" t="s">
        <x:v>39</x:v>
      </x:c>
      <x:c r="D13" s="0" t="s">
        <x:v>40</x:v>
      </x:c>
      <x:c r="K13" s="4">
        <x:f>""</x:f>
      </x:c>
      <x:c r="M13" s="0" t="s">
        <x:v>41</x:v>
      </x:c>
    </x:row>
    <x:row r="14" spans="1:13">
      <x:c r="A14" s="0" t="s">
        <x:v>14</x:v>
      </x:c>
      <x:c r="C14" s="0" t="s">
        <x:v>42</x:v>
      </x:c>
      <x:c r="D14" s="0" t="s">
        <x:v>43</x:v>
      </x:c>
      <x:c r="K14" s="4">
        <x:f>""</x:f>
      </x:c>
      <x:c r="M14" s="0" t="s">
        <x:v>44</x:v>
      </x:c>
    </x:row>
    <x:row r="15" spans="1:13">
      <x:c r="A15" s="0" t="s">
        <x:v>14</x:v>
      </x:c>
      <x:c r="C15" s="0" t="s">
        <x:v>45</x:v>
      </x:c>
      <x:c r="D15" s="0" t="s">
        <x:v>46</x:v>
      </x:c>
      <x:c r="K15" s="4">
        <x:f>""</x:f>
      </x:c>
      <x:c r="M15" s="0" t="s">
        <x:v>47</x:v>
      </x:c>
    </x:row>
    <x:row r="16" spans="1:13">
      <x:c r="A16" s="0" t="s">
        <x:v>14</x:v>
      </x:c>
      <x:c r="C16" s="0" t="s">
        <x:v>48</x:v>
      </x:c>
      <x:c r="D16" s="0" t="s">
        <x:v>49</x:v>
      </x:c>
      <x:c r="K16" s="4">
        <x:f>""</x:f>
      </x:c>
      <x:c r="M16" s="0" t="s">
        <x:v>50</x:v>
      </x:c>
    </x:row>
    <x:row r="17" spans="1:13">
      <x:c r="A17" s="0" t="s">
        <x:v>14</x:v>
      </x:c>
      <x:c r="C17" s="0" t="s">
        <x:v>51</x:v>
      </x:c>
      <x:c r="D17" s="0" t="s">
        <x:v>52</x:v>
      </x:c>
      <x:c r="K17" s="4">
        <x:f>""</x:f>
      </x:c>
      <x:c r="M17" s="0" t="s">
        <x:v>53</x:v>
      </x:c>
    </x:row>
    <x:row r="18" spans="1:13">
      <x:c r="A18" s="0" t="s">
        <x:v>14</x:v>
      </x:c>
      <x:c r="C18" s="0" t="s">
        <x:v>54</x:v>
      </x:c>
      <x:c r="D18" s="0" t="s">
        <x:v>55</x:v>
      </x:c>
      <x:c r="K18" s="4">
        <x:f>""</x:f>
      </x:c>
      <x:c r="M18" s="0" t="s">
        <x:v>56</x:v>
      </x:c>
    </x:row>
    <x:row r="19" spans="1:13">
      <x:c r="A19" s="0" t="s">
        <x:v>14</x:v>
      </x:c>
      <x:c r="C19" s="0" t="s">
        <x:v>57</x:v>
      </x:c>
      <x:c r="D19" s="0" t="s">
        <x:v>58</x:v>
      </x:c>
      <x:c r="K19" s="4">
        <x:f>""</x:f>
      </x:c>
      <x:c r="M19" s="0" t="s">
        <x:v>59</x:v>
      </x:c>
    </x:row>
    <x:row r="20" spans="1:13">
      <x:c r="A20" s="0" t="s">
        <x:v>14</x:v>
      </x:c>
      <x:c r="C20" s="0" t="s">
        <x:v>60</x:v>
      </x:c>
      <x:c r="D20" s="0" t="s">
        <x:v>61</x:v>
      </x:c>
      <x:c r="K20" s="4">
        <x:f>""</x:f>
      </x:c>
      <x:c r="M20" s="0" t="s">
        <x:v>62</x:v>
      </x:c>
    </x:row>
    <x:row r="21" spans="1:13">
      <x:c r="A21" s="0" t="s">
        <x:v>14</x:v>
      </x:c>
      <x:c r="C21" s="0" t="s">
        <x:v>63</x:v>
      </x:c>
      <x:c r="D21" s="0" t="s">
        <x:v>64</x:v>
      </x:c>
      <x:c r="K21" s="4">
        <x:f>""</x:f>
      </x:c>
      <x:c r="M21" s="0" t="s">
        <x:v>65</x:v>
      </x:c>
    </x:row>
    <x:row r="22" spans="1:13">
      <x:c r="A22" s="0" t="s">
        <x:v>14</x:v>
      </x:c>
      <x:c r="C22" s="0" t="s">
        <x:v>63</x:v>
      </x:c>
      <x:c r="D22" s="0" t="s">
        <x:v>66</x:v>
      </x:c>
      <x:c r="K22" s="4">
        <x:f>""</x:f>
      </x:c>
      <x:c r="M22" s="0" t="s">
        <x:v>67</x:v>
      </x:c>
    </x:row>
    <x:row r="23" spans="1:13">
      <x:c r="A23" s="0" t="s">
        <x:v>14</x:v>
      </x:c>
      <x:c r="C23" s="0" t="s">
        <x:v>63</x:v>
      </x:c>
      <x:c r="D23" s="0" t="s">
        <x:v>68</x:v>
      </x:c>
      <x:c r="K23" s="4">
        <x:f>""</x:f>
      </x:c>
      <x:c r="M23" s="0" t="s">
        <x:v>69</x:v>
      </x:c>
    </x:row>
    <x:row r="24" spans="1:13">
      <x:c r="A24" s="0" t="s">
        <x:v>14</x:v>
      </x:c>
      <x:c r="C24" s="0" t="s">
        <x:v>63</x:v>
      </x:c>
      <x:c r="D24" s="0" t="s">
        <x:v>70</x:v>
      </x:c>
      <x:c r="K24" s="4">
        <x:f>""</x:f>
      </x:c>
      <x:c r="M24" s="0" t="s">
        <x:v>71</x:v>
      </x:c>
    </x:row>
    <x:row r="25" spans="1:13">
      <x:c r="A25" s="0" t="s">
        <x:v>14</x:v>
      </x:c>
      <x:c r="C25" s="0" t="s">
        <x:v>72</x:v>
      </x:c>
      <x:c r="D25" s="0" t="s">
        <x:v>73</x:v>
      </x:c>
      <x:c r="K25" s="4">
        <x:f>""</x:f>
      </x:c>
      <x:c r="M25" s="0" t="s">
        <x:v>74</x:v>
      </x:c>
    </x:row>
    <x:row r="26" spans="1:13">
      <x:c r="A26" s="0" t="s">
        <x:v>14</x:v>
      </x:c>
      <x:c r="C26" s="0" t="s">
        <x:v>75</x:v>
      </x:c>
      <x:c r="D26" s="0" t="s">
        <x:v>76</x:v>
      </x:c>
      <x:c r="K26" s="4">
        <x:f>""</x:f>
      </x:c>
      <x:c r="M26" s="0" t="s">
        <x:v>77</x:v>
      </x:c>
    </x:row>
    <x:row r="27" spans="1:13">
      <x:c r="A27" s="0" t="s">
        <x:v>14</x:v>
      </x:c>
      <x:c r="C27" s="0" t="s">
        <x:v>78</x:v>
      </x:c>
      <x:c r="D27" s="0" t="s">
        <x:v>79</x:v>
      </x:c>
      <x:c r="K27" s="4">
        <x:f>""</x:f>
      </x:c>
      <x:c r="M27" s="0" t="s">
        <x:v>80</x:v>
      </x:c>
    </x:row>
    <x:row r="28" spans="1:13">
      <x:c r="A28" s="0" t="s">
        <x:v>14</x:v>
      </x:c>
      <x:c r="C28" s="0" t="s">
        <x:v>81</x:v>
      </x:c>
      <x:c r="D28" s="0" t="s">
        <x:v>82</x:v>
      </x:c>
      <x:c r="K28" s="4">
        <x:f>""</x:f>
      </x:c>
      <x:c r="M28" s="0" t="s">
        <x:v>83</x:v>
      </x:c>
    </x:row>
    <x:row r="29" spans="1:13" outlineLevel="1">
      <x:c r="A29" s="0" t="s">
        <x:v>84</x:v>
      </x:c>
      <x:c r="B29" s="1" t="s">
        <x:v>85</x:v>
      </x:c>
      <x:c r="C29" s="0" t="s">
        <x:v>86</x:v>
      </x:c>
      <x:c r="E29" s="2"/>
      <x:c r="G29" s="3"/>
      <x:c r="H29" s="3"/>
      <x:c r="I29" s="4"/>
      <x:c r="J29" s="3"/>
      <x:c r="K29" s="4">
        <x:f>""</x:f>
      </x:c>
      <x:c r="L29" s="1"/>
    </x:row>
    <x:row r="30" spans="1:13" outlineLevel="2">
      <x:c r="A30" s="0" t="s">
        <x:v>84</x:v>
      </x:c>
      <x:c r="B30" s="1" t="s">
        <x:v>87</x:v>
      </x:c>
      <x:c r="C30" s="0" t="s">
        <x:v>88</x:v>
      </x:c>
      <x:c r="E30" s="2"/>
      <x:c r="G30" s="3"/>
      <x:c r="H30" s="3"/>
      <x:c r="I30" s="4"/>
      <x:c r="J30" s="3"/>
      <x:c r="K30" s="4">
        <x:f>""</x:f>
      </x:c>
      <x:c r="L30" s="1"/>
    </x:row>
    <x:row r="31" spans="1:13" outlineLevel="2">
      <x:c r="A31" s="0" t="s">
        <x:v>14</x:v>
      </x:c>
      <x:c r="B31" s="1"/>
      <x:c r="C31" s="0" t="s">
        <x:v>89</x:v>
      </x:c>
      <x:c r="D31" s="0" t="s">
        <x:v>90</x:v>
      </x:c>
      <x:c r="E31" s="2"/>
      <x:c r="G31" s="3"/>
      <x:c r="H31" s="3"/>
      <x:c r="I31" s="4"/>
      <x:c r="J31" s="3"/>
      <x:c r="K31" s="4">
        <x:f>""</x:f>
      </x:c>
      <x:c r="L31" s="1"/>
      <x:c r="M31" s="0" t="s">
        <x:v>91</x:v>
      </x:c>
    </x:row>
    <x:row r="32" spans="1:13" outlineLevel="2">
      <x:c r="A32" s="0" t="s">
        <x:v>92</x:v>
      </x:c>
      <x:c r="B32" s="1" t="s">
        <x:v>93</x:v>
      </x:c>
      <x:c r="C32" s="0" t="s">
        <x:v>94</x:v>
      </x:c>
      <x:c r="D32" s="0" t="s">
        <x:v>95</x:v>
      </x:c>
      <x:c r="E32" s="2">
        <x:v>1</x:v>
      </x:c>
      <x:c r="F32" s="0" t="s">
        <x:v>96</x:v>
      </x:c>
      <x:c r="G32" s="3">
        <x:f>SUMPRODUCT((Kalkulation!A2:A50000=B32)*Kalkulation!D2:D50000)</x:f>
      </x:c>
      <x:c r="H32" s="3">
        <x:f>G32*E32</x:f>
      </x:c>
      <x:c r="I32" s="4"/>
      <x:c r="J32" s="3">
        <x:f>H32*(1-I32)</x:f>
      </x:c>
      <x:c r="K32" s="4">
        <x:f>B2</x:f>
      </x:c>
      <x:c r="L32" s="1" t="s">
        <x:v>97</x:v>
      </x:c>
      <x:c r="M32" s="0" t="s">
        <x:v>98</x:v>
      </x:c>
    </x:row>
    <x:row r="33" spans="1:13" outlineLevel="2">
      <x:c r="A33" s="0" t="s">
        <x:v>92</x:v>
      </x:c>
      <x:c r="B33" s="1" t="s">
        <x:v>99</x:v>
      </x:c>
      <x:c r="C33" s="0" t="s">
        <x:v>100</x:v>
      </x:c>
      <x:c r="D33" s="0" t="s">
        <x:v>101</x:v>
      </x:c>
      <x:c r="E33" s="2">
        <x:v>1</x:v>
      </x:c>
      <x:c r="F33" s="0" t="s">
        <x:v>96</x:v>
      </x:c>
      <x:c r="G33" s="3">
        <x:f>SUMPRODUCT((Kalkulation!A2:A50000=B33)*Kalkulation!D2:D50000)</x:f>
      </x:c>
      <x:c r="H33" s="3">
        <x:f>G33*E33</x:f>
      </x:c>
      <x:c r="I33" s="4"/>
      <x:c r="J33" s="3">
        <x:f>H33*(1-I33)</x:f>
      </x:c>
      <x:c r="K33" s="4">
        <x:f>B2</x:f>
      </x:c>
      <x:c r="L33" s="1" t="s">
        <x:v>97</x:v>
      </x:c>
      <x:c r="M33" s="0" t="s">
        <x:v>102</x:v>
      </x:c>
    </x:row>
    <x:row r="34" spans="1:13" outlineLevel="2">
      <x:c r="A34" s="0" t="s">
        <x:v>92</x:v>
      </x:c>
      <x:c r="B34" s="1" t="s">
        <x:v>103</x:v>
      </x:c>
      <x:c r="C34" s="0" t="s">
        <x:v>104</x:v>
      </x:c>
      <x:c r="D34" s="0" t="s">
        <x:v>105</x:v>
      </x:c>
      <x:c r="E34" s="2">
        <x:v>1</x:v>
      </x:c>
      <x:c r="F34" s="0" t="s">
        <x:v>96</x:v>
      </x:c>
      <x:c r="G34" s="3">
        <x:f>SUMPRODUCT((Kalkulation!A2:A50000=B34)*Kalkulation!D2:D50000)</x:f>
      </x:c>
      <x:c r="H34" s="3">
        <x:f>G34*E34</x:f>
      </x:c>
      <x:c r="I34" s="4"/>
      <x:c r="J34" s="3">
        <x:f>H34*(1-I34)</x:f>
      </x:c>
      <x:c r="K34" s="4">
        <x:f>B2</x:f>
      </x:c>
      <x:c r="L34" s="1" t="s">
        <x:v>97</x:v>
      </x:c>
      <x:c r="M34" s="0" t="s">
        <x:v>106</x:v>
      </x:c>
    </x:row>
    <x:row r="35" spans="1:13" outlineLevel="2">
      <x:c r="A35" s="0" t="s">
        <x:v>92</x:v>
      </x:c>
      <x:c r="B35" s="1" t="s">
        <x:v>107</x:v>
      </x:c>
      <x:c r="C35" s="0" t="s">
        <x:v>108</x:v>
      </x:c>
      <x:c r="D35" s="0" t="s">
        <x:v>109</x:v>
      </x:c>
      <x:c r="E35" s="2">
        <x:v>1</x:v>
      </x:c>
      <x:c r="F35" s="0" t="s">
        <x:v>96</x:v>
      </x:c>
      <x:c r="G35" s="3">
        <x:f>SUMPRODUCT((Kalkulation!A2:A50000=B35)*Kalkulation!D2:D50000)</x:f>
      </x:c>
      <x:c r="H35" s="3">
        <x:f>G35*E35</x:f>
      </x:c>
      <x:c r="I35" s="4"/>
      <x:c r="J35" s="3">
        <x:f>H35*(1-I35)</x:f>
      </x:c>
      <x:c r="K35" s="4">
        <x:f>B2</x:f>
      </x:c>
      <x:c r="L35" s="1" t="s">
        <x:v>97</x:v>
      </x:c>
      <x:c r="M35" s="0" t="s">
        <x:v>110</x:v>
      </x:c>
    </x:row>
    <x:row r="36" spans="1:13" outlineLevel="2">
      <x:c r="A36" s="0" t="s">
        <x:v>92</x:v>
      </x:c>
      <x:c r="B36" s="1" t="s">
        <x:v>111</x:v>
      </x:c>
      <x:c r="C36" s="0" t="s">
        <x:v>112</x:v>
      </x:c>
      <x:c r="D36" s="0" t="s">
        <x:v>113</x:v>
      </x:c>
      <x:c r="E36" s="2">
        <x:v>1</x:v>
      </x:c>
      <x:c r="F36" s="0" t="s">
        <x:v>96</x:v>
      </x:c>
      <x:c r="G36" s="3">
        <x:f>SUMPRODUCT((Kalkulation!A2:A50000=B36)*Kalkulation!D2:D50000)</x:f>
      </x:c>
      <x:c r="H36" s="3">
        <x:f>G36*E36</x:f>
      </x:c>
      <x:c r="I36" s="4"/>
      <x:c r="J36" s="3">
        <x:f>H36*(1-I36)</x:f>
      </x:c>
      <x:c r="K36" s="4">
        <x:f>B2</x:f>
      </x:c>
      <x:c r="L36" s="1" t="s">
        <x:v>97</x:v>
      </x:c>
      <x:c r="M36" s="0" t="s">
        <x:v>114</x:v>
      </x:c>
    </x:row>
    <x:row r="37" spans="1:13" outlineLevel="2">
      <x:c r="A37" s="0" t="s">
        <x:v>92</x:v>
      </x:c>
      <x:c r="B37" s="1" t="s">
        <x:v>115</x:v>
      </x:c>
      <x:c r="C37" s="0" t="s">
        <x:v>116</x:v>
      </x:c>
      <x:c r="D37" s="0" t="s">
        <x:v>117</x:v>
      </x:c>
      <x:c r="E37" s="2">
        <x:v>1</x:v>
      </x:c>
      <x:c r="F37" s="0" t="s">
        <x:v>96</x:v>
      </x:c>
      <x:c r="G37" s="3">
        <x:f>SUMPRODUCT((Kalkulation!A2:A50000=B37)*Kalkulation!D2:D50000)</x:f>
      </x:c>
      <x:c r="H37" s="3">
        <x:f>G37*E37</x:f>
      </x:c>
      <x:c r="I37" s="4"/>
      <x:c r="J37" s="3">
        <x:f>H37*(1-I37)</x:f>
      </x:c>
      <x:c r="K37" s="4">
        <x:f>B2</x:f>
      </x:c>
      <x:c r="L37" s="1" t="s">
        <x:v>97</x:v>
      </x:c>
      <x:c r="M37" s="0" t="s">
        <x:v>118</x:v>
      </x:c>
    </x:row>
    <x:row r="38" spans="1:13" outlineLevel="2">
      <x:c r="A38" s="0" t="s">
        <x:v>14</x:v>
      </x:c>
      <x:c r="B38" s="1"/>
      <x:c r="C38" s="0" t="s">
        <x:v>63</x:v>
      </x:c>
      <x:c r="D38" s="0" t="s">
        <x:v>119</x:v>
      </x:c>
      <x:c r="E38" s="2"/>
      <x:c r="G38" s="3"/>
      <x:c r="H38" s="3"/>
      <x:c r="I38" s="4"/>
      <x:c r="J38" s="3"/>
      <x:c r="K38" s="4">
        <x:f>""</x:f>
      </x:c>
      <x:c r="L38" s="1"/>
      <x:c r="M38" s="0" t="s">
        <x:v>120</x:v>
      </x:c>
    </x:row>
    <x:row r="39" spans="1:13" outlineLevel="2">
      <x:c r="A39" s="0" t="s">
        <x:v>92</x:v>
      </x:c>
      <x:c r="B39" s="1" t="s">
        <x:v>121</x:v>
      </x:c>
      <x:c r="C39" s="0" t="s">
        <x:v>122</x:v>
      </x:c>
      <x:c r="D39" s="0" t="s">
        <x:v>123</x:v>
      </x:c>
      <x:c r="E39" s="2">
        <x:v>1</x:v>
      </x:c>
      <x:c r="F39" s="0" t="s">
        <x:v>96</x:v>
      </x:c>
      <x:c r="G39" s="3">
        <x:f>SUMPRODUCT((Kalkulation!A2:A50000=B39)*Kalkulation!D2:D50000)</x:f>
      </x:c>
      <x:c r="H39" s="3">
        <x:f>G39*E39</x:f>
      </x:c>
      <x:c r="I39" s="4"/>
      <x:c r="J39" s="3">
        <x:f>H39*(1-I39)</x:f>
      </x:c>
      <x:c r="K39" s="4">
        <x:f>B2</x:f>
      </x:c>
      <x:c r="L39" s="1" t="s">
        <x:v>97</x:v>
      </x:c>
      <x:c r="M39" s="0" t="s">
        <x:v>124</x:v>
      </x:c>
    </x:row>
    <x:row r="40" spans="1:13" outlineLevel="2">
      <x:c r="A40" s="0" t="s">
        <x:v>92</x:v>
      </x:c>
      <x:c r="B40" s="1" t="s">
        <x:v>125</x:v>
      </x:c>
      <x:c r="C40" s="0" t="s">
        <x:v>126</x:v>
      </x:c>
      <x:c r="D40" s="0" t="s">
        <x:v>127</x:v>
      </x:c>
      <x:c r="E40" s="2">
        <x:v>1</x:v>
      </x:c>
      <x:c r="F40" s="0" t="s">
        <x:v>96</x:v>
      </x:c>
      <x:c r="G40" s="3">
        <x:f>SUMPRODUCT((Kalkulation!A2:A50000=B40)*Kalkulation!D2:D50000)</x:f>
      </x:c>
      <x:c r="H40" s="3">
        <x:f>G40*E40</x:f>
      </x:c>
      <x:c r="I40" s="4"/>
      <x:c r="J40" s="3">
        <x:f>H40*(1-I40)</x:f>
      </x:c>
      <x:c r="K40" s="4">
        <x:f>B2</x:f>
      </x:c>
      <x:c r="L40" s="1" t="s">
        <x:v>97</x:v>
      </x:c>
      <x:c r="M40" s="0" t="s">
        <x:v>128</x:v>
      </x:c>
    </x:row>
    <x:row r="41" spans="1:13" outlineLevel="2">
      <x:c r="A41" s="0" t="s">
        <x:v>92</x:v>
      </x:c>
      <x:c r="B41" s="1" t="s">
        <x:v>129</x:v>
      </x:c>
      <x:c r="C41" s="0" t="s">
        <x:v>130</x:v>
      </x:c>
      <x:c r="D41" s="0" t="s">
        <x:v>131</x:v>
      </x:c>
      <x:c r="E41" s="2">
        <x:v>1</x:v>
      </x:c>
      <x:c r="F41" s="0" t="s">
        <x:v>132</x:v>
      </x:c>
      <x:c r="G41" s="3">
        <x:f>SUMPRODUCT((Kalkulation!A2:A50000=B41)*Kalkulation!D2:D50000)</x:f>
      </x:c>
      <x:c r="H41" s="3">
        <x:f>G41*E41</x:f>
      </x:c>
      <x:c r="I41" s="4"/>
      <x:c r="J41" s="3">
        <x:f>H41*(1-I41)</x:f>
      </x:c>
      <x:c r="K41" s="4">
        <x:f>B2</x:f>
      </x:c>
      <x:c r="L41" s="1" t="s">
        <x:v>97</x:v>
      </x:c>
      <x:c r="M41" s="0" t="s">
        <x:v>133</x:v>
      </x:c>
    </x:row>
    <x:row r="42" spans="1:13" outlineLevel="2">
      <x:c r="A42" s="0" t="s">
        <x:v>92</x:v>
      </x:c>
      <x:c r="B42" s="1" t="s">
        <x:v>134</x:v>
      </x:c>
      <x:c r="C42" s="0" t="s">
        <x:v>135</x:v>
      </x:c>
      <x:c r="D42" s="0" t="s">
        <x:v>136</x:v>
      </x:c>
      <x:c r="E42" s="2">
        <x:v>12</x:v>
      </x:c>
      <x:c r="F42" s="0" t="s">
        <x:v>137</x:v>
      </x:c>
      <x:c r="G42" s="3">
        <x:f>SUMPRODUCT((Kalkulation!A2:A50000=B42)*Kalkulation!D2:D50000)</x:f>
      </x:c>
      <x:c r="H42" s="3">
        <x:f>G42*E42</x:f>
      </x:c>
      <x:c r="I42" s="4"/>
      <x:c r="J42" s="3">
        <x:f>H42*(1-I42)</x:f>
      </x:c>
      <x:c r="K42" s="4">
        <x:f>B2</x:f>
      </x:c>
      <x:c r="L42" s="1" t="s">
        <x:v>97</x:v>
      </x:c>
      <x:c r="M42" s="0" t="s">
        <x:v>138</x:v>
      </x:c>
    </x:row>
    <x:row r="43" spans="1:13" outlineLevel="2">
      <x:c r="A43" s="0" t="s">
        <x:v>92</x:v>
      </x:c>
      <x:c r="B43" s="1" t="s">
        <x:v>139</x:v>
      </x:c>
      <x:c r="C43" s="0" t="s">
        <x:v>140</x:v>
      </x:c>
      <x:c r="D43" s="0" t="s">
        <x:v>141</x:v>
      </x:c>
      <x:c r="E43" s="2">
        <x:v>5</x:v>
      </x:c>
      <x:c r="F43" s="0" t="s">
        <x:v>132</x:v>
      </x:c>
      <x:c r="G43" s="3">
        <x:f>SUMPRODUCT((Kalkulation!A2:A50000=B43)*Kalkulation!D2:D50000)</x:f>
      </x:c>
      <x:c r="H43" s="3">
        <x:f>G43*E43</x:f>
      </x:c>
      <x:c r="I43" s="4"/>
      <x:c r="J43" s="3">
        <x:f>H43*(1-I43)</x:f>
      </x:c>
      <x:c r="K43" s="4">
        <x:f>B2</x:f>
      </x:c>
      <x:c r="L43" s="1" t="s">
        <x:v>97</x:v>
      </x:c>
      <x:c r="M43" s="0" t="s">
        <x:v>142</x:v>
      </x:c>
    </x:row>
    <x:row r="44" spans="1:13" outlineLevel="2">
      <x:c r="A44" s="0" t="s">
        <x:v>92</x:v>
      </x:c>
      <x:c r="B44" s="1" t="s">
        <x:v>143</x:v>
      </x:c>
      <x:c r="C44" s="0" t="s">
        <x:v>144</x:v>
      </x:c>
      <x:c r="D44" s="0" t="s">
        <x:v>145</x:v>
      </x:c>
      <x:c r="E44" s="2">
        <x:v>5</x:v>
      </x:c>
      <x:c r="F44" s="0" t="s">
        <x:v>132</x:v>
      </x:c>
      <x:c r="G44" s="3">
        <x:f>SUMPRODUCT((Kalkulation!A2:A50000=B44)*Kalkulation!D2:D50000)</x:f>
      </x:c>
      <x:c r="H44" s="3">
        <x:f>G44*E44</x:f>
      </x:c>
      <x:c r="I44" s="4"/>
      <x:c r="J44" s="3">
        <x:f>H44*(1-I44)</x:f>
      </x:c>
      <x:c r="K44" s="4">
        <x:f>B2</x:f>
      </x:c>
      <x:c r="L44" s="1" t="s">
        <x:v>97</x:v>
      </x:c>
      <x:c r="M44" s="0" t="s">
        <x:v>146</x:v>
      </x:c>
    </x:row>
    <x:row r="45" spans="1:13" outlineLevel="2">
      <x:c r="A45" s="0" t="s">
        <x:v>92</x:v>
      </x:c>
      <x:c r="B45" s="1" t="s">
        <x:v>147</x:v>
      </x:c>
      <x:c r="C45" s="0" t="s">
        <x:v>148</x:v>
      </x:c>
      <x:c r="D45" s="0" t="s">
        <x:v>149</x:v>
      </x:c>
      <x:c r="E45" s="2">
        <x:v>1</x:v>
      </x:c>
      <x:c r="F45" s="0" t="s">
        <x:v>132</x:v>
      </x:c>
      <x:c r="G45" s="3">
        <x:f>SUMPRODUCT((Kalkulation!A2:A50000=B45)*Kalkulation!D2:D50000)</x:f>
      </x:c>
      <x:c r="H45" s="3">
        <x:f>G45*E45</x:f>
      </x:c>
      <x:c r="I45" s="4"/>
      <x:c r="J45" s="3">
        <x:f>H45*(1-I45)</x:f>
      </x:c>
      <x:c r="K45" s="4">
        <x:f>B2</x:f>
      </x:c>
      <x:c r="L45" s="1" t="s">
        <x:v>97</x:v>
      </x:c>
      <x:c r="M45" s="0" t="s">
        <x:v>150</x:v>
      </x:c>
    </x:row>
    <x:row r="46" spans="1:13" s="5" customFormat="1" outlineLevel="1">
      <x:c r="A46" s="12" t="s">
        <x:v>151</x:v>
      </x:c>
      <x:c r="B46" s="13" t="s">
        <x:v>87</x:v>
      </x:c>
      <x:c r="C46" s="12" t="s">
        <x:v>88</x:v>
      </x:c>
      <x:c r="D46" s="12"/>
      <x:c r="E46" s="14"/>
      <x:c r="F46" s="12"/>
      <x:c r="G46" s="15"/>
      <x:c r="H46" s="15">
        <x:f>SUMIF(L:L,"382845b3-2bf1-4a0d-864c-e54fb01ead4d",J:J)</x:f>
      </x:c>
      <x:c r="I46" s="16"/>
      <x:c r="J46" s="15">
        <x:f>H46*(1-I46)</x:f>
      </x:c>
      <x:c r="K46" s="16"/>
      <x:c r="L46" s="6" t="s">
        <x:v>152</x:v>
      </x:c>
      <x:c r="M46" s="5" t="s">
        <x:v>97</x:v>
      </x:c>
    </x:row>
    <x:row r="47" spans="1:13" outlineLevel="2">
      <x:c r="A47" s="0" t="s">
        <x:v>84</x:v>
      </x:c>
      <x:c r="B47" s="1" t="s">
        <x:v>153</x:v>
      </x:c>
      <x:c r="C47" s="0" t="s">
        <x:v>154</x:v>
      </x:c>
      <x:c r="E47" s="2"/>
      <x:c r="G47" s="3"/>
      <x:c r="H47" s="3"/>
      <x:c r="I47" s="4"/>
      <x:c r="J47" s="3"/>
      <x:c r="K47" s="4">
        <x:f>""</x:f>
      </x:c>
      <x:c r="L47" s="1"/>
    </x:row>
    <x:row r="48" spans="1:13" outlineLevel="2">
      <x:c r="A48" s="0" t="s">
        <x:v>92</x:v>
      </x:c>
      <x:c r="B48" s="1" t="s">
        <x:v>155</x:v>
      </x:c>
      <x:c r="C48" s="0" t="s">
        <x:v>156</x:v>
      </x:c>
      <x:c r="D48" s="0" t="s">
        <x:v>157</x:v>
      </x:c>
      <x:c r="E48" s="2">
        <x:v>50</x:v>
      </x:c>
      <x:c r="F48" s="0" t="s">
        <x:v>158</x:v>
      </x:c>
      <x:c r="G48" s="3">
        <x:f>SUMPRODUCT((Kalkulation!A2:A50000=B48)*Kalkulation!D2:D50000)</x:f>
      </x:c>
      <x:c r="H48" s="3">
        <x:f>G48*E48</x:f>
      </x:c>
      <x:c r="I48" s="4"/>
      <x:c r="J48" s="3">
        <x:f>H48*(1-I48)</x:f>
      </x:c>
      <x:c r="K48" s="4">
        <x:f>B2</x:f>
      </x:c>
      <x:c r="L48" s="1" t="s">
        <x:v>159</x:v>
      </x:c>
      <x:c r="M48" s="0" t="s">
        <x:v>160</x:v>
      </x:c>
    </x:row>
    <x:row r="49" spans="1:13" outlineLevel="2">
      <x:c r="A49" s="0" t="s">
        <x:v>92</x:v>
      </x:c>
      <x:c r="B49" s="1" t="s">
        <x:v>161</x:v>
      </x:c>
      <x:c r="C49" s="0" t="s">
        <x:v>162</x:v>
      </x:c>
      <x:c r="D49" s="0" t="s">
        <x:v>163</x:v>
      </x:c>
      <x:c r="E49" s="2">
        <x:v>1</x:v>
      </x:c>
      <x:c r="F49" s="0" t="s">
        <x:v>164</x:v>
      </x:c>
      <x:c r="G49" s="3">
        <x:f>SUMPRODUCT((Kalkulation!A2:A50000=B49)*Kalkulation!D2:D50000)</x:f>
      </x:c>
      <x:c r="H49" s="3">
        <x:f>G49*E49</x:f>
      </x:c>
      <x:c r="I49" s="4"/>
      <x:c r="J49" s="3">
        <x:f>H49*(1-I49)</x:f>
      </x:c>
      <x:c r="K49" s="4">
        <x:f>B2</x:f>
      </x:c>
      <x:c r="L49" s="1" t="s">
        <x:v>159</x:v>
      </x:c>
      <x:c r="M49" s="0" t="s">
        <x:v>165</x:v>
      </x:c>
    </x:row>
    <x:row r="50" spans="1:13" outlineLevel="2">
      <x:c r="A50" s="0" t="s">
        <x:v>92</x:v>
      </x:c>
      <x:c r="B50" s="1" t="s">
        <x:v>166</x:v>
      </x:c>
      <x:c r="C50" s="0" t="s">
        <x:v>167</x:v>
      </x:c>
      <x:c r="D50" s="0" t="s">
        <x:v>168</x:v>
      </x:c>
      <x:c r="E50" s="2">
        <x:v>7</x:v>
      </x:c>
      <x:c r="F50" s="0" t="s">
        <x:v>132</x:v>
      </x:c>
      <x:c r="G50" s="3">
        <x:f>SUMPRODUCT((Kalkulation!A2:A50000=B50)*Kalkulation!D2:D50000)</x:f>
      </x:c>
      <x:c r="H50" s="3">
        <x:f>G50*E50</x:f>
      </x:c>
      <x:c r="I50" s="4"/>
      <x:c r="J50" s="3">
        <x:f>H50*(1-I50)</x:f>
      </x:c>
      <x:c r="K50" s="4">
        <x:f>B2</x:f>
      </x:c>
      <x:c r="L50" s="1" t="s">
        <x:v>159</x:v>
      </x:c>
      <x:c r="M50" s="0" t="s">
        <x:v>169</x:v>
      </x:c>
    </x:row>
    <x:row r="51" spans="1:13" outlineLevel="2">
      <x:c r="A51" s="0" t="s">
        <x:v>92</x:v>
      </x:c>
      <x:c r="B51" s="1" t="s">
        <x:v>170</x:v>
      </x:c>
      <x:c r="C51" s="0" t="s">
        <x:v>171</x:v>
      </x:c>
      <x:c r="D51" s="0" t="s">
        <x:v>172</x:v>
      </x:c>
      <x:c r="E51" s="2">
        <x:v>15</x:v>
      </x:c>
      <x:c r="F51" s="0" t="s">
        <x:v>132</x:v>
      </x:c>
      <x:c r="G51" s="3">
        <x:f>SUMPRODUCT((Kalkulation!A2:A50000=B51)*Kalkulation!D2:D50000)</x:f>
      </x:c>
      <x:c r="H51" s="3">
        <x:f>G51*E51</x:f>
      </x:c>
      <x:c r="I51" s="4"/>
      <x:c r="J51" s="3">
        <x:f>H51*(1-I51)</x:f>
      </x:c>
      <x:c r="K51" s="4">
        <x:f>B2</x:f>
      </x:c>
      <x:c r="L51" s="1" t="s">
        <x:v>159</x:v>
      </x:c>
      <x:c r="M51" s="0" t="s">
        <x:v>173</x:v>
      </x:c>
    </x:row>
    <x:row r="52" spans="1:13" outlineLevel="2">
      <x:c r="A52" s="0" t="s">
        <x:v>92</x:v>
      </x:c>
      <x:c r="B52" s="1" t="s">
        <x:v>174</x:v>
      </x:c>
      <x:c r="C52" s="0" t="s">
        <x:v>175</x:v>
      </x:c>
      <x:c r="D52" s="0" t="s">
        <x:v>176</x:v>
      </x:c>
      <x:c r="E52" s="2">
        <x:v>5</x:v>
      </x:c>
      <x:c r="F52" s="0" t="s">
        <x:v>177</x:v>
      </x:c>
      <x:c r="G52" s="3">
        <x:f>SUMPRODUCT((Kalkulation!A2:A50000=B52)*Kalkulation!D2:D50000)</x:f>
      </x:c>
      <x:c r="H52" s="3">
        <x:f>G52*E52</x:f>
      </x:c>
      <x:c r="I52" s="4"/>
      <x:c r="J52" s="3">
        <x:f>H52*(1-I52)</x:f>
      </x:c>
      <x:c r="K52" s="4">
        <x:f>B2</x:f>
      </x:c>
      <x:c r="L52" s="1" t="s">
        <x:v>159</x:v>
      </x:c>
      <x:c r="M52" s="0" t="s">
        <x:v>178</x:v>
      </x:c>
    </x:row>
    <x:row r="53" spans="1:13" outlineLevel="2">
      <x:c r="A53" s="0" t="s">
        <x:v>92</x:v>
      </x:c>
      <x:c r="B53" s="1" t="s">
        <x:v>179</x:v>
      </x:c>
      <x:c r="C53" s="0" t="s">
        <x:v>180</x:v>
      </x:c>
      <x:c r="D53" s="0" t="s">
        <x:v>181</x:v>
      </x:c>
      <x:c r="E53" s="2">
        <x:v>40</x:v>
      </x:c>
      <x:c r="F53" s="0" t="s">
        <x:v>177</x:v>
      </x:c>
      <x:c r="G53" s="3">
        <x:f>SUMPRODUCT((Kalkulation!A2:A50000=B53)*Kalkulation!D2:D50000)</x:f>
      </x:c>
      <x:c r="H53" s="3">
        <x:f>G53*E53</x:f>
      </x:c>
      <x:c r="I53" s="4"/>
      <x:c r="J53" s="3">
        <x:f>H53*(1-I53)</x:f>
      </x:c>
      <x:c r="K53" s="4">
        <x:f>B2</x:f>
      </x:c>
      <x:c r="L53" s="1" t="s">
        <x:v>159</x:v>
      </x:c>
      <x:c r="M53" s="0" t="s">
        <x:v>182</x:v>
      </x:c>
    </x:row>
    <x:row r="54" spans="1:13" outlineLevel="2">
      <x:c r="A54" s="0" t="s">
        <x:v>92</x:v>
      </x:c>
      <x:c r="B54" s="1" t="s">
        <x:v>183</x:v>
      </x:c>
      <x:c r="C54" s="0" t="s">
        <x:v>184</x:v>
      </x:c>
      <x:c r="D54" s="0" t="s">
        <x:v>185</x:v>
      </x:c>
      <x:c r="E54" s="2">
        <x:v>30</x:v>
      </x:c>
      <x:c r="F54" s="0" t="s">
        <x:v>177</x:v>
      </x:c>
      <x:c r="G54" s="3">
        <x:f>SUMPRODUCT((Kalkulation!A2:A50000=B54)*Kalkulation!D2:D50000)</x:f>
      </x:c>
      <x:c r="H54" s="3">
        <x:f>G54*E54</x:f>
      </x:c>
      <x:c r="I54" s="4"/>
      <x:c r="J54" s="3">
        <x:f>H54*(1-I54)</x:f>
      </x:c>
      <x:c r="K54" s="4">
        <x:f>B2</x:f>
      </x:c>
      <x:c r="L54" s="1" t="s">
        <x:v>159</x:v>
      </x:c>
      <x:c r="M54" s="0" t="s">
        <x:v>186</x:v>
      </x:c>
    </x:row>
    <x:row r="55" spans="1:13" outlineLevel="2">
      <x:c r="A55" s="0" t="s">
        <x:v>92</x:v>
      </x:c>
      <x:c r="B55" s="1" t="s">
        <x:v>187</x:v>
      </x:c>
      <x:c r="C55" s="0" t="s">
        <x:v>188</x:v>
      </x:c>
      <x:c r="D55" s="0" t="s">
        <x:v>189</x:v>
      </x:c>
      <x:c r="E55" s="2">
        <x:v>960</x:v>
      </x:c>
      <x:c r="F55" s="0" t="s">
        <x:v>158</x:v>
      </x:c>
      <x:c r="G55" s="3">
        <x:f>SUMPRODUCT((Kalkulation!A2:A50000=B55)*Kalkulation!D2:D50000)</x:f>
      </x:c>
      <x:c r="H55" s="3">
        <x:f>G55*E55</x:f>
      </x:c>
      <x:c r="I55" s="4"/>
      <x:c r="J55" s="3">
        <x:f>H55*(1-I55)</x:f>
      </x:c>
      <x:c r="K55" s="4">
        <x:f>B2</x:f>
      </x:c>
      <x:c r="L55" s="1" t="s">
        <x:v>159</x:v>
      </x:c>
      <x:c r="M55" s="0" t="s">
        <x:v>190</x:v>
      </x:c>
    </x:row>
    <x:row r="56" spans="1:13" outlineLevel="2">
      <x:c r="A56" s="0" t="s">
        <x:v>92</x:v>
      </x:c>
      <x:c r="B56" s="1" t="s">
        <x:v>191</x:v>
      </x:c>
      <x:c r="C56" s="0" t="s">
        <x:v>192</x:v>
      </x:c>
      <x:c r="D56" s="0" t="s">
        <x:v>193</x:v>
      </x:c>
      <x:c r="E56" s="2">
        <x:v>25</x:v>
      </x:c>
      <x:c r="F56" s="0" t="s">
        <x:v>194</x:v>
      </x:c>
      <x:c r="G56" s="3">
        <x:f>SUMPRODUCT((Kalkulation!A2:A50000=B56)*Kalkulation!D2:D50000)</x:f>
      </x:c>
      <x:c r="H56" s="3">
        <x:f>G56*E56</x:f>
      </x:c>
      <x:c r="I56" s="4"/>
      <x:c r="J56" s="3">
        <x:f>H56*(1-I56)</x:f>
      </x:c>
      <x:c r="K56" s="4">
        <x:f>B2</x:f>
      </x:c>
      <x:c r="L56" s="1" t="s">
        <x:v>159</x:v>
      </x:c>
      <x:c r="M56" s="0" t="s">
        <x:v>195</x:v>
      </x:c>
    </x:row>
    <x:row r="57" spans="1:13" outlineLevel="2">
      <x:c r="A57" s="0" t="s">
        <x:v>92</x:v>
      </x:c>
      <x:c r="B57" s="1" t="s">
        <x:v>196</x:v>
      </x:c>
      <x:c r="C57" s="0" t="s">
        <x:v>197</x:v>
      </x:c>
      <x:c r="D57" s="0" t="s">
        <x:v>198</x:v>
      </x:c>
      <x:c r="E57" s="2">
        <x:v>250</x:v>
      </x:c>
      <x:c r="F57" s="0" t="s">
        <x:v>158</x:v>
      </x:c>
      <x:c r="G57" s="3">
        <x:f>SUMPRODUCT((Kalkulation!A2:A50000=B57)*Kalkulation!D2:D50000)</x:f>
      </x:c>
      <x:c r="H57" s="3">
        <x:f>G57*E57</x:f>
      </x:c>
      <x:c r="I57" s="4"/>
      <x:c r="J57" s="3">
        <x:f>H57*(1-I57)</x:f>
      </x:c>
      <x:c r="K57" s="4">
        <x:f>B2</x:f>
      </x:c>
      <x:c r="L57" s="1" t="s">
        <x:v>159</x:v>
      </x:c>
      <x:c r="M57" s="0" t="s">
        <x:v>199</x:v>
      </x:c>
    </x:row>
    <x:row r="58" spans="1:13" outlineLevel="2">
      <x:c r="A58" s="0" t="s">
        <x:v>92</x:v>
      </x:c>
      <x:c r="B58" s="1" t="s">
        <x:v>200</x:v>
      </x:c>
      <x:c r="C58" s="0" t="s">
        <x:v>201</x:v>
      </x:c>
      <x:c r="D58" s="0" t="s">
        <x:v>202</x:v>
      </x:c>
      <x:c r="E58" s="2">
        <x:v>60</x:v>
      </x:c>
      <x:c r="F58" s="0" t="s">
        <x:v>158</x:v>
      </x:c>
      <x:c r="G58" s="3">
        <x:f>SUMPRODUCT((Kalkulation!A2:A50000=B58)*Kalkulation!D2:D50000)</x:f>
      </x:c>
      <x:c r="H58" s="3">
        <x:f>G58*E58</x:f>
      </x:c>
      <x:c r="I58" s="4"/>
      <x:c r="J58" s="3">
        <x:f>H58*(1-I58)</x:f>
      </x:c>
      <x:c r="K58" s="4">
        <x:f>B2</x:f>
      </x:c>
      <x:c r="L58" s="1" t="s">
        <x:v>159</x:v>
      </x:c>
      <x:c r="M58" s="0" t="s">
        <x:v>203</x:v>
      </x:c>
    </x:row>
    <x:row r="59" spans="1:13" outlineLevel="2">
      <x:c r="A59" s="0" t="s">
        <x:v>92</x:v>
      </x:c>
      <x:c r="B59" s="1" t="s">
        <x:v>204</x:v>
      </x:c>
      <x:c r="C59" s="0" t="s">
        <x:v>205</x:v>
      </x:c>
      <x:c r="D59" s="0" t="s">
        <x:v>206</x:v>
      </x:c>
      <x:c r="E59" s="2">
        <x:v>230</x:v>
      </x:c>
      <x:c r="F59" s="0" t="s">
        <x:v>158</x:v>
      </x:c>
      <x:c r="G59" s="3">
        <x:f>SUMPRODUCT((Kalkulation!A2:A50000=B59)*Kalkulation!D2:D50000)</x:f>
      </x:c>
      <x:c r="H59" s="3">
        <x:f>G59*E59</x:f>
      </x:c>
      <x:c r="I59" s="4"/>
      <x:c r="J59" s="3">
        <x:f>H59*(1-I59)</x:f>
      </x:c>
      <x:c r="K59" s="4">
        <x:f>B2</x:f>
      </x:c>
      <x:c r="L59" s="1" t="s">
        <x:v>159</x:v>
      </x:c>
      <x:c r="M59" s="0" t="s">
        <x:v>207</x:v>
      </x:c>
    </x:row>
    <x:row r="60" spans="1:13" outlineLevel="2">
      <x:c r="A60" s="0" t="s">
        <x:v>92</x:v>
      </x:c>
      <x:c r="B60" s="1" t="s">
        <x:v>208</x:v>
      </x:c>
      <x:c r="C60" s="0" t="s">
        <x:v>209</x:v>
      </x:c>
      <x:c r="D60" s="0" t="s">
        <x:v>210</x:v>
      </x:c>
      <x:c r="E60" s="2">
        <x:v>15</x:v>
      </x:c>
      <x:c r="F60" s="0" t="s">
        <x:v>158</x:v>
      </x:c>
      <x:c r="G60" s="3">
        <x:f>SUMPRODUCT((Kalkulation!A2:A50000=B60)*Kalkulation!D2:D50000)</x:f>
      </x:c>
      <x:c r="H60" s="3">
        <x:f>G60*E60</x:f>
      </x:c>
      <x:c r="I60" s="4"/>
      <x:c r="J60" s="3">
        <x:f>H60*(1-I60)</x:f>
      </x:c>
      <x:c r="K60" s="4">
        <x:f>B2</x:f>
      </x:c>
      <x:c r="L60" s="1" t="s">
        <x:v>159</x:v>
      </x:c>
      <x:c r="M60" s="0" t="s">
        <x:v>211</x:v>
      </x:c>
    </x:row>
    <x:row r="61" spans="1:13" outlineLevel="2">
      <x:c r="A61" s="0" t="s">
        <x:v>92</x:v>
      </x:c>
      <x:c r="B61" s="1" t="s">
        <x:v>212</x:v>
      </x:c>
      <x:c r="C61" s="0" t="s">
        <x:v>213</x:v>
      </x:c>
      <x:c r="D61" s="0" t="s">
        <x:v>214</x:v>
      </x:c>
      <x:c r="E61" s="2">
        <x:v>100</x:v>
      </x:c>
      <x:c r="F61" s="0" t="s">
        <x:v>158</x:v>
      </x:c>
      <x:c r="G61" s="3">
        <x:f>SUMPRODUCT((Kalkulation!A2:A50000=B61)*Kalkulation!D2:D50000)</x:f>
      </x:c>
      <x:c r="H61" s="3">
        <x:f>G61*E61</x:f>
      </x:c>
      <x:c r="I61" s="4"/>
      <x:c r="J61" s="3">
        <x:f>H61*(1-I61)</x:f>
      </x:c>
      <x:c r="K61" s="4">
        <x:f>B2</x:f>
      </x:c>
      <x:c r="L61" s="1" t="s">
        <x:v>159</x:v>
      </x:c>
      <x:c r="M61" s="0" t="s">
        <x:v>215</x:v>
      </x:c>
    </x:row>
    <x:row r="62" spans="1:13" outlineLevel="2">
      <x:c r="A62" s="0" t="s">
        <x:v>92</x:v>
      </x:c>
      <x:c r="B62" s="1" t="s">
        <x:v>216</x:v>
      </x:c>
      <x:c r="C62" s="0" t="s">
        <x:v>217</x:v>
      </x:c>
      <x:c r="D62" s="0" t="s">
        <x:v>218</x:v>
      </x:c>
      <x:c r="E62" s="2">
        <x:v>95</x:v>
      </x:c>
      <x:c r="F62" s="0" t="s">
        <x:v>177</x:v>
      </x:c>
      <x:c r="G62" s="3">
        <x:f>SUMPRODUCT((Kalkulation!A2:A50000=B62)*Kalkulation!D2:D50000)</x:f>
      </x:c>
      <x:c r="H62" s="3">
        <x:f>G62*E62</x:f>
      </x:c>
      <x:c r="I62" s="4"/>
      <x:c r="J62" s="3">
        <x:f>H62*(1-I62)</x:f>
      </x:c>
      <x:c r="K62" s="4">
        <x:f>B2</x:f>
      </x:c>
      <x:c r="L62" s="1" t="s">
        <x:v>159</x:v>
      </x:c>
      <x:c r="M62" s="0" t="s">
        <x:v>219</x:v>
      </x:c>
    </x:row>
    <x:row r="63" spans="1:13" outlineLevel="2">
      <x:c r="A63" s="0" t="s">
        <x:v>92</x:v>
      </x:c>
      <x:c r="B63" s="1" t="s">
        <x:v>220</x:v>
      </x:c>
      <x:c r="C63" s="0" t="s">
        <x:v>221</x:v>
      </x:c>
      <x:c r="D63" s="0" t="s">
        <x:v>222</x:v>
      </x:c>
      <x:c r="E63" s="2">
        <x:v>330</x:v>
      </x:c>
      <x:c r="F63" s="0" t="s">
        <x:v>177</x:v>
      </x:c>
      <x:c r="G63" s="3">
        <x:f>SUMPRODUCT((Kalkulation!A2:A50000=B63)*Kalkulation!D2:D50000)</x:f>
      </x:c>
      <x:c r="H63" s="3">
        <x:f>G63*E63</x:f>
      </x:c>
      <x:c r="I63" s="4"/>
      <x:c r="J63" s="3">
        <x:f>H63*(1-I63)</x:f>
      </x:c>
      <x:c r="K63" s="4">
        <x:f>B2</x:f>
      </x:c>
      <x:c r="L63" s="1" t="s">
        <x:v>159</x:v>
      </x:c>
      <x:c r="M63" s="0" t="s">
        <x:v>223</x:v>
      </x:c>
    </x:row>
    <x:row r="64" spans="1:13" outlineLevel="2">
      <x:c r="A64" s="0" t="s">
        <x:v>92</x:v>
      </x:c>
      <x:c r="B64" s="1" t="s">
        <x:v>224</x:v>
      </x:c>
      <x:c r="C64" s="0" t="s">
        <x:v>225</x:v>
      </x:c>
      <x:c r="D64" s="0" t="s">
        <x:v>226</x:v>
      </x:c>
      <x:c r="E64" s="2">
        <x:v>50</x:v>
      </x:c>
      <x:c r="F64" s="0" t="s">
        <x:v>177</x:v>
      </x:c>
      <x:c r="G64" s="3">
        <x:f>SUMPRODUCT((Kalkulation!A2:A50000=B64)*Kalkulation!D2:D50000)</x:f>
      </x:c>
      <x:c r="H64" s="3">
        <x:f>G64*E64</x:f>
      </x:c>
      <x:c r="I64" s="4"/>
      <x:c r="J64" s="3">
        <x:f>H64*(1-I64)</x:f>
      </x:c>
      <x:c r="K64" s="4">
        <x:f>B2</x:f>
      </x:c>
      <x:c r="L64" s="1" t="s">
        <x:v>159</x:v>
      </x:c>
      <x:c r="M64" s="0" t="s">
        <x:v>227</x:v>
      </x:c>
    </x:row>
    <x:row r="65" spans="1:13" outlineLevel="2">
      <x:c r="A65" s="0" t="s">
        <x:v>92</x:v>
      </x:c>
      <x:c r="B65" s="1" t="s">
        <x:v>228</x:v>
      </x:c>
      <x:c r="C65" s="0" t="s">
        <x:v>229</x:v>
      </x:c>
      <x:c r="D65" s="0" t="s">
        <x:v>230</x:v>
      </x:c>
      <x:c r="E65" s="2">
        <x:v>6</x:v>
      </x:c>
      <x:c r="F65" s="0" t="s">
        <x:v>132</x:v>
      </x:c>
      <x:c r="G65" s="3">
        <x:f>SUMPRODUCT((Kalkulation!A2:A50000=B65)*Kalkulation!D2:D50000)</x:f>
      </x:c>
      <x:c r="H65" s="3">
        <x:f>G65*E65</x:f>
      </x:c>
      <x:c r="I65" s="4"/>
      <x:c r="J65" s="3">
        <x:f>H65*(1-I65)</x:f>
      </x:c>
      <x:c r="K65" s="4">
        <x:f>B2</x:f>
      </x:c>
      <x:c r="L65" s="1" t="s">
        <x:v>159</x:v>
      </x:c>
      <x:c r="M65" s="0" t="s">
        <x:v>231</x:v>
      </x:c>
    </x:row>
    <x:row r="66" spans="1:13" outlineLevel="2">
      <x:c r="A66" s="0" t="s">
        <x:v>92</x:v>
      </x:c>
      <x:c r="B66" s="1" t="s">
        <x:v>232</x:v>
      </x:c>
      <x:c r="C66" s="0" t="s">
        <x:v>233</x:v>
      </x:c>
      <x:c r="D66" s="0" t="s">
        <x:v>234</x:v>
      </x:c>
      <x:c r="E66" s="2">
        <x:v>5</x:v>
      </x:c>
      <x:c r="F66" s="0" t="s">
        <x:v>132</x:v>
      </x:c>
      <x:c r="G66" s="3">
        <x:f>SUMPRODUCT((Kalkulation!A2:A50000=B66)*Kalkulation!D2:D50000)</x:f>
      </x:c>
      <x:c r="H66" s="3">
        <x:f>G66*E66</x:f>
      </x:c>
      <x:c r="I66" s="4"/>
      <x:c r="J66" s="3">
        <x:f>H66*(1-I66)</x:f>
      </x:c>
      <x:c r="K66" s="4">
        <x:f>B2</x:f>
      </x:c>
      <x:c r="L66" s="1" t="s">
        <x:v>159</x:v>
      </x:c>
      <x:c r="M66" s="0" t="s">
        <x:v>235</x:v>
      </x:c>
    </x:row>
    <x:row r="67" spans="1:13" outlineLevel="2">
      <x:c r="A67" s="0" t="s">
        <x:v>92</x:v>
      </x:c>
      <x:c r="B67" s="1" t="s">
        <x:v>236</x:v>
      </x:c>
      <x:c r="C67" s="0" t="s">
        <x:v>237</x:v>
      </x:c>
      <x:c r="D67" s="0" t="s">
        <x:v>238</x:v>
      </x:c>
      <x:c r="E67" s="2">
        <x:v>4</x:v>
      </x:c>
      <x:c r="F67" s="0" t="s">
        <x:v>132</x:v>
      </x:c>
      <x:c r="G67" s="3">
        <x:f>SUMPRODUCT((Kalkulation!A2:A50000=B67)*Kalkulation!D2:D50000)</x:f>
      </x:c>
      <x:c r="H67" s="3">
        <x:f>G67*E67</x:f>
      </x:c>
      <x:c r="I67" s="4"/>
      <x:c r="J67" s="3">
        <x:f>H67*(1-I67)</x:f>
      </x:c>
      <x:c r="K67" s="4">
        <x:f>B2</x:f>
      </x:c>
      <x:c r="L67" s="1" t="s">
        <x:v>159</x:v>
      </x:c>
      <x:c r="M67" s="0" t="s">
        <x:v>239</x:v>
      </x:c>
    </x:row>
    <x:row r="68" spans="1:13" s="5" customFormat="1" outlineLevel="1">
      <x:c r="A68" s="12" t="s">
        <x:v>151</x:v>
      </x:c>
      <x:c r="B68" s="13" t="s">
        <x:v>153</x:v>
      </x:c>
      <x:c r="C68" s="12" t="s">
        <x:v>154</x:v>
      </x:c>
      <x:c r="D68" s="12"/>
      <x:c r="E68" s="14"/>
      <x:c r="F68" s="12"/>
      <x:c r="G68" s="15"/>
      <x:c r="H68" s="15">
        <x:f>SUMIF(L:L,"047d746f-d0af-4d84-81bc-7a3a7d3a37de",J:J)</x:f>
      </x:c>
      <x:c r="I68" s="16"/>
      <x:c r="J68" s="15">
        <x:f>H68*(1-I68)</x:f>
      </x:c>
      <x:c r="K68" s="16"/>
      <x:c r="L68" s="6" t="s">
        <x:v>152</x:v>
      </x:c>
      <x:c r="M68" s="5" t="s">
        <x:v>159</x:v>
      </x:c>
    </x:row>
    <x:row r="69" spans="1:13" outlineLevel="2">
      <x:c r="A69" s="0" t="s">
        <x:v>84</x:v>
      </x:c>
      <x:c r="B69" s="1" t="s">
        <x:v>240</x:v>
      </x:c>
      <x:c r="C69" s="0" t="s">
        <x:v>241</x:v>
      </x:c>
      <x:c r="E69" s="2"/>
      <x:c r="G69" s="3"/>
      <x:c r="H69" s="3"/>
      <x:c r="I69" s="4"/>
      <x:c r="J69" s="3"/>
      <x:c r="K69" s="4">
        <x:f>""</x:f>
      </x:c>
      <x:c r="L69" s="1"/>
    </x:row>
    <x:row r="70" spans="1:13" outlineLevel="2">
      <x:c r="A70" s="0" t="s">
        <x:v>14</x:v>
      </x:c>
      <x:c r="B70" s="1"/>
      <x:c r="C70" s="0" t="s">
        <x:v>242</x:v>
      </x:c>
      <x:c r="D70" s="0" t="s">
        <x:v>243</x:v>
      </x:c>
      <x:c r="E70" s="2"/>
      <x:c r="G70" s="3"/>
      <x:c r="H70" s="3"/>
      <x:c r="I70" s="4"/>
      <x:c r="J70" s="3"/>
      <x:c r="K70" s="4">
        <x:f>""</x:f>
      </x:c>
      <x:c r="L70" s="1"/>
      <x:c r="M70" s="0" t="s">
        <x:v>244</x:v>
      </x:c>
    </x:row>
    <x:row r="71" spans="1:13" outlineLevel="2">
      <x:c r="A71" s="0" t="s">
        <x:v>14</x:v>
      </x:c>
      <x:c r="B71" s="1"/>
      <x:c r="C71" s="0" t="s">
        <x:v>245</x:v>
      </x:c>
      <x:c r="D71" s="0" t="s">
        <x:v>246</x:v>
      </x:c>
      <x:c r="E71" s="2"/>
      <x:c r="G71" s="3"/>
      <x:c r="H71" s="3"/>
      <x:c r="I71" s="4"/>
      <x:c r="J71" s="3"/>
      <x:c r="K71" s="4">
        <x:f>""</x:f>
      </x:c>
      <x:c r="L71" s="1"/>
      <x:c r="M71" s="0" t="s">
        <x:v>247</x:v>
      </x:c>
    </x:row>
    <x:row r="72" spans="1:13" outlineLevel="2">
      <x:c r="A72" s="0" t="s">
        <x:v>14</x:v>
      </x:c>
      <x:c r="B72" s="1"/>
      <x:c r="C72" s="0" t="s">
        <x:v>245</x:v>
      </x:c>
      <x:c r="D72" s="0" t="s">
        <x:v>248</x:v>
      </x:c>
      <x:c r="E72" s="2"/>
      <x:c r="G72" s="3"/>
      <x:c r="H72" s="3"/>
      <x:c r="I72" s="4"/>
      <x:c r="J72" s="3"/>
      <x:c r="K72" s="4">
        <x:f>""</x:f>
      </x:c>
      <x:c r="L72" s="1"/>
      <x:c r="M72" s="0" t="s">
        <x:v>249</x:v>
      </x:c>
    </x:row>
    <x:row r="73" spans="1:13" outlineLevel="2">
      <x:c r="A73" s="0" t="s">
        <x:v>14</x:v>
      </x:c>
      <x:c r="B73" s="1"/>
      <x:c r="C73" s="0" t="s">
        <x:v>250</x:v>
      </x:c>
      <x:c r="D73" s="0" t="s">
        <x:v>251</x:v>
      </x:c>
      <x:c r="E73" s="2"/>
      <x:c r="G73" s="3"/>
      <x:c r="H73" s="3"/>
      <x:c r="I73" s="4"/>
      <x:c r="J73" s="3"/>
      <x:c r="K73" s="4">
        <x:f>""</x:f>
      </x:c>
      <x:c r="L73" s="1"/>
      <x:c r="M73" s="0" t="s">
        <x:v>252</x:v>
      </x:c>
    </x:row>
    <x:row r="74" spans="1:13" outlineLevel="2">
      <x:c r="A74" s="0" t="s">
        <x:v>14</x:v>
      </x:c>
      <x:c r="B74" s="1"/>
      <x:c r="C74" s="0" t="s">
        <x:v>253</x:v>
      </x:c>
      <x:c r="D74" s="0" t="s">
        <x:v>254</x:v>
      </x:c>
      <x:c r="E74" s="2"/>
      <x:c r="G74" s="3"/>
      <x:c r="H74" s="3"/>
      <x:c r="I74" s="4"/>
      <x:c r="J74" s="3"/>
      <x:c r="K74" s="4">
        <x:f>""</x:f>
      </x:c>
      <x:c r="L74" s="1"/>
      <x:c r="M74" s="0" t="s">
        <x:v>255</x:v>
      </x:c>
    </x:row>
    <x:row r="75" spans="1:13" outlineLevel="2">
      <x:c r="A75" s="0" t="s">
        <x:v>14</x:v>
      </x:c>
      <x:c r="B75" s="1"/>
      <x:c r="C75" s="0" t="s">
        <x:v>256</x:v>
      </x:c>
      <x:c r="D75" s="0" t="s">
        <x:v>257</x:v>
      </x:c>
      <x:c r="E75" s="2"/>
      <x:c r="G75" s="3"/>
      <x:c r="H75" s="3"/>
      <x:c r="I75" s="4"/>
      <x:c r="J75" s="3"/>
      <x:c r="K75" s="4">
        <x:f>""</x:f>
      </x:c>
      <x:c r="L75" s="1"/>
      <x:c r="M75" s="0" t="s">
        <x:v>258</x:v>
      </x:c>
    </x:row>
    <x:row r="76" spans="1:13" outlineLevel="2">
      <x:c r="A76" s="0" t="s">
        <x:v>92</x:v>
      </x:c>
      <x:c r="B76" s="1" t="s">
        <x:v>259</x:v>
      </x:c>
      <x:c r="C76" s="0" t="s">
        <x:v>260</x:v>
      </x:c>
      <x:c r="D76" s="0" t="s">
        <x:v>261</x:v>
      </x:c>
      <x:c r="E76" s="2">
        <x:v>2</x:v>
      </x:c>
      <x:c r="F76" s="0" t="s">
        <x:v>132</x:v>
      </x:c>
      <x:c r="G76" s="3">
        <x:f>SUMPRODUCT((Kalkulation!A2:A50000=B76)*Kalkulation!D2:D50000)</x:f>
      </x:c>
      <x:c r="H76" s="3">
        <x:f>G76*E76</x:f>
      </x:c>
      <x:c r="I76" s="4"/>
      <x:c r="J76" s="3">
        <x:f>H76*(1-I76)</x:f>
      </x:c>
      <x:c r="K76" s="4">
        <x:f>B2</x:f>
      </x:c>
      <x:c r="L76" s="1" t="s">
        <x:v>262</x:v>
      </x:c>
      <x:c r="M76" s="0" t="s">
        <x:v>263</x:v>
      </x:c>
    </x:row>
    <x:row r="77" spans="1:13" outlineLevel="2">
      <x:c r="A77" s="0" t="s">
        <x:v>92</x:v>
      </x:c>
      <x:c r="B77" s="1" t="s">
        <x:v>264</x:v>
      </x:c>
      <x:c r="C77" s="0" t="s">
        <x:v>265</x:v>
      </x:c>
      <x:c r="D77" s="0" t="s">
        <x:v>266</x:v>
      </x:c>
      <x:c r="E77" s="2">
        <x:v>2</x:v>
      </x:c>
      <x:c r="F77" s="0" t="s">
        <x:v>132</x:v>
      </x:c>
      <x:c r="G77" s="3">
        <x:f>SUMPRODUCT((Kalkulation!A2:A50000=B77)*Kalkulation!D2:D50000)</x:f>
      </x:c>
      <x:c r="H77" s="3">
        <x:f>G77*E77</x:f>
      </x:c>
      <x:c r="I77" s="4"/>
      <x:c r="J77" s="3">
        <x:f>H77*(1-I77)</x:f>
      </x:c>
      <x:c r="K77" s="4">
        <x:f>B2</x:f>
      </x:c>
      <x:c r="L77" s="1" t="s">
        <x:v>262</x:v>
      </x:c>
      <x:c r="M77" s="0" t="s">
        <x:v>267</x:v>
      </x:c>
    </x:row>
    <x:row r="78" spans="1:13" outlineLevel="2">
      <x:c r="A78" s="0" t="s">
        <x:v>92</x:v>
      </x:c>
      <x:c r="B78" s="1" t="s">
        <x:v>268</x:v>
      </x:c>
      <x:c r="C78" s="0" t="s">
        <x:v>269</x:v>
      </x:c>
      <x:c r="D78" s="0" t="s">
        <x:v>270</x:v>
      </x:c>
      <x:c r="E78" s="2">
        <x:v>5</x:v>
      </x:c>
      <x:c r="F78" s="0" t="s">
        <x:v>164</x:v>
      </x:c>
      <x:c r="G78" s="3">
        <x:f>SUMPRODUCT((Kalkulation!A2:A50000=B78)*Kalkulation!D2:D50000)</x:f>
      </x:c>
      <x:c r="H78" s="3">
        <x:f>G78*E78</x:f>
      </x:c>
      <x:c r="I78" s="4"/>
      <x:c r="J78" s="3">
        <x:f>H78*(1-I78)</x:f>
      </x:c>
      <x:c r="K78" s="4">
        <x:f>B2</x:f>
      </x:c>
      <x:c r="L78" s="1" t="s">
        <x:v>262</x:v>
      </x:c>
      <x:c r="M78" s="0" t="s">
        <x:v>271</x:v>
      </x:c>
    </x:row>
    <x:row r="79" spans="1:13" outlineLevel="2">
      <x:c r="A79" s="0" t="s">
        <x:v>92</x:v>
      </x:c>
      <x:c r="B79" s="1" t="s">
        <x:v>272</x:v>
      </x:c>
      <x:c r="C79" s="0" t="s">
        <x:v>273</x:v>
      </x:c>
      <x:c r="D79" s="0" t="s">
        <x:v>274</x:v>
      </x:c>
      <x:c r="E79" s="2">
        <x:v>5</x:v>
      </x:c>
      <x:c r="F79" s="0" t="s">
        <x:v>164</x:v>
      </x:c>
      <x:c r="G79" s="3">
        <x:f>SUMPRODUCT((Kalkulation!A2:A50000=B79)*Kalkulation!D2:D50000)</x:f>
      </x:c>
      <x:c r="H79" s="3">
        <x:f>G79*E79</x:f>
      </x:c>
      <x:c r="I79" s="4"/>
      <x:c r="J79" s="3">
        <x:f>H79*(1-I79)</x:f>
      </x:c>
      <x:c r="K79" s="4">
        <x:f>B2</x:f>
      </x:c>
      <x:c r="L79" s="1" t="s">
        <x:v>262</x:v>
      </x:c>
      <x:c r="M79" s="0" t="s">
        <x:v>275</x:v>
      </x:c>
    </x:row>
    <x:row r="80" spans="1:13" outlineLevel="2">
      <x:c r="A80" s="0" t="s">
        <x:v>92</x:v>
      </x:c>
      <x:c r="B80" s="1" t="s">
        <x:v>276</x:v>
      </x:c>
      <x:c r="C80" s="0" t="s">
        <x:v>277</x:v>
      </x:c>
      <x:c r="D80" s="0" t="s">
        <x:v>278</x:v>
      </x:c>
      <x:c r="E80" s="2">
        <x:v>10</x:v>
      </x:c>
      <x:c r="F80" s="0" t="s">
        <x:v>164</x:v>
      </x:c>
      <x:c r="G80" s="3">
        <x:f>SUMPRODUCT((Kalkulation!A2:A50000=B80)*Kalkulation!D2:D50000)</x:f>
      </x:c>
      <x:c r="H80" s="3">
        <x:f>G80*E80</x:f>
      </x:c>
      <x:c r="I80" s="4"/>
      <x:c r="J80" s="3">
        <x:f>H80*(1-I80)</x:f>
      </x:c>
      <x:c r="K80" s="4">
        <x:f>B2</x:f>
      </x:c>
      <x:c r="L80" s="1" t="s">
        <x:v>262</x:v>
      </x:c>
      <x:c r="M80" s="0" t="s">
        <x:v>279</x:v>
      </x:c>
    </x:row>
    <x:row r="81" spans="1:13" outlineLevel="2">
      <x:c r="A81" s="0" t="s">
        <x:v>92</x:v>
      </x:c>
      <x:c r="B81" s="1" t="s">
        <x:v>280</x:v>
      </x:c>
      <x:c r="C81" s="0" t="s">
        <x:v>281</x:v>
      </x:c>
      <x:c r="D81" s="0" t="s">
        <x:v>278</x:v>
      </x:c>
      <x:c r="E81" s="2">
        <x:v>10</x:v>
      </x:c>
      <x:c r="F81" s="0" t="s">
        <x:v>164</x:v>
      </x:c>
      <x:c r="G81" s="3">
        <x:f>SUMPRODUCT((Kalkulation!A2:A50000=B81)*Kalkulation!D2:D50000)</x:f>
      </x:c>
      <x:c r="H81" s="3">
        <x:f>G81*E81</x:f>
      </x:c>
      <x:c r="I81" s="4"/>
      <x:c r="J81" s="3">
        <x:f>H81*(1-I81)</x:f>
      </x:c>
      <x:c r="K81" s="4">
        <x:f>B2</x:f>
      </x:c>
      <x:c r="L81" s="1" t="s">
        <x:v>262</x:v>
      </x:c>
      <x:c r="M81" s="0" t="s">
        <x:v>282</x:v>
      </x:c>
    </x:row>
    <x:row r="82" spans="1:13" outlineLevel="2">
      <x:c r="A82" s="0" t="s">
        <x:v>92</x:v>
      </x:c>
      <x:c r="B82" s="1" t="s">
        <x:v>283</x:v>
      </x:c>
      <x:c r="C82" s="0" t="s">
        <x:v>284</x:v>
      </x:c>
      <x:c r="D82" s="0" t="s">
        <x:v>285</x:v>
      </x:c>
      <x:c r="E82" s="2">
        <x:v>650</x:v>
      </x:c>
      <x:c r="F82" s="0" t="s">
        <x:v>164</x:v>
      </x:c>
      <x:c r="G82" s="3">
        <x:f>SUMPRODUCT((Kalkulation!A2:A50000=B82)*Kalkulation!D2:D50000)</x:f>
      </x:c>
      <x:c r="H82" s="3">
        <x:f>G82*E82</x:f>
      </x:c>
      <x:c r="I82" s="4"/>
      <x:c r="J82" s="3">
        <x:f>H82*(1-I82)</x:f>
      </x:c>
      <x:c r="K82" s="4">
        <x:f>B2</x:f>
      </x:c>
      <x:c r="L82" s="1" t="s">
        <x:v>262</x:v>
      </x:c>
      <x:c r="M82" s="0" t="s">
        <x:v>286</x:v>
      </x:c>
    </x:row>
    <x:row r="83" spans="1:13" outlineLevel="2">
      <x:c r="A83" s="0" t="s">
        <x:v>92</x:v>
      </x:c>
      <x:c r="B83" s="1" t="s">
        <x:v>287</x:v>
      </x:c>
      <x:c r="C83" s="0" t="s">
        <x:v>288</x:v>
      </x:c>
      <x:c r="D83" s="0" t="s">
        <x:v>289</x:v>
      </x:c>
      <x:c r="E83" s="2">
        <x:v>10</x:v>
      </x:c>
      <x:c r="F83" s="0" t="s">
        <x:v>164</x:v>
      </x:c>
      <x:c r="G83" s="3">
        <x:f>SUMPRODUCT((Kalkulation!A2:A50000=B83)*Kalkulation!D2:D50000)</x:f>
      </x:c>
      <x:c r="H83" s="3">
        <x:f>G83*E83</x:f>
      </x:c>
      <x:c r="I83" s="4"/>
      <x:c r="J83" s="3">
        <x:f>H83*(1-I83)</x:f>
      </x:c>
      <x:c r="K83" s="4">
        <x:f>B2</x:f>
      </x:c>
      <x:c r="L83" s="1" t="s">
        <x:v>262</x:v>
      </x:c>
      <x:c r="M83" s="0" t="s">
        <x:v>290</x:v>
      </x:c>
    </x:row>
    <x:row r="84" spans="1:13" outlineLevel="2">
      <x:c r="A84" s="0" t="s">
        <x:v>92</x:v>
      </x:c>
      <x:c r="B84" s="1" t="s">
        <x:v>291</x:v>
      </x:c>
      <x:c r="C84" s="0" t="s">
        <x:v>292</x:v>
      </x:c>
      <x:c r="D84" s="0" t="s">
        <x:v>293</x:v>
      </x:c>
      <x:c r="E84" s="2">
        <x:v>1</x:v>
      </x:c>
      <x:c r="F84" s="0" t="s">
        <x:v>96</x:v>
      </x:c>
      <x:c r="G84" s="3">
        <x:f>SUMPRODUCT((Kalkulation!A2:A50000=B84)*Kalkulation!D2:D50000)</x:f>
      </x:c>
      <x:c r="H84" s="3">
        <x:f>G84*E84</x:f>
      </x:c>
      <x:c r="I84" s="4"/>
      <x:c r="J84" s="3">
        <x:f>H84*(1-I84)</x:f>
      </x:c>
      <x:c r="K84" s="4">
        <x:f>B2</x:f>
      </x:c>
      <x:c r="L84" s="1" t="s">
        <x:v>262</x:v>
      </x:c>
      <x:c r="M84" s="0" t="s">
        <x:v>294</x:v>
      </x:c>
    </x:row>
    <x:row r="85" spans="1:13" outlineLevel="2">
      <x:c r="A85" s="0" t="s">
        <x:v>92</x:v>
      </x:c>
      <x:c r="B85" s="1" t="s">
        <x:v>295</x:v>
      </x:c>
      <x:c r="C85" s="0" t="s">
        <x:v>296</x:v>
      </x:c>
      <x:c r="D85" s="0" t="s">
        <x:v>297</x:v>
      </x:c>
      <x:c r="E85" s="2">
        <x:v>150</x:v>
      </x:c>
      <x:c r="F85" s="0" t="s">
        <x:v>164</x:v>
      </x:c>
      <x:c r="G85" s="3">
        <x:f>SUMPRODUCT((Kalkulation!A2:A50000=B85)*Kalkulation!D2:D50000)</x:f>
      </x:c>
      <x:c r="H85" s="3">
        <x:f>G85*E85</x:f>
      </x:c>
      <x:c r="I85" s="4"/>
      <x:c r="J85" s="3">
        <x:f>H85*(1-I85)</x:f>
      </x:c>
      <x:c r="K85" s="4">
        <x:f>B2</x:f>
      </x:c>
      <x:c r="L85" s="1" t="s">
        <x:v>262</x:v>
      </x:c>
      <x:c r="M85" s="0" t="s">
        <x:v>298</x:v>
      </x:c>
    </x:row>
    <x:row r="86" spans="1:13" outlineLevel="2">
      <x:c r="A86" s="0" t="s">
        <x:v>92</x:v>
      </x:c>
      <x:c r="B86" s="1" t="s">
        <x:v>299</x:v>
      </x:c>
      <x:c r="C86" s="0" t="s">
        <x:v>300</x:v>
      </x:c>
      <x:c r="D86" s="0" t="s">
        <x:v>301</x:v>
      </x:c>
      <x:c r="E86" s="2">
        <x:v>150</x:v>
      </x:c>
      <x:c r="F86" s="0" t="s">
        <x:v>164</x:v>
      </x:c>
      <x:c r="G86" s="3">
        <x:f>SUMPRODUCT((Kalkulation!A2:A50000=B86)*Kalkulation!D2:D50000)</x:f>
      </x:c>
      <x:c r="H86" s="3">
        <x:f>G86*E86</x:f>
      </x:c>
      <x:c r="I86" s="4"/>
      <x:c r="J86" s="3">
        <x:f>H86*(1-I86)</x:f>
      </x:c>
      <x:c r="K86" s="4">
        <x:f>B2</x:f>
      </x:c>
      <x:c r="L86" s="1" t="s">
        <x:v>262</x:v>
      </x:c>
      <x:c r="M86" s="0" t="s">
        <x:v>302</x:v>
      </x:c>
    </x:row>
    <x:row r="87" spans="1:13" outlineLevel="2">
      <x:c r="A87" s="0" t="s">
        <x:v>92</x:v>
      </x:c>
      <x:c r="B87" s="1" t="s">
        <x:v>303</x:v>
      </x:c>
      <x:c r="C87" s="0" t="s">
        <x:v>304</x:v>
      </x:c>
      <x:c r="D87" s="0" t="s">
        <x:v>305</x:v>
      </x:c>
      <x:c r="E87" s="2">
        <x:v>150</x:v>
      </x:c>
      <x:c r="F87" s="0" t="s">
        <x:v>164</x:v>
      </x:c>
      <x:c r="G87" s="3">
        <x:f>SUMPRODUCT((Kalkulation!A2:A50000=B87)*Kalkulation!D2:D50000)</x:f>
      </x:c>
      <x:c r="H87" s="3">
        <x:f>G87*E87</x:f>
      </x:c>
      <x:c r="I87" s="4"/>
      <x:c r="J87" s="3">
        <x:f>H87*(1-I87)</x:f>
      </x:c>
      <x:c r="K87" s="4">
        <x:f>B2</x:f>
      </x:c>
      <x:c r="L87" s="1" t="s">
        <x:v>262</x:v>
      </x:c>
      <x:c r="M87" s="0" t="s">
        <x:v>306</x:v>
      </x:c>
    </x:row>
    <x:row r="88" spans="1:13" outlineLevel="2">
      <x:c r="A88" s="0" t="s">
        <x:v>92</x:v>
      </x:c>
      <x:c r="B88" s="1" t="s">
        <x:v>307</x:v>
      </x:c>
      <x:c r="C88" s="0" t="s">
        <x:v>308</x:v>
      </x:c>
      <x:c r="D88" s="0" t="s">
        <x:v>309</x:v>
      </x:c>
      <x:c r="E88" s="2">
        <x:v>1350</x:v>
      </x:c>
      <x:c r="F88" s="0" t="s">
        <x:v>158</x:v>
      </x:c>
      <x:c r="G88" s="3">
        <x:f>SUMPRODUCT((Kalkulation!A2:A50000=B88)*Kalkulation!D2:D50000)</x:f>
      </x:c>
      <x:c r="H88" s="3">
        <x:f>G88*E88</x:f>
      </x:c>
      <x:c r="I88" s="4"/>
      <x:c r="J88" s="3">
        <x:f>H88*(1-I88)</x:f>
      </x:c>
      <x:c r="K88" s="4">
        <x:f>B2</x:f>
      </x:c>
      <x:c r="L88" s="1" t="s">
        <x:v>262</x:v>
      </x:c>
      <x:c r="M88" s="0" t="s">
        <x:v>310</x:v>
      </x:c>
    </x:row>
    <x:row r="89" spans="1:13" outlineLevel="2">
      <x:c r="A89" s="0" t="s">
        <x:v>92</x:v>
      </x:c>
      <x:c r="B89" s="1" t="s">
        <x:v>311</x:v>
      </x:c>
      <x:c r="C89" s="0" t="s">
        <x:v>312</x:v>
      </x:c>
      <x:c r="D89" s="0" t="s">
        <x:v>313</x:v>
      </x:c>
      <x:c r="E89" s="2">
        <x:v>550</x:v>
      </x:c>
      <x:c r="F89" s="0" t="s">
        <x:v>164</x:v>
      </x:c>
      <x:c r="G89" s="3">
        <x:f>SUMPRODUCT((Kalkulation!A2:A50000=B89)*Kalkulation!D2:D50000)</x:f>
      </x:c>
      <x:c r="H89" s="3">
        <x:f>G89*E89</x:f>
      </x:c>
      <x:c r="I89" s="4"/>
      <x:c r="J89" s="3">
        <x:f>H89*(1-I89)</x:f>
      </x:c>
      <x:c r="K89" s="4">
        <x:f>B2</x:f>
      </x:c>
      <x:c r="L89" s="1" t="s">
        <x:v>262</x:v>
      </x:c>
      <x:c r="M89" s="0" t="s">
        <x:v>314</x:v>
      </x:c>
    </x:row>
    <x:row r="90" spans="1:13" outlineLevel="2">
      <x:c r="A90" s="0" t="s">
        <x:v>92</x:v>
      </x:c>
      <x:c r="B90" s="1" t="s">
        <x:v>315</x:v>
      </x:c>
      <x:c r="C90" s="0" t="s">
        <x:v>316</x:v>
      </x:c>
      <x:c r="D90" s="0" t="s">
        <x:v>317</x:v>
      </x:c>
      <x:c r="E90" s="2">
        <x:v>25</x:v>
      </x:c>
      <x:c r="F90" s="0" t="s">
        <x:v>164</x:v>
      </x:c>
      <x:c r="G90" s="3">
        <x:f>SUMPRODUCT((Kalkulation!A2:A50000=B90)*Kalkulation!D2:D50000)</x:f>
      </x:c>
      <x:c r="H90" s="3">
        <x:f>G90*E90</x:f>
      </x:c>
      <x:c r="I90" s="4"/>
      <x:c r="J90" s="3">
        <x:f>H90*(1-I90)</x:f>
      </x:c>
      <x:c r="K90" s="4">
        <x:f>B2</x:f>
      </x:c>
      <x:c r="L90" s="1" t="s">
        <x:v>262</x:v>
      </x:c>
      <x:c r="M90" s="0" t="s">
        <x:v>318</x:v>
      </x:c>
    </x:row>
    <x:row r="91" spans="1:13" outlineLevel="2">
      <x:c r="A91" s="0" t="s">
        <x:v>92</x:v>
      </x:c>
      <x:c r="B91" s="1" t="s">
        <x:v>319</x:v>
      </x:c>
      <x:c r="C91" s="0" t="s">
        <x:v>320</x:v>
      </x:c>
      <x:c r="D91" s="0" t="s">
        <x:v>321</x:v>
      </x:c>
      <x:c r="E91" s="2">
        <x:v>3</x:v>
      </x:c>
      <x:c r="F91" s="0" t="s">
        <x:v>132</x:v>
      </x:c>
      <x:c r="G91" s="3">
        <x:f>SUMPRODUCT((Kalkulation!A2:A50000=B91)*Kalkulation!D2:D50000)</x:f>
      </x:c>
      <x:c r="H91" s="3">
        <x:f>G91*E91</x:f>
      </x:c>
      <x:c r="I91" s="4"/>
      <x:c r="J91" s="3">
        <x:f>H91*(1-I91)</x:f>
      </x:c>
      <x:c r="K91" s="4">
        <x:f>B2</x:f>
      </x:c>
      <x:c r="L91" s="1" t="s">
        <x:v>262</x:v>
      </x:c>
      <x:c r="M91" s="0" t="s">
        <x:v>322</x:v>
      </x:c>
    </x:row>
    <x:row r="92" spans="1:13" outlineLevel="2">
      <x:c r="A92" s="0" t="s">
        <x:v>92</x:v>
      </x:c>
      <x:c r="B92" s="1" t="s">
        <x:v>323</x:v>
      </x:c>
      <x:c r="C92" s="0" t="s">
        <x:v>324</x:v>
      </x:c>
      <x:c r="D92" s="0" t="s">
        <x:v>325</x:v>
      </x:c>
      <x:c r="E92" s="2">
        <x:v>2</x:v>
      </x:c>
      <x:c r="F92" s="0" t="s">
        <x:v>132</x:v>
      </x:c>
      <x:c r="G92" s="3">
        <x:f>SUMPRODUCT((Kalkulation!A2:A50000=B92)*Kalkulation!D2:D50000)</x:f>
      </x:c>
      <x:c r="H92" s="3">
        <x:f>G92*E92</x:f>
      </x:c>
      <x:c r="I92" s="4"/>
      <x:c r="J92" s="3">
        <x:f>H92*(1-I92)</x:f>
      </x:c>
      <x:c r="K92" s="4">
        <x:f>B2</x:f>
      </x:c>
      <x:c r="L92" s="1" t="s">
        <x:v>262</x:v>
      </x:c>
      <x:c r="M92" s="0" t="s">
        <x:v>326</x:v>
      </x:c>
    </x:row>
    <x:row r="93" spans="1:13" outlineLevel="2">
      <x:c r="A93" s="0" t="s">
        <x:v>14</x:v>
      </x:c>
      <x:c r="B93" s="1"/>
      <x:c r="C93" s="0" t="s">
        <x:v>327</x:v>
      </x:c>
      <x:c r="D93" s="0" t="s">
        <x:v>327</x:v>
      </x:c>
      <x:c r="E93" s="2"/>
      <x:c r="G93" s="3"/>
      <x:c r="H93" s="3"/>
      <x:c r="I93" s="4"/>
      <x:c r="J93" s="3"/>
      <x:c r="K93" s="4">
        <x:f>""</x:f>
      </x:c>
      <x:c r="L93" s="1"/>
      <x:c r="M93" s="0" t="s">
        <x:v>328</x:v>
      </x:c>
    </x:row>
    <x:row r="94" spans="1:13" outlineLevel="2">
      <x:c r="A94" s="0" t="s">
        <x:v>92</x:v>
      </x:c>
      <x:c r="B94" s="1" t="s">
        <x:v>329</x:v>
      </x:c>
      <x:c r="C94" s="0" t="s">
        <x:v>330</x:v>
      </x:c>
      <x:c r="D94" s="0" t="s">
        <x:v>331</x:v>
      </x:c>
      <x:c r="E94" s="2">
        <x:v>6</x:v>
      </x:c>
      <x:c r="F94" s="0" t="s">
        <x:v>164</x:v>
      </x:c>
      <x:c r="G94" s="3">
        <x:f>SUMPRODUCT((Kalkulation!A2:A50000=B94)*Kalkulation!D2:D50000)</x:f>
      </x:c>
      <x:c r="H94" s="3">
        <x:f>G94*E94</x:f>
      </x:c>
      <x:c r="I94" s="4"/>
      <x:c r="J94" s="3">
        <x:f>H94*(1-I94)</x:f>
      </x:c>
      <x:c r="K94" s="4">
        <x:f>B2</x:f>
      </x:c>
      <x:c r="L94" s="1" t="s">
        <x:v>262</x:v>
      </x:c>
      <x:c r="M94" s="0" t="s">
        <x:v>332</x:v>
      </x:c>
    </x:row>
    <x:row r="95" spans="1:13" s="5" customFormat="1" outlineLevel="1">
      <x:c r="A95" s="12" t="s">
        <x:v>151</x:v>
      </x:c>
      <x:c r="B95" s="13" t="s">
        <x:v>240</x:v>
      </x:c>
      <x:c r="C95" s="12" t="s">
        <x:v>241</x:v>
      </x:c>
      <x:c r="D95" s="12"/>
      <x:c r="E95" s="14"/>
      <x:c r="F95" s="12"/>
      <x:c r="G95" s="15"/>
      <x:c r="H95" s="15">
        <x:f>SUMIF(L:L,"0c2818bf-ece2-412d-bbf6-78473771457d",J:J)</x:f>
      </x:c>
      <x:c r="I95" s="16"/>
      <x:c r="J95" s="15">
        <x:f>H95*(1-I95)</x:f>
      </x:c>
      <x:c r="K95" s="16"/>
      <x:c r="L95" s="6" t="s">
        <x:v>152</x:v>
      </x:c>
      <x:c r="M95" s="5" t="s">
        <x:v>262</x:v>
      </x:c>
    </x:row>
    <x:row r="96" spans="1:13" outlineLevel="2">
      <x:c r="A96" s="0" t="s">
        <x:v>84</x:v>
      </x:c>
      <x:c r="B96" s="1" t="s">
        <x:v>333</x:v>
      </x:c>
      <x:c r="C96" s="0" t="s">
        <x:v>334</x:v>
      </x:c>
      <x:c r="E96" s="2"/>
      <x:c r="G96" s="3"/>
      <x:c r="H96" s="3"/>
      <x:c r="I96" s="4"/>
      <x:c r="J96" s="3"/>
      <x:c r="K96" s="4">
        <x:f>""</x:f>
      </x:c>
      <x:c r="L96" s="1"/>
    </x:row>
    <x:row r="97" spans="1:13" outlineLevel="2">
      <x:c r="A97" s="0" t="s">
        <x:v>92</x:v>
      </x:c>
      <x:c r="B97" s="1" t="s">
        <x:v>335</x:v>
      </x:c>
      <x:c r="C97" s="0" t="s">
        <x:v>336</x:v>
      </x:c>
      <x:c r="D97" s="0" t="s">
        <x:v>337</x:v>
      </x:c>
      <x:c r="E97" s="2">
        <x:v>7</x:v>
      </x:c>
      <x:c r="F97" s="0" t="s">
        <x:v>132</x:v>
      </x:c>
      <x:c r="G97" s="3">
        <x:f>SUMPRODUCT((Kalkulation!A2:A50000=B97)*Kalkulation!D2:D50000)</x:f>
      </x:c>
      <x:c r="H97" s="3">
        <x:f>G97*E97</x:f>
      </x:c>
      <x:c r="I97" s="4"/>
      <x:c r="J97" s="3">
        <x:f>H97*(1-I97)</x:f>
      </x:c>
      <x:c r="K97" s="4">
        <x:f>B2</x:f>
      </x:c>
      <x:c r="L97" s="1" t="s">
        <x:v>338</x:v>
      </x:c>
      <x:c r="M97" s="0" t="s">
        <x:v>339</x:v>
      </x:c>
    </x:row>
    <x:row r="98" spans="1:13" outlineLevel="2">
      <x:c r="A98" s="0" t="s">
        <x:v>92</x:v>
      </x:c>
      <x:c r="B98" s="1" t="s">
        <x:v>340</x:v>
      </x:c>
      <x:c r="C98" s="0" t="s">
        <x:v>341</x:v>
      </x:c>
      <x:c r="D98" s="0" t="s">
        <x:v>342</x:v>
      </x:c>
      <x:c r="E98" s="2">
        <x:v>7</x:v>
      </x:c>
      <x:c r="F98" s="0" t="s">
        <x:v>132</x:v>
      </x:c>
      <x:c r="G98" s="3">
        <x:f>SUMPRODUCT((Kalkulation!A2:A50000=B98)*Kalkulation!D2:D50000)</x:f>
      </x:c>
      <x:c r="H98" s="3">
        <x:f>G98*E98</x:f>
      </x:c>
      <x:c r="I98" s="4"/>
      <x:c r="J98" s="3">
        <x:f>H98*(1-I98)</x:f>
      </x:c>
      <x:c r="K98" s="4">
        <x:f>B2</x:f>
      </x:c>
      <x:c r="L98" s="1" t="s">
        <x:v>338</x:v>
      </x:c>
      <x:c r="M98" s="0" t="s">
        <x:v>343</x:v>
      </x:c>
    </x:row>
    <x:row r="99" spans="1:13" outlineLevel="2">
      <x:c r="A99" s="0" t="s">
        <x:v>92</x:v>
      </x:c>
      <x:c r="B99" s="1" t="s">
        <x:v>344</x:v>
      </x:c>
      <x:c r="C99" s="0" t="s">
        <x:v>345</x:v>
      </x:c>
      <x:c r="D99" s="0" t="s">
        <x:v>346</x:v>
      </x:c>
      <x:c r="E99" s="2">
        <x:v>4</x:v>
      </x:c>
      <x:c r="F99" s="0" t="s">
        <x:v>177</x:v>
      </x:c>
      <x:c r="G99" s="3">
        <x:f>SUMPRODUCT((Kalkulation!A2:A50000=B99)*Kalkulation!D2:D50000)</x:f>
      </x:c>
      <x:c r="H99" s="3">
        <x:f>G99*E99</x:f>
      </x:c>
      <x:c r="I99" s="4"/>
      <x:c r="J99" s="3">
        <x:f>H99*(1-I99)</x:f>
      </x:c>
      <x:c r="K99" s="4">
        <x:f>B2</x:f>
      </x:c>
      <x:c r="L99" s="1" t="s">
        <x:v>338</x:v>
      </x:c>
      <x:c r="M99" s="0" t="s">
        <x:v>347</x:v>
      </x:c>
    </x:row>
    <x:row r="100" spans="1:13" outlineLevel="2">
      <x:c r="A100" s="0" t="s">
        <x:v>92</x:v>
      </x:c>
      <x:c r="B100" s="1" t="s">
        <x:v>348</x:v>
      </x:c>
      <x:c r="C100" s="0" t="s">
        <x:v>349</x:v>
      </x:c>
      <x:c r="D100" s="0" t="s">
        <x:v>350</x:v>
      </x:c>
      <x:c r="E100" s="2">
        <x:v>75</x:v>
      </x:c>
      <x:c r="F100" s="0" t="s">
        <x:v>164</x:v>
      </x:c>
      <x:c r="G100" s="3">
        <x:f>SUMPRODUCT((Kalkulation!A2:A50000=B100)*Kalkulation!D2:D50000)</x:f>
      </x:c>
      <x:c r="H100" s="3">
        <x:f>G100*E100</x:f>
      </x:c>
      <x:c r="I100" s="4"/>
      <x:c r="J100" s="3">
        <x:f>H100*(1-I100)</x:f>
      </x:c>
      <x:c r="K100" s="4">
        <x:f>B2</x:f>
      </x:c>
      <x:c r="L100" s="1" t="s">
        <x:v>338</x:v>
      </x:c>
      <x:c r="M100" s="0" t="s">
        <x:v>351</x:v>
      </x:c>
    </x:row>
    <x:row r="101" spans="1:13" outlineLevel="2">
      <x:c r="A101" s="0" t="s">
        <x:v>14</x:v>
      </x:c>
      <x:c r="B101" s="1"/>
      <x:c r="C101" s="0" t="s">
        <x:v>352</x:v>
      </x:c>
      <x:c r="D101" s="0" t="s">
        <x:v>353</x:v>
      </x:c>
      <x:c r="E101" s="2"/>
      <x:c r="G101" s="3"/>
      <x:c r="H101" s="3"/>
      <x:c r="I101" s="4"/>
      <x:c r="J101" s="3"/>
      <x:c r="K101" s="4">
        <x:f>""</x:f>
      </x:c>
      <x:c r="L101" s="1"/>
      <x:c r="M101" s="0" t="s">
        <x:v>354</x:v>
      </x:c>
    </x:row>
    <x:row r="102" spans="1:13" outlineLevel="2">
      <x:c r="A102" s="0" t="s">
        <x:v>14</x:v>
      </x:c>
      <x:c r="B102" s="1"/>
      <x:c r="C102" s="0" t="s">
        <x:v>355</x:v>
      </x:c>
      <x:c r="D102" s="0" t="s">
        <x:v>356</x:v>
      </x:c>
      <x:c r="E102" s="2"/>
      <x:c r="G102" s="3"/>
      <x:c r="H102" s="3"/>
      <x:c r="I102" s="4"/>
      <x:c r="J102" s="3"/>
      <x:c r="K102" s="4">
        <x:f>""</x:f>
      </x:c>
      <x:c r="L102" s="1"/>
      <x:c r="M102" s="0" t="s">
        <x:v>357</x:v>
      </x:c>
    </x:row>
    <x:row r="103" spans="1:13" outlineLevel="2">
      <x:c r="A103" s="0" t="s">
        <x:v>92</x:v>
      </x:c>
      <x:c r="B103" s="1" t="s">
        <x:v>358</x:v>
      </x:c>
      <x:c r="C103" s="0" t="s">
        <x:v>359</x:v>
      </x:c>
      <x:c r="D103" s="0" t="s">
        <x:v>360</x:v>
      </x:c>
      <x:c r="E103" s="2">
        <x:v>10</x:v>
      </x:c>
      <x:c r="F103" s="0" t="s">
        <x:v>177</x:v>
      </x:c>
      <x:c r="G103" s="3">
        <x:f>SUMPRODUCT((Kalkulation!A2:A50000=B103)*Kalkulation!D2:D50000)</x:f>
      </x:c>
      <x:c r="H103" s="3">
        <x:f>G103*E103</x:f>
      </x:c>
      <x:c r="I103" s="4"/>
      <x:c r="J103" s="3">
        <x:f>H103*(1-I103)</x:f>
      </x:c>
      <x:c r="K103" s="4">
        <x:f>B2</x:f>
      </x:c>
      <x:c r="L103" s="1" t="s">
        <x:v>338</x:v>
      </x:c>
      <x:c r="M103" s="0" t="s">
        <x:v>361</x:v>
      </x:c>
    </x:row>
    <x:row r="104" spans="1:13" outlineLevel="2">
      <x:c r="A104" s="0" t="s">
        <x:v>92</x:v>
      </x:c>
      <x:c r="B104" s="1" t="s">
        <x:v>362</x:v>
      </x:c>
      <x:c r="C104" s="0" t="s">
        <x:v>363</x:v>
      </x:c>
      <x:c r="D104" s="0" t="s">
        <x:v>364</x:v>
      </x:c>
      <x:c r="E104" s="2">
        <x:v>10</x:v>
      </x:c>
      <x:c r="F104" s="0" t="s">
        <x:v>177</x:v>
      </x:c>
      <x:c r="G104" s="3">
        <x:f>SUMPRODUCT((Kalkulation!A2:A50000=B104)*Kalkulation!D2:D50000)</x:f>
      </x:c>
      <x:c r="H104" s="3">
        <x:f>G104*E104</x:f>
      </x:c>
      <x:c r="I104" s="4"/>
      <x:c r="J104" s="3">
        <x:f>H104*(1-I104)</x:f>
      </x:c>
      <x:c r="K104" s="4">
        <x:f>B2</x:f>
      </x:c>
      <x:c r="L104" s="1" t="s">
        <x:v>338</x:v>
      </x:c>
      <x:c r="M104" s="0" t="s">
        <x:v>365</x:v>
      </x:c>
    </x:row>
    <x:row r="105" spans="1:13" outlineLevel="2">
      <x:c r="A105" s="0" t="s">
        <x:v>92</x:v>
      </x:c>
      <x:c r="B105" s="1" t="s">
        <x:v>366</x:v>
      </x:c>
      <x:c r="C105" s="0" t="s">
        <x:v>367</x:v>
      </x:c>
      <x:c r="D105" s="0" t="s">
        <x:v>368</x:v>
      </x:c>
      <x:c r="E105" s="2">
        <x:v>10</x:v>
      </x:c>
      <x:c r="F105" s="0" t="s">
        <x:v>164</x:v>
      </x:c>
      <x:c r="G105" s="3">
        <x:f>SUMPRODUCT((Kalkulation!A2:A50000=B105)*Kalkulation!D2:D50000)</x:f>
      </x:c>
      <x:c r="H105" s="3">
        <x:f>G105*E105</x:f>
      </x:c>
      <x:c r="I105" s="4"/>
      <x:c r="J105" s="3">
        <x:f>H105*(1-I105)</x:f>
      </x:c>
      <x:c r="K105" s="4">
        <x:f>B2</x:f>
      </x:c>
      <x:c r="L105" s="1" t="s">
        <x:v>338</x:v>
      </x:c>
      <x:c r="M105" s="0" t="s">
        <x:v>369</x:v>
      </x:c>
    </x:row>
    <x:row r="106" spans="1:13" outlineLevel="2">
      <x:c r="A106" s="0" t="s">
        <x:v>92</x:v>
      </x:c>
      <x:c r="B106" s="1" t="s">
        <x:v>370</x:v>
      </x:c>
      <x:c r="C106" s="0" t="s">
        <x:v>371</x:v>
      </x:c>
      <x:c r="D106" s="0" t="s">
        <x:v>372</x:v>
      </x:c>
      <x:c r="E106" s="2">
        <x:v>12</x:v>
      </x:c>
      <x:c r="F106" s="0" t="s">
        <x:v>158</x:v>
      </x:c>
      <x:c r="G106" s="3">
        <x:f>SUMPRODUCT((Kalkulation!A2:A50000=B106)*Kalkulation!D2:D50000)</x:f>
      </x:c>
      <x:c r="H106" s="3">
        <x:f>G106*E106</x:f>
      </x:c>
      <x:c r="I106" s="4"/>
      <x:c r="J106" s="3">
        <x:f>H106*(1-I106)</x:f>
      </x:c>
      <x:c r="K106" s="4">
        <x:f>B2</x:f>
      </x:c>
      <x:c r="L106" s="1" t="s">
        <x:v>338</x:v>
      </x:c>
      <x:c r="M106" s="0" t="s">
        <x:v>373</x:v>
      </x:c>
    </x:row>
    <x:row r="107" spans="1:13" outlineLevel="2">
      <x:c r="A107" s="0" t="s">
        <x:v>92</x:v>
      </x:c>
      <x:c r="B107" s="1" t="s">
        <x:v>374</x:v>
      </x:c>
      <x:c r="C107" s="0" t="s">
        <x:v>375</x:v>
      </x:c>
      <x:c r="D107" s="0" t="s">
        <x:v>376</x:v>
      </x:c>
      <x:c r="E107" s="2">
        <x:v>10</x:v>
      </x:c>
      <x:c r="F107" s="0" t="s">
        <x:v>177</x:v>
      </x:c>
      <x:c r="G107" s="3">
        <x:f>SUMPRODUCT((Kalkulation!A2:A50000=B107)*Kalkulation!D2:D50000)</x:f>
      </x:c>
      <x:c r="H107" s="3">
        <x:f>G107*E107</x:f>
      </x:c>
      <x:c r="I107" s="4"/>
      <x:c r="J107" s="3">
        <x:f>H107*(1-I107)</x:f>
      </x:c>
      <x:c r="K107" s="4">
        <x:f>B2</x:f>
      </x:c>
      <x:c r="L107" s="1" t="s">
        <x:v>338</x:v>
      </x:c>
      <x:c r="M107" s="0" t="s">
        <x:v>377</x:v>
      </x:c>
    </x:row>
    <x:row r="108" spans="1:13" outlineLevel="2">
      <x:c r="A108" s="0" t="s">
        <x:v>92</x:v>
      </x:c>
      <x:c r="B108" s="1" t="s">
        <x:v>378</x:v>
      </x:c>
      <x:c r="C108" s="0" t="s">
        <x:v>379</x:v>
      </x:c>
      <x:c r="D108" s="0" t="s">
        <x:v>380</x:v>
      </x:c>
      <x:c r="E108" s="2">
        <x:v>60</x:v>
      </x:c>
      <x:c r="F108" s="0" t="s">
        <x:v>158</x:v>
      </x:c>
      <x:c r="G108" s="3">
        <x:f>SUMPRODUCT((Kalkulation!A2:A50000=B108)*Kalkulation!D2:D50000)</x:f>
      </x:c>
      <x:c r="H108" s="3">
        <x:f>G108*E108</x:f>
      </x:c>
      <x:c r="I108" s="4"/>
      <x:c r="J108" s="3">
        <x:f>H108*(1-I108)</x:f>
      </x:c>
      <x:c r="K108" s="4">
        <x:f>B2</x:f>
      </x:c>
      <x:c r="L108" s="1" t="s">
        <x:v>338</x:v>
      </x:c>
      <x:c r="M108" s="0" t="s">
        <x:v>381</x:v>
      </x:c>
    </x:row>
    <x:row r="109" spans="1:13" outlineLevel="2">
      <x:c r="A109" s="0" t="s">
        <x:v>92</x:v>
      </x:c>
      <x:c r="B109" s="1" t="s">
        <x:v>382</x:v>
      </x:c>
      <x:c r="C109" s="0" t="s">
        <x:v>383</x:v>
      </x:c>
      <x:c r="D109" s="0" t="s">
        <x:v>384</x:v>
      </x:c>
      <x:c r="E109" s="2">
        <x:v>15</x:v>
      </x:c>
      <x:c r="F109" s="0" t="s">
        <x:v>164</x:v>
      </x:c>
      <x:c r="G109" s="3">
        <x:f>SUMPRODUCT((Kalkulation!A2:A50000=B109)*Kalkulation!D2:D50000)</x:f>
      </x:c>
      <x:c r="H109" s="3">
        <x:f>G109*E109</x:f>
      </x:c>
      <x:c r="I109" s="4"/>
      <x:c r="J109" s="3">
        <x:f>H109*(1-I109)</x:f>
      </x:c>
      <x:c r="K109" s="4">
        <x:f>B2</x:f>
      </x:c>
      <x:c r="L109" s="1" t="s">
        <x:v>338</x:v>
      </x:c>
      <x:c r="M109" s="0" t="s">
        <x:v>385</x:v>
      </x:c>
    </x:row>
    <x:row r="110" spans="1:13" outlineLevel="2">
      <x:c r="A110" s="0" t="s">
        <x:v>92</x:v>
      </x:c>
      <x:c r="B110" s="1" t="s">
        <x:v>386</x:v>
      </x:c>
      <x:c r="C110" s="0" t="s">
        <x:v>387</x:v>
      </x:c>
      <x:c r="D110" s="0" t="s">
        <x:v>388</x:v>
      </x:c>
      <x:c r="E110" s="2">
        <x:v>60</x:v>
      </x:c>
      <x:c r="F110" s="0" t="s">
        <x:v>164</x:v>
      </x:c>
      <x:c r="G110" s="3">
        <x:f>SUMPRODUCT((Kalkulation!A2:A50000=B110)*Kalkulation!D2:D50000)</x:f>
      </x:c>
      <x:c r="H110" s="3">
        <x:f>G110*E110</x:f>
      </x:c>
      <x:c r="I110" s="4"/>
      <x:c r="J110" s="3">
        <x:f>H110*(1-I110)</x:f>
      </x:c>
      <x:c r="K110" s="4">
        <x:f>B2</x:f>
      </x:c>
      <x:c r="L110" s="1" t="s">
        <x:v>338</x:v>
      </x:c>
      <x:c r="M110" s="0" t="s">
        <x:v>389</x:v>
      </x:c>
    </x:row>
    <x:row r="111" spans="1:13" outlineLevel="2">
      <x:c r="A111" s="0" t="s">
        <x:v>92</x:v>
      </x:c>
      <x:c r="B111" s="1" t="s">
        <x:v>390</x:v>
      </x:c>
      <x:c r="C111" s="0" t="s">
        <x:v>391</x:v>
      </x:c>
      <x:c r="D111" s="0" t="s">
        <x:v>392</x:v>
      </x:c>
      <x:c r="E111" s="2">
        <x:v>25</x:v>
      </x:c>
      <x:c r="F111" s="0" t="s">
        <x:v>177</x:v>
      </x:c>
      <x:c r="G111" s="3">
        <x:f>SUMPRODUCT((Kalkulation!A2:A50000=B111)*Kalkulation!D2:D50000)</x:f>
      </x:c>
      <x:c r="H111" s="3">
        <x:f>G111*E111</x:f>
      </x:c>
      <x:c r="I111" s="4"/>
      <x:c r="J111" s="3">
        <x:f>H111*(1-I111)</x:f>
      </x:c>
      <x:c r="K111" s="4">
        <x:f>B2</x:f>
      </x:c>
      <x:c r="L111" s="1" t="s">
        <x:v>338</x:v>
      </x:c>
      <x:c r="M111" s="0" t="s">
        <x:v>393</x:v>
      </x:c>
    </x:row>
    <x:row r="112" spans="1:13" outlineLevel="2">
      <x:c r="A112" s="0" t="s">
        <x:v>92</x:v>
      </x:c>
      <x:c r="B112" s="1" t="s">
        <x:v>394</x:v>
      </x:c>
      <x:c r="C112" s="0" t="s">
        <x:v>395</x:v>
      </x:c>
      <x:c r="D112" s="0" t="s">
        <x:v>396</x:v>
      </x:c>
      <x:c r="E112" s="2">
        <x:v>5</x:v>
      </x:c>
      <x:c r="F112" s="0" t="s">
        <x:v>177</x:v>
      </x:c>
      <x:c r="G112" s="3">
        <x:f>SUMPRODUCT((Kalkulation!A2:A50000=B112)*Kalkulation!D2:D50000)</x:f>
      </x:c>
      <x:c r="H112" s="3">
        <x:f>G112*E112</x:f>
      </x:c>
      <x:c r="I112" s="4"/>
      <x:c r="J112" s="3">
        <x:f>H112*(1-I112)</x:f>
      </x:c>
      <x:c r="K112" s="4">
        <x:f>B2</x:f>
      </x:c>
      <x:c r="L112" s="1" t="s">
        <x:v>338</x:v>
      </x:c>
      <x:c r="M112" s="0" t="s">
        <x:v>397</x:v>
      </x:c>
    </x:row>
    <x:row r="113" spans="1:13" outlineLevel="2">
      <x:c r="A113" s="0" t="s">
        <x:v>92</x:v>
      </x:c>
      <x:c r="B113" s="1" t="s">
        <x:v>398</x:v>
      </x:c>
      <x:c r="C113" s="0" t="s">
        <x:v>399</x:v>
      </x:c>
      <x:c r="D113" s="0" t="s">
        <x:v>400</x:v>
      </x:c>
      <x:c r="E113" s="2">
        <x:v>2</x:v>
      </x:c>
      <x:c r="F113" s="0" t="s">
        <x:v>132</x:v>
      </x:c>
      <x:c r="G113" s="3">
        <x:f>SUMPRODUCT((Kalkulation!A2:A50000=B113)*Kalkulation!D2:D50000)</x:f>
      </x:c>
      <x:c r="H113" s="3">
        <x:f>G113*E113</x:f>
      </x:c>
      <x:c r="I113" s="4"/>
      <x:c r="J113" s="3">
        <x:f>H113*(1-I113)</x:f>
      </x:c>
      <x:c r="K113" s="4">
        <x:f>B2</x:f>
      </x:c>
      <x:c r="L113" s="1" t="s">
        <x:v>338</x:v>
      </x:c>
      <x:c r="M113" s="0" t="s">
        <x:v>401</x:v>
      </x:c>
    </x:row>
    <x:row r="114" spans="1:13" outlineLevel="2">
      <x:c r="A114" s="0" t="s">
        <x:v>92</x:v>
      </x:c>
      <x:c r="B114" s="1" t="s">
        <x:v>402</x:v>
      </x:c>
      <x:c r="C114" s="0" t="s">
        <x:v>403</x:v>
      </x:c>
      <x:c r="D114" s="0" t="s">
        <x:v>404</x:v>
      </x:c>
      <x:c r="E114" s="2">
        <x:v>20</x:v>
      </x:c>
      <x:c r="F114" s="0" t="s">
        <x:v>132</x:v>
      </x:c>
      <x:c r="G114" s="3">
        <x:f>SUMPRODUCT((Kalkulation!A2:A50000=B114)*Kalkulation!D2:D50000)</x:f>
      </x:c>
      <x:c r="H114" s="3">
        <x:f>G114*E114</x:f>
      </x:c>
      <x:c r="I114" s="4"/>
      <x:c r="J114" s="3">
        <x:f>H114*(1-I114)</x:f>
      </x:c>
      <x:c r="K114" s="4">
        <x:f>B2</x:f>
      </x:c>
      <x:c r="L114" s="1" t="s">
        <x:v>338</x:v>
      </x:c>
      <x:c r="M114" s="0" t="s">
        <x:v>405</x:v>
      </x:c>
    </x:row>
    <x:row r="115" spans="1:13" outlineLevel="2">
      <x:c r="A115" s="0" t="s">
        <x:v>92</x:v>
      </x:c>
      <x:c r="B115" s="1" t="s">
        <x:v>406</x:v>
      </x:c>
      <x:c r="C115" s="0" t="s">
        <x:v>407</x:v>
      </x:c>
      <x:c r="D115" s="0" t="s">
        <x:v>408</x:v>
      </x:c>
      <x:c r="E115" s="2">
        <x:v>1</x:v>
      </x:c>
      <x:c r="F115" s="0" t="s">
        <x:v>132</x:v>
      </x:c>
      <x:c r="G115" s="3">
        <x:f>SUMPRODUCT((Kalkulation!A2:A50000=B115)*Kalkulation!D2:D50000)</x:f>
      </x:c>
      <x:c r="H115" s="3">
        <x:f>G115*E115</x:f>
      </x:c>
      <x:c r="I115" s="4"/>
      <x:c r="J115" s="3">
        <x:f>H115*(1-I115)</x:f>
      </x:c>
      <x:c r="K115" s="4">
        <x:f>B2</x:f>
      </x:c>
      <x:c r="L115" s="1" t="s">
        <x:v>338</x:v>
      </x:c>
      <x:c r="M115" s="0" t="s">
        <x:v>409</x:v>
      </x:c>
    </x:row>
    <x:row r="116" spans="1:13" outlineLevel="2">
      <x:c r="A116" s="0" t="s">
        <x:v>92</x:v>
      </x:c>
      <x:c r="B116" s="1" t="s">
        <x:v>410</x:v>
      </x:c>
      <x:c r="C116" s="0" t="s">
        <x:v>411</x:v>
      </x:c>
      <x:c r="D116" s="0" t="s">
        <x:v>412</x:v>
      </x:c>
      <x:c r="E116" s="2">
        <x:v>5</x:v>
      </x:c>
      <x:c r="F116" s="0" t="s">
        <x:v>132</x:v>
      </x:c>
      <x:c r="G116" s="3">
        <x:f>SUMPRODUCT((Kalkulation!A2:A50000=B116)*Kalkulation!D2:D50000)</x:f>
      </x:c>
      <x:c r="H116" s="3">
        <x:f>G116*E116</x:f>
      </x:c>
      <x:c r="I116" s="4"/>
      <x:c r="J116" s="3">
        <x:f>H116*(1-I116)</x:f>
      </x:c>
      <x:c r="K116" s="4">
        <x:f>B2</x:f>
      </x:c>
      <x:c r="L116" s="1" t="s">
        <x:v>338</x:v>
      </x:c>
      <x:c r="M116" s="0" t="s">
        <x:v>413</x:v>
      </x:c>
    </x:row>
    <x:row r="117" spans="1:13" outlineLevel="2">
      <x:c r="A117" s="0" t="s">
        <x:v>92</x:v>
      </x:c>
      <x:c r="B117" s="1" t="s">
        <x:v>414</x:v>
      </x:c>
      <x:c r="C117" s="0" t="s">
        <x:v>415</x:v>
      </x:c>
      <x:c r="D117" s="0" t="s">
        <x:v>416</x:v>
      </x:c>
      <x:c r="E117" s="2">
        <x:v>2</x:v>
      </x:c>
      <x:c r="F117" s="0" t="s">
        <x:v>132</x:v>
      </x:c>
      <x:c r="G117" s="3">
        <x:f>SUMPRODUCT((Kalkulation!A2:A50000=B117)*Kalkulation!D2:D50000)</x:f>
      </x:c>
      <x:c r="H117" s="3">
        <x:f>G117*E117</x:f>
      </x:c>
      <x:c r="I117" s="4"/>
      <x:c r="J117" s="3">
        <x:f>H117*(1-I117)</x:f>
      </x:c>
      <x:c r="K117" s="4">
        <x:f>B2</x:f>
      </x:c>
      <x:c r="L117" s="1" t="s">
        <x:v>338</x:v>
      </x:c>
      <x:c r="M117" s="0" t="s">
        <x:v>417</x:v>
      </x:c>
    </x:row>
    <x:row r="118" spans="1:13" outlineLevel="2">
      <x:c r="A118" s="0" t="s">
        <x:v>92</x:v>
      </x:c>
      <x:c r="B118" s="1" t="s">
        <x:v>418</x:v>
      </x:c>
      <x:c r="C118" s="0" t="s">
        <x:v>419</x:v>
      </x:c>
      <x:c r="D118" s="0" t="s">
        <x:v>420</x:v>
      </x:c>
      <x:c r="E118" s="2">
        <x:v>1</x:v>
      </x:c>
      <x:c r="F118" s="0" t="s">
        <x:v>132</x:v>
      </x:c>
      <x:c r="G118" s="3">
        <x:f>SUMPRODUCT((Kalkulation!A2:A50000=B118)*Kalkulation!D2:D50000)</x:f>
      </x:c>
      <x:c r="H118" s="3">
        <x:f>G118*E118</x:f>
      </x:c>
      <x:c r="I118" s="4"/>
      <x:c r="J118" s="3">
        <x:f>H118*(1-I118)</x:f>
      </x:c>
      <x:c r="K118" s="4">
        <x:f>B2</x:f>
      </x:c>
      <x:c r="L118" s="1" t="s">
        <x:v>338</x:v>
      </x:c>
      <x:c r="M118" s="0" t="s">
        <x:v>421</x:v>
      </x:c>
    </x:row>
    <x:row r="119" spans="1:13" outlineLevel="2">
      <x:c r="A119" s="0" t="s">
        <x:v>92</x:v>
      </x:c>
      <x:c r="B119" s="1" t="s">
        <x:v>422</x:v>
      </x:c>
      <x:c r="C119" s="0" t="s">
        <x:v>423</x:v>
      </x:c>
      <x:c r="D119" s="0" t="s">
        <x:v>424</x:v>
      </x:c>
      <x:c r="E119" s="2">
        <x:v>20</x:v>
      </x:c>
      <x:c r="F119" s="0" t="s">
        <x:v>177</x:v>
      </x:c>
      <x:c r="G119" s="3">
        <x:f>SUMPRODUCT((Kalkulation!A2:A50000=B119)*Kalkulation!D2:D50000)</x:f>
      </x:c>
      <x:c r="H119" s="3">
        <x:f>G119*E119</x:f>
      </x:c>
      <x:c r="I119" s="4"/>
      <x:c r="J119" s="3">
        <x:f>H119*(1-I119)</x:f>
      </x:c>
      <x:c r="K119" s="4">
        <x:f>B2</x:f>
      </x:c>
      <x:c r="L119" s="1" t="s">
        <x:v>338</x:v>
      </x:c>
      <x:c r="M119" s="0" t="s">
        <x:v>425</x:v>
      </x:c>
    </x:row>
    <x:row r="120" spans="1:13" outlineLevel="2">
      <x:c r="A120" s="0" t="s">
        <x:v>92</x:v>
      </x:c>
      <x:c r="B120" s="1" t="s">
        <x:v>426</x:v>
      </x:c>
      <x:c r="C120" s="0" t="s">
        <x:v>427</x:v>
      </x:c>
      <x:c r="D120" s="0" t="s">
        <x:v>428</x:v>
      </x:c>
      <x:c r="E120" s="2">
        <x:v>8</x:v>
      </x:c>
      <x:c r="F120" s="0" t="s">
        <x:v>132</x:v>
      </x:c>
      <x:c r="G120" s="3">
        <x:f>SUMPRODUCT((Kalkulation!A2:A50000=B120)*Kalkulation!D2:D50000)</x:f>
      </x:c>
      <x:c r="H120" s="3">
        <x:f>G120*E120</x:f>
      </x:c>
      <x:c r="I120" s="4"/>
      <x:c r="J120" s="3">
        <x:f>H120*(1-I120)</x:f>
      </x:c>
      <x:c r="K120" s="4">
        <x:f>B2</x:f>
      </x:c>
      <x:c r="L120" s="1" t="s">
        <x:v>338</x:v>
      </x:c>
      <x:c r="M120" s="0" t="s">
        <x:v>429</x:v>
      </x:c>
    </x:row>
    <x:row r="121" spans="1:13" outlineLevel="2">
      <x:c r="A121" s="0" t="s">
        <x:v>92</x:v>
      </x:c>
      <x:c r="B121" s="1" t="s">
        <x:v>430</x:v>
      </x:c>
      <x:c r="C121" s="0" t="s">
        <x:v>431</x:v>
      </x:c>
      <x:c r="D121" s="0" t="s">
        <x:v>432</x:v>
      </x:c>
      <x:c r="E121" s="2">
        <x:v>3</x:v>
      </x:c>
      <x:c r="F121" s="0" t="s">
        <x:v>132</x:v>
      </x:c>
      <x:c r="G121" s="3">
        <x:f>SUMPRODUCT((Kalkulation!A2:A50000=B121)*Kalkulation!D2:D50000)</x:f>
      </x:c>
      <x:c r="H121" s="3">
        <x:f>G121*E121</x:f>
      </x:c>
      <x:c r="I121" s="4"/>
      <x:c r="J121" s="3">
        <x:f>H121*(1-I121)</x:f>
      </x:c>
      <x:c r="K121" s="4">
        <x:f>B2</x:f>
      </x:c>
      <x:c r="L121" s="1" t="s">
        <x:v>338</x:v>
      </x:c>
      <x:c r="M121" s="0" t="s">
        <x:v>433</x:v>
      </x:c>
    </x:row>
    <x:row r="122" spans="1:13" s="5" customFormat="1" outlineLevel="1">
      <x:c r="A122" s="12" t="s">
        <x:v>151</x:v>
      </x:c>
      <x:c r="B122" s="13" t="s">
        <x:v>333</x:v>
      </x:c>
      <x:c r="C122" s="12" t="s">
        <x:v>334</x:v>
      </x:c>
      <x:c r="D122" s="12"/>
      <x:c r="E122" s="14"/>
      <x:c r="F122" s="12"/>
      <x:c r="G122" s="15"/>
      <x:c r="H122" s="15">
        <x:f>SUMIF(L:L,"3fd56d92-5ccb-400f-b724-8c6486230eee",J:J)</x:f>
      </x:c>
      <x:c r="I122" s="16"/>
      <x:c r="J122" s="15">
        <x:f>H122*(1-I122)</x:f>
      </x:c>
      <x:c r="K122" s="16"/>
      <x:c r="L122" s="6" t="s">
        <x:v>152</x:v>
      </x:c>
      <x:c r="M122" s="5" t="s">
        <x:v>338</x:v>
      </x:c>
    </x:row>
    <x:row r="123" spans="1:13" outlineLevel="2">
      <x:c r="A123" s="0" t="s">
        <x:v>84</x:v>
      </x:c>
      <x:c r="B123" s="1" t="s">
        <x:v>434</x:v>
      </x:c>
      <x:c r="C123" s="0" t="s">
        <x:v>435</x:v>
      </x:c>
      <x:c r="E123" s="2"/>
      <x:c r="G123" s="3"/>
      <x:c r="H123" s="3"/>
      <x:c r="I123" s="4"/>
      <x:c r="J123" s="3"/>
      <x:c r="K123" s="4">
        <x:f>""</x:f>
      </x:c>
      <x:c r="L123" s="1"/>
    </x:row>
    <x:row r="124" spans="1:13" outlineLevel="2">
      <x:c r="A124" s="0" t="s">
        <x:v>14</x:v>
      </x:c>
      <x:c r="B124" s="1"/>
      <x:c r="C124" s="0" t="s">
        <x:v>436</x:v>
      </x:c>
      <x:c r="D124" s="0" t="s">
        <x:v>437</x:v>
      </x:c>
      <x:c r="E124" s="2"/>
      <x:c r="G124" s="3"/>
      <x:c r="H124" s="3"/>
      <x:c r="I124" s="4"/>
      <x:c r="J124" s="3"/>
      <x:c r="K124" s="4">
        <x:f>""</x:f>
      </x:c>
      <x:c r="L124" s="1"/>
      <x:c r="M124" s="0" t="s">
        <x:v>438</x:v>
      </x:c>
    </x:row>
    <x:row r="125" spans="1:13" outlineLevel="2">
      <x:c r="A125" s="0" t="s">
        <x:v>92</x:v>
      </x:c>
      <x:c r="B125" s="1" t="s">
        <x:v>439</x:v>
      </x:c>
      <x:c r="C125" s="0" t="s">
        <x:v>440</x:v>
      </x:c>
      <x:c r="D125" s="0" t="s">
        <x:v>441</x:v>
      </x:c>
      <x:c r="E125" s="2">
        <x:v>310</x:v>
      </x:c>
      <x:c r="F125" s="0" t="s">
        <x:v>177</x:v>
      </x:c>
      <x:c r="G125" s="3">
        <x:f>SUMPRODUCT((Kalkulation!A2:A50000=B125)*Kalkulation!D2:D50000)</x:f>
      </x:c>
      <x:c r="H125" s="3">
        <x:f>G125*E125</x:f>
      </x:c>
      <x:c r="I125" s="4"/>
      <x:c r="J125" s="3">
        <x:f>H125*(1-I125)</x:f>
      </x:c>
      <x:c r="K125" s="4">
        <x:f>B2</x:f>
      </x:c>
      <x:c r="L125" s="1" t="s">
        <x:v>442</x:v>
      </x:c>
      <x:c r="M125" s="0" t="s">
        <x:v>443</x:v>
      </x:c>
    </x:row>
    <x:row r="126" spans="1:13" outlineLevel="2">
      <x:c r="A126" s="0" t="s">
        <x:v>92</x:v>
      </x:c>
      <x:c r="B126" s="1" t="s">
        <x:v>444</x:v>
      </x:c>
      <x:c r="C126" s="0" t="s">
        <x:v>445</x:v>
      </x:c>
      <x:c r="D126" s="0" t="s">
        <x:v>446</x:v>
      </x:c>
      <x:c r="E126" s="2">
        <x:v>220</x:v>
      </x:c>
      <x:c r="F126" s="0" t="s">
        <x:v>177</x:v>
      </x:c>
      <x:c r="G126" s="3">
        <x:f>SUMPRODUCT((Kalkulation!A2:A50000=B126)*Kalkulation!D2:D50000)</x:f>
      </x:c>
      <x:c r="H126" s="3">
        <x:f>G126*E126</x:f>
      </x:c>
      <x:c r="I126" s="4"/>
      <x:c r="J126" s="3">
        <x:f>H126*(1-I126)</x:f>
      </x:c>
      <x:c r="K126" s="4">
        <x:f>B2</x:f>
      </x:c>
      <x:c r="L126" s="1" t="s">
        <x:v>442</x:v>
      </x:c>
      <x:c r="M126" s="0" t="s">
        <x:v>447</x:v>
      </x:c>
    </x:row>
    <x:row r="127" spans="1:13" outlineLevel="2">
      <x:c r="A127" s="0" t="s">
        <x:v>92</x:v>
      </x:c>
      <x:c r="B127" s="1" t="s">
        <x:v>448</x:v>
      </x:c>
      <x:c r="C127" s="0" t="s">
        <x:v>445</x:v>
      </x:c>
      <x:c r="D127" s="0" t="s">
        <x:v>449</x:v>
      </x:c>
      <x:c r="E127" s="2">
        <x:v>27</x:v>
      </x:c>
      <x:c r="F127" s="0" t="s">
        <x:v>177</x:v>
      </x:c>
      <x:c r="G127" s="3">
        <x:f>SUMPRODUCT((Kalkulation!A2:A50000=B127)*Kalkulation!D2:D50000)</x:f>
      </x:c>
      <x:c r="H127" s="3">
        <x:f>G127*E127</x:f>
      </x:c>
      <x:c r="I127" s="4"/>
      <x:c r="J127" s="3">
        <x:f>H127*(1-I127)</x:f>
      </x:c>
      <x:c r="K127" s="4">
        <x:f>B2</x:f>
      </x:c>
      <x:c r="L127" s="1" t="s">
        <x:v>442</x:v>
      </x:c>
      <x:c r="M127" s="0" t="s">
        <x:v>450</x:v>
      </x:c>
    </x:row>
    <x:row r="128" spans="1:13" outlineLevel="2">
      <x:c r="A128" s="0" t="s">
        <x:v>92</x:v>
      </x:c>
      <x:c r="B128" s="1" t="s">
        <x:v>451</x:v>
      </x:c>
      <x:c r="C128" s="0" t="s">
        <x:v>452</x:v>
      </x:c>
      <x:c r="D128" s="0" t="s">
        <x:v>453</x:v>
      </x:c>
      <x:c r="E128" s="2">
        <x:v>95</x:v>
      </x:c>
      <x:c r="F128" s="0" t="s">
        <x:v>177</x:v>
      </x:c>
      <x:c r="G128" s="3">
        <x:f>SUMPRODUCT((Kalkulation!A2:A50000=B128)*Kalkulation!D2:D50000)</x:f>
      </x:c>
      <x:c r="H128" s="3">
        <x:f>G128*E128</x:f>
      </x:c>
      <x:c r="I128" s="4"/>
      <x:c r="J128" s="3">
        <x:f>H128*(1-I128)</x:f>
      </x:c>
      <x:c r="K128" s="4">
        <x:f>B2</x:f>
      </x:c>
      <x:c r="L128" s="1" t="s">
        <x:v>442</x:v>
      </x:c>
      <x:c r="M128" s="0" t="s">
        <x:v>454</x:v>
      </x:c>
    </x:row>
    <x:row r="129" spans="1:13" outlineLevel="2">
      <x:c r="A129" s="0" t="s">
        <x:v>92</x:v>
      </x:c>
      <x:c r="B129" s="1" t="s">
        <x:v>455</x:v>
      </x:c>
      <x:c r="C129" s="0" t="s">
        <x:v>456</x:v>
      </x:c>
      <x:c r="D129" s="0" t="s">
        <x:v>457</x:v>
      </x:c>
      <x:c r="E129" s="2">
        <x:v>17</x:v>
      </x:c>
      <x:c r="F129" s="0" t="s">
        <x:v>132</x:v>
      </x:c>
      <x:c r="G129" s="3">
        <x:f>SUMPRODUCT((Kalkulation!A2:A50000=B129)*Kalkulation!D2:D50000)</x:f>
      </x:c>
      <x:c r="H129" s="3">
        <x:f>G129*E129</x:f>
      </x:c>
      <x:c r="I129" s="4"/>
      <x:c r="J129" s="3">
        <x:f>H129*(1-I129)</x:f>
      </x:c>
      <x:c r="K129" s="4">
        <x:f>B2</x:f>
      </x:c>
      <x:c r="L129" s="1" t="s">
        <x:v>442</x:v>
      </x:c>
      <x:c r="M129" s="0" t="s">
        <x:v>458</x:v>
      </x:c>
    </x:row>
    <x:row r="130" spans="1:13" outlineLevel="2">
      <x:c r="A130" s="0" t="s">
        <x:v>92</x:v>
      </x:c>
      <x:c r="B130" s="1" t="s">
        <x:v>459</x:v>
      </x:c>
      <x:c r="C130" s="0" t="s">
        <x:v>460</x:v>
      </x:c>
      <x:c r="D130" s="0" t="s">
        <x:v>461</x:v>
      </x:c>
      <x:c r="E130" s="2">
        <x:v>4</x:v>
      </x:c>
      <x:c r="F130" s="0" t="s">
        <x:v>132</x:v>
      </x:c>
      <x:c r="G130" s="3">
        <x:f>SUMPRODUCT((Kalkulation!A2:A50000=B130)*Kalkulation!D2:D50000)</x:f>
      </x:c>
      <x:c r="H130" s="3">
        <x:f>G130*E130</x:f>
      </x:c>
      <x:c r="I130" s="4"/>
      <x:c r="J130" s="3">
        <x:f>H130*(1-I130)</x:f>
      </x:c>
      <x:c r="K130" s="4">
        <x:f>B2</x:f>
      </x:c>
      <x:c r="L130" s="1" t="s">
        <x:v>442</x:v>
      </x:c>
      <x:c r="M130" s="0" t="s">
        <x:v>462</x:v>
      </x:c>
    </x:row>
    <x:row r="131" spans="1:13" outlineLevel="2">
      <x:c r="A131" s="0" t="s">
        <x:v>92</x:v>
      </x:c>
      <x:c r="B131" s="1" t="s">
        <x:v>463</x:v>
      </x:c>
      <x:c r="C131" s="0" t="s">
        <x:v>464</x:v>
      </x:c>
      <x:c r="D131" s="0" t="s">
        <x:v>465</x:v>
      </x:c>
      <x:c r="E131" s="2">
        <x:v>25</x:v>
      </x:c>
      <x:c r="F131" s="0" t="s">
        <x:v>177</x:v>
      </x:c>
      <x:c r="G131" s="3">
        <x:f>SUMPRODUCT((Kalkulation!A2:A50000=B131)*Kalkulation!D2:D50000)</x:f>
      </x:c>
      <x:c r="H131" s="3">
        <x:f>G131*E131</x:f>
      </x:c>
      <x:c r="I131" s="4"/>
      <x:c r="J131" s="3">
        <x:f>H131*(1-I131)</x:f>
      </x:c>
      <x:c r="K131" s="4">
        <x:f>B2</x:f>
      </x:c>
      <x:c r="L131" s="1" t="s">
        <x:v>442</x:v>
      </x:c>
      <x:c r="M131" s="0" t="s">
        <x:v>466</x:v>
      </x:c>
    </x:row>
    <x:row r="132" spans="1:13" outlineLevel="2">
      <x:c r="A132" s="0" t="s">
        <x:v>92</x:v>
      </x:c>
      <x:c r="B132" s="1" t="s">
        <x:v>467</x:v>
      </x:c>
      <x:c r="C132" s="0" t="s">
        <x:v>468</x:v>
      </x:c>
      <x:c r="D132" s="0" t="s">
        <x:v>469</x:v>
      </x:c>
      <x:c r="E132" s="2">
        <x:v>5</x:v>
      </x:c>
      <x:c r="F132" s="0" t="s">
        <x:v>177</x:v>
      </x:c>
      <x:c r="G132" s="3">
        <x:f>SUMPRODUCT((Kalkulation!A2:A50000=B132)*Kalkulation!D2:D50000)</x:f>
      </x:c>
      <x:c r="H132" s="3">
        <x:f>G132*E132</x:f>
      </x:c>
      <x:c r="I132" s="4"/>
      <x:c r="J132" s="3">
        <x:f>H132*(1-I132)</x:f>
      </x:c>
      <x:c r="K132" s="4">
        <x:f>B2</x:f>
      </x:c>
      <x:c r="L132" s="1" t="s">
        <x:v>442</x:v>
      </x:c>
      <x:c r="M132" s="0" t="s">
        <x:v>470</x:v>
      </x:c>
    </x:row>
    <x:row r="133" spans="1:13" outlineLevel="2">
      <x:c r="A133" s="0" t="s">
        <x:v>92</x:v>
      </x:c>
      <x:c r="B133" s="1" t="s">
        <x:v>471</x:v>
      </x:c>
      <x:c r="C133" s="0" t="s">
        <x:v>472</x:v>
      </x:c>
      <x:c r="D133" s="0" t="s">
        <x:v>473</x:v>
      </x:c>
      <x:c r="E133" s="2">
        <x:v>4</x:v>
      </x:c>
      <x:c r="F133" s="0" t="s">
        <x:v>177</x:v>
      </x:c>
      <x:c r="G133" s="3">
        <x:f>SUMPRODUCT((Kalkulation!A2:A50000=B133)*Kalkulation!D2:D50000)</x:f>
      </x:c>
      <x:c r="H133" s="3">
        <x:f>G133*E133</x:f>
      </x:c>
      <x:c r="I133" s="4"/>
      <x:c r="J133" s="3">
        <x:f>H133*(1-I133)</x:f>
      </x:c>
      <x:c r="K133" s="4">
        <x:f>B2</x:f>
      </x:c>
      <x:c r="L133" s="1" t="s">
        <x:v>442</x:v>
      </x:c>
      <x:c r="M133" s="0" t="s">
        <x:v>474</x:v>
      </x:c>
    </x:row>
    <x:row r="134" spans="1:13" outlineLevel="2">
      <x:c r="A134" s="0" t="s">
        <x:v>92</x:v>
      </x:c>
      <x:c r="B134" s="1" t="s">
        <x:v>475</x:v>
      </x:c>
      <x:c r="C134" s="0" t="s">
        <x:v>476</x:v>
      </x:c>
      <x:c r="D134" s="0" t="s">
        <x:v>477</x:v>
      </x:c>
      <x:c r="E134" s="2">
        <x:v>4</x:v>
      </x:c>
      <x:c r="F134" s="0" t="s">
        <x:v>177</x:v>
      </x:c>
      <x:c r="G134" s="3">
        <x:f>SUMPRODUCT((Kalkulation!A2:A50000=B134)*Kalkulation!D2:D50000)</x:f>
      </x:c>
      <x:c r="H134" s="3">
        <x:f>G134*E134</x:f>
      </x:c>
      <x:c r="I134" s="4"/>
      <x:c r="J134" s="3">
        <x:f>H134*(1-I134)</x:f>
      </x:c>
      <x:c r="K134" s="4">
        <x:f>B2</x:f>
      </x:c>
      <x:c r="L134" s="1" t="s">
        <x:v>442</x:v>
      </x:c>
      <x:c r="M134" s="0" t="s">
        <x:v>478</x:v>
      </x:c>
    </x:row>
    <x:row r="135" spans="1:13" outlineLevel="2">
      <x:c r="A135" s="0" t="s">
        <x:v>92</x:v>
      </x:c>
      <x:c r="B135" s="1" t="s">
        <x:v>479</x:v>
      </x:c>
      <x:c r="C135" s="0" t="s">
        <x:v>480</x:v>
      </x:c>
      <x:c r="D135" s="0" t="s">
        <x:v>481</x:v>
      </x:c>
      <x:c r="E135" s="2">
        <x:v>3</x:v>
      </x:c>
      <x:c r="F135" s="0" t="s">
        <x:v>177</x:v>
      </x:c>
      <x:c r="G135" s="3">
        <x:f>SUMPRODUCT((Kalkulation!A2:A50000=B135)*Kalkulation!D2:D50000)</x:f>
      </x:c>
      <x:c r="H135" s="3">
        <x:f>G135*E135</x:f>
      </x:c>
      <x:c r="I135" s="4"/>
      <x:c r="J135" s="3">
        <x:f>H135*(1-I135)</x:f>
      </x:c>
      <x:c r="K135" s="4">
        <x:f>B2</x:f>
      </x:c>
      <x:c r="L135" s="1" t="s">
        <x:v>442</x:v>
      </x:c>
      <x:c r="M135" s="0" t="s">
        <x:v>482</x:v>
      </x:c>
    </x:row>
    <x:row r="136" spans="1:13" outlineLevel="2">
      <x:c r="A136" s="0" t="s">
        <x:v>92</x:v>
      </x:c>
      <x:c r="B136" s="1" t="s">
        <x:v>483</x:v>
      </x:c>
      <x:c r="C136" s="0" t="s">
        <x:v>484</x:v>
      </x:c>
      <x:c r="D136" s="0" t="s">
        <x:v>485</x:v>
      </x:c>
      <x:c r="E136" s="2">
        <x:v>3</x:v>
      </x:c>
      <x:c r="F136" s="0" t="s">
        <x:v>177</x:v>
      </x:c>
      <x:c r="G136" s="3">
        <x:f>SUMPRODUCT((Kalkulation!A2:A50000=B136)*Kalkulation!D2:D50000)</x:f>
      </x:c>
      <x:c r="H136" s="3">
        <x:f>G136*E136</x:f>
      </x:c>
      <x:c r="I136" s="4"/>
      <x:c r="J136" s="3">
        <x:f>H136*(1-I136)</x:f>
      </x:c>
      <x:c r="K136" s="4">
        <x:f>B2</x:f>
      </x:c>
      <x:c r="L136" s="1" t="s">
        <x:v>442</x:v>
      </x:c>
      <x:c r="M136" s="0" t="s">
        <x:v>486</x:v>
      </x:c>
    </x:row>
    <x:row r="137" spans="1:13" outlineLevel="2">
      <x:c r="A137" s="0" t="s">
        <x:v>92</x:v>
      </x:c>
      <x:c r="B137" s="1" t="s">
        <x:v>487</x:v>
      </x:c>
      <x:c r="C137" s="0" t="s">
        <x:v>488</x:v>
      </x:c>
      <x:c r="D137" s="0" t="s">
        <x:v>489</x:v>
      </x:c>
      <x:c r="E137" s="2">
        <x:v>1</x:v>
      </x:c>
      <x:c r="F137" s="0" t="s">
        <x:v>177</x:v>
      </x:c>
      <x:c r="G137" s="3">
        <x:f>SUMPRODUCT((Kalkulation!A2:A50000=B137)*Kalkulation!D2:D50000)</x:f>
      </x:c>
      <x:c r="H137" s="3">
        <x:f>G137*E137</x:f>
      </x:c>
      <x:c r="I137" s="4"/>
      <x:c r="J137" s="3">
        <x:f>H137*(1-I137)</x:f>
      </x:c>
      <x:c r="K137" s="4">
        <x:f>B2</x:f>
      </x:c>
      <x:c r="L137" s="1" t="s">
        <x:v>442</x:v>
      </x:c>
      <x:c r="M137" s="0" t="s">
        <x:v>490</x:v>
      </x:c>
    </x:row>
    <x:row r="138" spans="1:13" outlineLevel="2">
      <x:c r="A138" s="0" t="s">
        <x:v>92</x:v>
      </x:c>
      <x:c r="B138" s="1" t="s">
        <x:v>491</x:v>
      </x:c>
      <x:c r="C138" s="0" t="s">
        <x:v>492</x:v>
      </x:c>
      <x:c r="D138" s="0" t="s">
        <x:v>493</x:v>
      </x:c>
      <x:c r="E138" s="2">
        <x:v>1</x:v>
      </x:c>
      <x:c r="F138" s="0" t="s">
        <x:v>177</x:v>
      </x:c>
      <x:c r="G138" s="3">
        <x:f>SUMPRODUCT((Kalkulation!A2:A50000=B138)*Kalkulation!D2:D50000)</x:f>
      </x:c>
      <x:c r="H138" s="3">
        <x:f>G138*E138</x:f>
      </x:c>
      <x:c r="I138" s="4"/>
      <x:c r="J138" s="3">
        <x:f>H138*(1-I138)</x:f>
      </x:c>
      <x:c r="K138" s="4">
        <x:f>B2</x:f>
      </x:c>
      <x:c r="L138" s="1" t="s">
        <x:v>442</x:v>
      </x:c>
      <x:c r="M138" s="0" t="s">
        <x:v>494</x:v>
      </x:c>
    </x:row>
    <x:row r="139" spans="1:13" outlineLevel="2">
      <x:c r="A139" s="0" t="s">
        <x:v>92</x:v>
      </x:c>
      <x:c r="B139" s="1" t="s">
        <x:v>495</x:v>
      </x:c>
      <x:c r="C139" s="0" t="s">
        <x:v>496</x:v>
      </x:c>
      <x:c r="D139" s="0" t="s">
        <x:v>497</x:v>
      </x:c>
      <x:c r="E139" s="2">
        <x:v>2.5</x:v>
      </x:c>
      <x:c r="F139" s="0" t="s">
        <x:v>158</x:v>
      </x:c>
      <x:c r="G139" s="3">
        <x:f>SUMPRODUCT((Kalkulation!A2:A50000=B139)*Kalkulation!D2:D50000)</x:f>
      </x:c>
      <x:c r="H139" s="3">
        <x:f>G139*E139</x:f>
      </x:c>
      <x:c r="I139" s="4"/>
      <x:c r="J139" s="3">
        <x:f>H139*(1-I139)</x:f>
      </x:c>
      <x:c r="K139" s="4">
        <x:f>B2</x:f>
      </x:c>
      <x:c r="L139" s="1" t="s">
        <x:v>442</x:v>
      </x:c>
      <x:c r="M139" s="0" t="s">
        <x:v>498</x:v>
      </x:c>
    </x:row>
    <x:row r="140" spans="1:13" outlineLevel="2">
      <x:c r="A140" s="0" t="s">
        <x:v>92</x:v>
      </x:c>
      <x:c r="B140" s="1" t="s">
        <x:v>499</x:v>
      </x:c>
      <x:c r="C140" s="0" t="s">
        <x:v>500</x:v>
      </x:c>
      <x:c r="D140" s="0" t="s">
        <x:v>501</x:v>
      </x:c>
      <x:c r="E140" s="2">
        <x:v>7</x:v>
      </x:c>
      <x:c r="F140" s="0" t="s">
        <x:v>158</x:v>
      </x:c>
      <x:c r="G140" s="3">
        <x:f>SUMPRODUCT((Kalkulation!A2:A50000=B140)*Kalkulation!D2:D50000)</x:f>
      </x:c>
      <x:c r="H140" s="3">
        <x:f>G140*E140</x:f>
      </x:c>
      <x:c r="I140" s="4"/>
      <x:c r="J140" s="3">
        <x:f>H140*(1-I140)</x:f>
      </x:c>
      <x:c r="K140" s="4">
        <x:f>B2</x:f>
      </x:c>
      <x:c r="L140" s="1" t="s">
        <x:v>442</x:v>
      </x:c>
      <x:c r="M140" s="0" t="s">
        <x:v>502</x:v>
      </x:c>
    </x:row>
    <x:row r="141" spans="1:13" outlineLevel="2">
      <x:c r="A141" s="0" t="s">
        <x:v>92</x:v>
      </x:c>
      <x:c r="B141" s="1" t="s">
        <x:v>503</x:v>
      </x:c>
      <x:c r="C141" s="0" t="s">
        <x:v>504</x:v>
      </x:c>
      <x:c r="D141" s="0" t="s">
        <x:v>505</x:v>
      </x:c>
      <x:c r="E141" s="2">
        <x:v>40</x:v>
      </x:c>
      <x:c r="F141" s="0" t="s">
        <x:v>132</x:v>
      </x:c>
      <x:c r="G141" s="3">
        <x:f>SUMPRODUCT((Kalkulation!A2:A50000=B141)*Kalkulation!D2:D50000)</x:f>
      </x:c>
      <x:c r="H141" s="3">
        <x:f>G141*E141</x:f>
      </x:c>
      <x:c r="I141" s="4"/>
      <x:c r="J141" s="3">
        <x:f>H141*(1-I141)</x:f>
      </x:c>
      <x:c r="K141" s="4">
        <x:f>B2</x:f>
      </x:c>
      <x:c r="L141" s="1" t="s">
        <x:v>442</x:v>
      </x:c>
      <x:c r="M141" s="0" t="s">
        <x:v>506</x:v>
      </x:c>
    </x:row>
    <x:row r="142" spans="1:13" outlineLevel="2">
      <x:c r="A142" s="0" t="s">
        <x:v>92</x:v>
      </x:c>
      <x:c r="B142" s="1" t="s">
        <x:v>507</x:v>
      </x:c>
      <x:c r="C142" s="0" t="s">
        <x:v>508</x:v>
      </x:c>
      <x:c r="D142" s="0" t="s">
        <x:v>509</x:v>
      </x:c>
      <x:c r="E142" s="2">
        <x:v>20</x:v>
      </x:c>
      <x:c r="F142" s="0" t="s">
        <x:v>132</x:v>
      </x:c>
      <x:c r="G142" s="3">
        <x:f>SUMPRODUCT((Kalkulation!A2:A50000=B142)*Kalkulation!D2:D50000)</x:f>
      </x:c>
      <x:c r="H142" s="3">
        <x:f>G142*E142</x:f>
      </x:c>
      <x:c r="I142" s="4"/>
      <x:c r="J142" s="3">
        <x:f>H142*(1-I142)</x:f>
      </x:c>
      <x:c r="K142" s="4">
        <x:f>B2</x:f>
      </x:c>
      <x:c r="L142" s="1" t="s">
        <x:v>442</x:v>
      </x:c>
      <x:c r="M142" s="0" t="s">
        <x:v>510</x:v>
      </x:c>
    </x:row>
    <x:row r="143" spans="1:13" outlineLevel="2">
      <x:c r="A143" s="0" t="s">
        <x:v>92</x:v>
      </x:c>
      <x:c r="B143" s="1" t="s">
        <x:v>511</x:v>
      </x:c>
      <x:c r="C143" s="0" t="s">
        <x:v>512</x:v>
      </x:c>
      <x:c r="D143" s="0" t="s">
        <x:v>513</x:v>
      </x:c>
      <x:c r="E143" s="2">
        <x:v>380</x:v>
      </x:c>
      <x:c r="F143" s="0" t="s">
        <x:v>177</x:v>
      </x:c>
      <x:c r="G143" s="3">
        <x:f>SUMPRODUCT((Kalkulation!A2:A50000=B143)*Kalkulation!D2:D50000)</x:f>
      </x:c>
      <x:c r="H143" s="3">
        <x:f>G143*E143</x:f>
      </x:c>
      <x:c r="I143" s="4"/>
      <x:c r="J143" s="3">
        <x:f>H143*(1-I143)</x:f>
      </x:c>
      <x:c r="K143" s="4">
        <x:f>B2</x:f>
      </x:c>
      <x:c r="L143" s="1" t="s">
        <x:v>442</x:v>
      </x:c>
      <x:c r="M143" s="0" t="s">
        <x:v>514</x:v>
      </x:c>
    </x:row>
    <x:row r="144" spans="1:13" outlineLevel="2">
      <x:c r="A144" s="0" t="s">
        <x:v>14</x:v>
      </x:c>
      <x:c r="B144" s="1"/>
      <x:c r="C144" s="0" t="s">
        <x:v>515</x:v>
      </x:c>
      <x:c r="D144" s="0" t="s">
        <x:v>516</x:v>
      </x:c>
      <x:c r="E144" s="2"/>
      <x:c r="G144" s="3"/>
      <x:c r="H144" s="3"/>
      <x:c r="I144" s="4"/>
      <x:c r="J144" s="3"/>
      <x:c r="K144" s="4">
        <x:f>""</x:f>
      </x:c>
      <x:c r="L144" s="1"/>
      <x:c r="M144" s="0" t="s">
        <x:v>517</x:v>
      </x:c>
    </x:row>
    <x:row r="145" spans="1:13" outlineLevel="2">
      <x:c r="A145" s="0" t="s">
        <x:v>14</x:v>
      </x:c>
      <x:c r="B145" s="1"/>
      <x:c r="C145" s="0" t="s">
        <x:v>518</x:v>
      </x:c>
      <x:c r="D145" s="0" t="s">
        <x:v>519</x:v>
      </x:c>
      <x:c r="E145" s="2"/>
      <x:c r="G145" s="3"/>
      <x:c r="H145" s="3"/>
      <x:c r="I145" s="4"/>
      <x:c r="J145" s="3"/>
      <x:c r="K145" s="4">
        <x:f>""</x:f>
      </x:c>
      <x:c r="L145" s="1"/>
      <x:c r="M145" s="0" t="s">
        <x:v>520</x:v>
      </x:c>
    </x:row>
    <x:row r="146" spans="1:13" outlineLevel="2">
      <x:c r="A146" s="0" t="s">
        <x:v>92</x:v>
      </x:c>
      <x:c r="B146" s="1" t="s">
        <x:v>521</x:v>
      </x:c>
      <x:c r="C146" s="0" t="s">
        <x:v>522</x:v>
      </x:c>
      <x:c r="D146" s="0" t="s">
        <x:v>523</x:v>
      </x:c>
      <x:c r="E146" s="2">
        <x:v>570</x:v>
      </x:c>
      <x:c r="F146" s="0" t="s">
        <x:v>158</x:v>
      </x:c>
      <x:c r="G146" s="3">
        <x:f>SUMPRODUCT((Kalkulation!A2:A50000=B146)*Kalkulation!D2:D50000)</x:f>
      </x:c>
      <x:c r="H146" s="3">
        <x:f>G146*E146</x:f>
      </x:c>
      <x:c r="I146" s="4"/>
      <x:c r="J146" s="3">
        <x:f>H146*(1-I146)</x:f>
      </x:c>
      <x:c r="K146" s="4">
        <x:f>B2</x:f>
      </x:c>
      <x:c r="L146" s="1" t="s">
        <x:v>442</x:v>
      </x:c>
      <x:c r="M146" s="0" t="s">
        <x:v>524</x:v>
      </x:c>
    </x:row>
    <x:row r="147" spans="1:13" outlineLevel="2">
      <x:c r="A147" s="0" t="s">
        <x:v>92</x:v>
      </x:c>
      <x:c r="B147" s="1" t="s">
        <x:v>525</x:v>
      </x:c>
      <x:c r="C147" s="0" t="s">
        <x:v>526</x:v>
      </x:c>
      <x:c r="D147" s="0" t="s">
        <x:v>527</x:v>
      </x:c>
      <x:c r="E147" s="2">
        <x:v>10</x:v>
      </x:c>
      <x:c r="F147" s="0" t="s">
        <x:v>158</x:v>
      </x:c>
      <x:c r="G147" s="3">
        <x:f>SUMPRODUCT((Kalkulation!A2:A50000=B147)*Kalkulation!D2:D50000)</x:f>
      </x:c>
      <x:c r="H147" s="3">
        <x:f>G147*E147</x:f>
      </x:c>
      <x:c r="I147" s="4"/>
      <x:c r="J147" s="3">
        <x:f>H147*(1-I147)</x:f>
      </x:c>
      <x:c r="K147" s="4">
        <x:f>B2</x:f>
      </x:c>
      <x:c r="L147" s="1" t="s">
        <x:v>442</x:v>
      </x:c>
      <x:c r="M147" s="0" t="s">
        <x:v>528</x:v>
      </x:c>
    </x:row>
    <x:row r="148" spans="1:13" outlineLevel="2">
      <x:c r="A148" s="0" t="s">
        <x:v>92</x:v>
      </x:c>
      <x:c r="B148" s="1" t="s">
        <x:v>529</x:v>
      </x:c>
      <x:c r="C148" s="0" t="s">
        <x:v>530</x:v>
      </x:c>
      <x:c r="D148" s="0" t="s">
        <x:v>531</x:v>
      </x:c>
      <x:c r="E148" s="2">
        <x:v>200</x:v>
      </x:c>
      <x:c r="F148" s="0" t="s">
        <x:v>177</x:v>
      </x:c>
      <x:c r="G148" s="3">
        <x:f>SUMPRODUCT((Kalkulation!A2:A50000=B148)*Kalkulation!D2:D50000)</x:f>
      </x:c>
      <x:c r="H148" s="3">
        <x:f>G148*E148</x:f>
      </x:c>
      <x:c r="I148" s="4"/>
      <x:c r="J148" s="3">
        <x:f>H148*(1-I148)</x:f>
      </x:c>
      <x:c r="K148" s="4">
        <x:f>B2</x:f>
      </x:c>
      <x:c r="L148" s="1" t="s">
        <x:v>442</x:v>
      </x:c>
      <x:c r="M148" s="0" t="s">
        <x:v>532</x:v>
      </x:c>
    </x:row>
    <x:row r="149" spans="1:13" outlineLevel="2">
      <x:c r="A149" s="0" t="s">
        <x:v>92</x:v>
      </x:c>
      <x:c r="B149" s="1" t="s">
        <x:v>533</x:v>
      </x:c>
      <x:c r="C149" s="0" t="s">
        <x:v>534</x:v>
      </x:c>
      <x:c r="D149" s="0" t="s">
        <x:v>535</x:v>
      </x:c>
      <x:c r="E149" s="2">
        <x:v>12</x:v>
      </x:c>
      <x:c r="F149" s="0" t="s">
        <x:v>132</x:v>
      </x:c>
      <x:c r="G149" s="3">
        <x:f>SUMPRODUCT((Kalkulation!A2:A50000=B149)*Kalkulation!D2:D50000)</x:f>
      </x:c>
      <x:c r="H149" s="3">
        <x:f>G149*E149</x:f>
      </x:c>
      <x:c r="I149" s="4"/>
      <x:c r="J149" s="3">
        <x:f>H149*(1-I149)</x:f>
      </x:c>
      <x:c r="K149" s="4">
        <x:f>B2</x:f>
      </x:c>
      <x:c r="L149" s="1" t="s">
        <x:v>442</x:v>
      </x:c>
      <x:c r="M149" s="0" t="s">
        <x:v>536</x:v>
      </x:c>
    </x:row>
    <x:row r="150" spans="1:13" outlineLevel="2">
      <x:c r="A150" s="0" t="s">
        <x:v>92</x:v>
      </x:c>
      <x:c r="B150" s="1" t="s">
        <x:v>537</x:v>
      </x:c>
      <x:c r="C150" s="0" t="s">
        <x:v>538</x:v>
      </x:c>
      <x:c r="D150" s="0" t="s">
        <x:v>539</x:v>
      </x:c>
      <x:c r="E150" s="2">
        <x:v>2</x:v>
      </x:c>
      <x:c r="F150" s="0" t="s">
        <x:v>132</x:v>
      </x:c>
      <x:c r="G150" s="3">
        <x:f>SUMPRODUCT((Kalkulation!A2:A50000=B150)*Kalkulation!D2:D50000)</x:f>
      </x:c>
      <x:c r="H150" s="3">
        <x:f>G150*E150</x:f>
      </x:c>
      <x:c r="I150" s="4"/>
      <x:c r="J150" s="3">
        <x:f>H150*(1-I150)</x:f>
      </x:c>
      <x:c r="K150" s="4">
        <x:f>B2</x:f>
      </x:c>
      <x:c r="L150" s="1" t="s">
        <x:v>442</x:v>
      </x:c>
      <x:c r="M150" s="0" t="s">
        <x:v>540</x:v>
      </x:c>
    </x:row>
    <x:row r="151" spans="1:13" outlineLevel="2">
      <x:c r="A151" s="0" t="s">
        <x:v>92</x:v>
      </x:c>
      <x:c r="B151" s="1" t="s">
        <x:v>541</x:v>
      </x:c>
      <x:c r="C151" s="0" t="s">
        <x:v>542</x:v>
      </x:c>
      <x:c r="D151" s="0" t="s">
        <x:v>543</x:v>
      </x:c>
      <x:c r="E151" s="2">
        <x:v>3</x:v>
      </x:c>
      <x:c r="F151" s="0" t="s">
        <x:v>132</x:v>
      </x:c>
      <x:c r="G151" s="3">
        <x:f>SUMPRODUCT((Kalkulation!A2:A50000=B151)*Kalkulation!D2:D50000)</x:f>
      </x:c>
      <x:c r="H151" s="3">
        <x:f>G151*E151</x:f>
      </x:c>
      <x:c r="I151" s="4"/>
      <x:c r="J151" s="3">
        <x:f>H151*(1-I151)</x:f>
      </x:c>
      <x:c r="K151" s="4">
        <x:f>B2</x:f>
      </x:c>
      <x:c r="L151" s="1" t="s">
        <x:v>442</x:v>
      </x:c>
      <x:c r="M151" s="0" t="s">
        <x:v>544</x:v>
      </x:c>
    </x:row>
    <x:row r="152" spans="1:13" outlineLevel="2">
      <x:c r="A152" s="0" t="s">
        <x:v>92</x:v>
      </x:c>
      <x:c r="B152" s="1" t="s">
        <x:v>545</x:v>
      </x:c>
      <x:c r="C152" s="0" t="s">
        <x:v>546</x:v>
      </x:c>
      <x:c r="D152" s="0" t="s">
        <x:v>547</x:v>
      </x:c>
      <x:c r="E152" s="2">
        <x:v>1</x:v>
      </x:c>
      <x:c r="F152" s="0" t="s">
        <x:v>132</x:v>
      </x:c>
      <x:c r="G152" s="3">
        <x:f>SUMPRODUCT((Kalkulation!A2:A50000=B152)*Kalkulation!D2:D50000)</x:f>
      </x:c>
      <x:c r="H152" s="3">
        <x:f>G152*E152</x:f>
      </x:c>
      <x:c r="I152" s="4"/>
      <x:c r="J152" s="3">
        <x:f>H152*(1-I152)</x:f>
      </x:c>
      <x:c r="K152" s="4">
        <x:f>B2</x:f>
      </x:c>
      <x:c r="L152" s="1" t="s">
        <x:v>442</x:v>
      </x:c>
      <x:c r="M152" s="0" t="s">
        <x:v>548</x:v>
      </x:c>
    </x:row>
    <x:row r="153" spans="1:13" outlineLevel="2">
      <x:c r="A153" s="0" t="s">
        <x:v>92</x:v>
      </x:c>
      <x:c r="B153" s="1" t="s">
        <x:v>549</x:v>
      </x:c>
      <x:c r="C153" s="0" t="s">
        <x:v>550</x:v>
      </x:c>
      <x:c r="D153" s="0" t="s">
        <x:v>551</x:v>
      </x:c>
      <x:c r="E153" s="2">
        <x:v>4</x:v>
      </x:c>
      <x:c r="F153" s="0" t="s">
        <x:v>132</x:v>
      </x:c>
      <x:c r="G153" s="3">
        <x:f>SUMPRODUCT((Kalkulation!A2:A50000=B153)*Kalkulation!D2:D50000)</x:f>
      </x:c>
      <x:c r="H153" s="3">
        <x:f>G153*E153</x:f>
      </x:c>
      <x:c r="I153" s="4"/>
      <x:c r="J153" s="3">
        <x:f>H153*(1-I153)</x:f>
      </x:c>
      <x:c r="K153" s="4">
        <x:f>B2</x:f>
      </x:c>
      <x:c r="L153" s="1" t="s">
        <x:v>442</x:v>
      </x:c>
      <x:c r="M153" s="0" t="s">
        <x:v>552</x:v>
      </x:c>
    </x:row>
    <x:row r="154" spans="1:13" outlineLevel="2">
      <x:c r="A154" s="0" t="s">
        <x:v>92</x:v>
      </x:c>
      <x:c r="B154" s="1" t="s">
        <x:v>553</x:v>
      </x:c>
      <x:c r="C154" s="0" t="s">
        <x:v>554</x:v>
      </x:c>
      <x:c r="D154" s="0" t="s">
        <x:v>555</x:v>
      </x:c>
      <x:c r="E154" s="2">
        <x:v>1</x:v>
      </x:c>
      <x:c r="F154" s="0" t="s">
        <x:v>132</x:v>
      </x:c>
      <x:c r="G154" s="3">
        <x:f>SUMPRODUCT((Kalkulation!A2:A50000=B154)*Kalkulation!D2:D50000)</x:f>
      </x:c>
      <x:c r="H154" s="3">
        <x:f>G154*E154</x:f>
      </x:c>
      <x:c r="I154" s="4"/>
      <x:c r="J154" s="3">
        <x:f>H154*(1-I154)</x:f>
      </x:c>
      <x:c r="K154" s="4">
        <x:f>B2</x:f>
      </x:c>
      <x:c r="L154" s="1" t="s">
        <x:v>442</x:v>
      </x:c>
      <x:c r="M154" s="0" t="s">
        <x:v>556</x:v>
      </x:c>
    </x:row>
    <x:row r="155" spans="1:13" outlineLevel="2">
      <x:c r="A155" s="0" t="s">
        <x:v>92</x:v>
      </x:c>
      <x:c r="B155" s="1" t="s">
        <x:v>557</x:v>
      </x:c>
      <x:c r="C155" s="0" t="s">
        <x:v>558</x:v>
      </x:c>
      <x:c r="D155" s="0" t="s">
        <x:v>559</x:v>
      </x:c>
      <x:c r="E155" s="2">
        <x:v>5</x:v>
      </x:c>
      <x:c r="F155" s="0" t="s">
        <x:v>132</x:v>
      </x:c>
      <x:c r="G155" s="3">
        <x:f>SUMPRODUCT((Kalkulation!A2:A50000=B155)*Kalkulation!D2:D50000)</x:f>
      </x:c>
      <x:c r="H155" s="3">
        <x:f>G155*E155</x:f>
      </x:c>
      <x:c r="I155" s="4"/>
      <x:c r="J155" s="3">
        <x:f>H155*(1-I155)</x:f>
      </x:c>
      <x:c r="K155" s="4">
        <x:f>B2</x:f>
      </x:c>
      <x:c r="L155" s="1" t="s">
        <x:v>442</x:v>
      </x:c>
      <x:c r="M155" s="0" t="s">
        <x:v>560</x:v>
      </x:c>
    </x:row>
    <x:row r="156" spans="1:13" outlineLevel="2">
      <x:c r="A156" s="0" t="s">
        <x:v>92</x:v>
      </x:c>
      <x:c r="B156" s="1" t="s">
        <x:v>561</x:v>
      </x:c>
      <x:c r="C156" s="0" t="s">
        <x:v>562</x:v>
      </x:c>
      <x:c r="D156" s="0" t="s">
        <x:v>563</x:v>
      </x:c>
      <x:c r="E156" s="2">
        <x:v>780</x:v>
      </x:c>
      <x:c r="F156" s="0" t="s">
        <x:v>158</x:v>
      </x:c>
      <x:c r="G156" s="3">
        <x:f>SUMPRODUCT((Kalkulation!A2:A50000=B156)*Kalkulation!D2:D50000)</x:f>
      </x:c>
      <x:c r="H156" s="3">
        <x:f>G156*E156</x:f>
      </x:c>
      <x:c r="I156" s="4"/>
      <x:c r="J156" s="3">
        <x:f>H156*(1-I156)</x:f>
      </x:c>
      <x:c r="K156" s="4">
        <x:f>B2</x:f>
      </x:c>
      <x:c r="L156" s="1" t="s">
        <x:v>442</x:v>
      </x:c>
      <x:c r="M156" s="0" t="s">
        <x:v>564</x:v>
      </x:c>
    </x:row>
    <x:row r="157" spans="1:13" outlineLevel="2">
      <x:c r="A157" s="0" t="s">
        <x:v>92</x:v>
      </x:c>
      <x:c r="B157" s="1" t="s">
        <x:v>565</x:v>
      </x:c>
      <x:c r="C157" s="0" t="s">
        <x:v>566</x:v>
      </x:c>
      <x:c r="D157" s="0" t="s">
        <x:v>567</x:v>
      </x:c>
      <x:c r="E157" s="2">
        <x:v>840</x:v>
      </x:c>
      <x:c r="F157" s="0" t="s">
        <x:v>158</x:v>
      </x:c>
      <x:c r="G157" s="3">
        <x:f>SUMPRODUCT((Kalkulation!A2:A50000=B157)*Kalkulation!D2:D50000)</x:f>
      </x:c>
      <x:c r="H157" s="3">
        <x:f>G157*E157</x:f>
      </x:c>
      <x:c r="I157" s="4"/>
      <x:c r="J157" s="3">
        <x:f>H157*(1-I157)</x:f>
      </x:c>
      <x:c r="K157" s="4">
        <x:f>B2</x:f>
      </x:c>
      <x:c r="L157" s="1" t="s">
        <x:v>442</x:v>
      </x:c>
      <x:c r="M157" s="0" t="s">
        <x:v>568</x:v>
      </x:c>
    </x:row>
    <x:row r="158" spans="1:13" outlineLevel="2">
      <x:c r="A158" s="0" t="s">
        <x:v>92</x:v>
      </x:c>
      <x:c r="B158" s="1" t="s">
        <x:v>569</x:v>
      </x:c>
      <x:c r="C158" s="0" t="s">
        <x:v>570</x:v>
      </x:c>
      <x:c r="D158" s="0" t="s">
        <x:v>571</x:v>
      </x:c>
      <x:c r="E158" s="2">
        <x:v>840</x:v>
      </x:c>
      <x:c r="F158" s="0" t="s">
        <x:v>158</x:v>
      </x:c>
      <x:c r="G158" s="3">
        <x:f>SUMPRODUCT((Kalkulation!A2:A50000=B158)*Kalkulation!D2:D50000)</x:f>
      </x:c>
      <x:c r="H158" s="3">
        <x:f>G158*E158</x:f>
      </x:c>
      <x:c r="I158" s="4"/>
      <x:c r="J158" s="3">
        <x:f>H158*(1-I158)</x:f>
      </x:c>
      <x:c r="K158" s="4">
        <x:f>B2</x:f>
      </x:c>
      <x:c r="L158" s="1" t="s">
        <x:v>442</x:v>
      </x:c>
      <x:c r="M158" s="0" t="s">
        <x:v>572</x:v>
      </x:c>
    </x:row>
    <x:row r="159" spans="1:13" outlineLevel="2">
      <x:c r="A159" s="0" t="s">
        <x:v>92</x:v>
      </x:c>
      <x:c r="B159" s="1" t="s">
        <x:v>573</x:v>
      </x:c>
      <x:c r="C159" s="0" t="s">
        <x:v>574</x:v>
      </x:c>
      <x:c r="D159" s="0" t="s">
        <x:v>575</x:v>
      </x:c>
      <x:c r="E159" s="2">
        <x:v>2.5</x:v>
      </x:c>
      <x:c r="F159" s="0" t="s">
        <x:v>158</x:v>
      </x:c>
      <x:c r="G159" s="3">
        <x:f>SUMPRODUCT((Kalkulation!A2:A50000=B159)*Kalkulation!D2:D50000)</x:f>
      </x:c>
      <x:c r="H159" s="3">
        <x:f>G159*E159</x:f>
      </x:c>
      <x:c r="I159" s="4"/>
      <x:c r="J159" s="3">
        <x:f>H159*(1-I159)</x:f>
      </x:c>
      <x:c r="K159" s="4">
        <x:f>B2</x:f>
      </x:c>
      <x:c r="L159" s="1" t="s">
        <x:v>442</x:v>
      </x:c>
      <x:c r="M159" s="0" t="s">
        <x:v>576</x:v>
      </x:c>
    </x:row>
    <x:row r="160" spans="1:13" outlineLevel="2">
      <x:c r="A160" s="0" t="s">
        <x:v>92</x:v>
      </x:c>
      <x:c r="B160" s="1" t="s">
        <x:v>577</x:v>
      </x:c>
      <x:c r="C160" s="0" t="s">
        <x:v>578</x:v>
      </x:c>
      <x:c r="D160" s="0" t="s">
        <x:v>579</x:v>
      </x:c>
      <x:c r="E160" s="2">
        <x:v>14</x:v>
      </x:c>
      <x:c r="F160" s="0" t="s">
        <x:v>177</x:v>
      </x:c>
      <x:c r="G160" s="3">
        <x:f>SUMPRODUCT((Kalkulation!A2:A50000=B160)*Kalkulation!D2:D50000)</x:f>
      </x:c>
      <x:c r="H160" s="3">
        <x:f>G160*E160</x:f>
      </x:c>
      <x:c r="I160" s="4"/>
      <x:c r="J160" s="3">
        <x:f>H160*(1-I160)</x:f>
      </x:c>
      <x:c r="K160" s="4">
        <x:f>B2</x:f>
      </x:c>
      <x:c r="L160" s="1" t="s">
        <x:v>442</x:v>
      </x:c>
      <x:c r="M160" s="0" t="s">
        <x:v>580</x:v>
      </x:c>
    </x:row>
    <x:row r="161" spans="1:13" outlineLevel="2">
      <x:c r="A161" s="0" t="s">
        <x:v>92</x:v>
      </x:c>
      <x:c r="B161" s="1" t="s">
        <x:v>581</x:v>
      </x:c>
      <x:c r="C161" s="0" t="s">
        <x:v>582</x:v>
      </x:c>
      <x:c r="D161" s="0" t="s">
        <x:v>583</x:v>
      </x:c>
      <x:c r="E161" s="2">
        <x:v>14</x:v>
      </x:c>
      <x:c r="F161" s="0" t="s">
        <x:v>177</x:v>
      </x:c>
      <x:c r="G161" s="3">
        <x:f>SUMPRODUCT((Kalkulation!A2:A50000=B161)*Kalkulation!D2:D50000)</x:f>
      </x:c>
      <x:c r="H161" s="3">
        <x:f>G161*E161</x:f>
      </x:c>
      <x:c r="I161" s="4"/>
      <x:c r="J161" s="3">
        <x:f>H161*(1-I161)</x:f>
      </x:c>
      <x:c r="K161" s="4">
        <x:f>B2</x:f>
      </x:c>
      <x:c r="L161" s="1" t="s">
        <x:v>442</x:v>
      </x:c>
      <x:c r="M161" s="0" t="s">
        <x:v>584</x:v>
      </x:c>
    </x:row>
    <x:row r="162" spans="1:13" outlineLevel="2">
      <x:c r="A162" s="0" t="s">
        <x:v>92</x:v>
      </x:c>
      <x:c r="B162" s="1" t="s">
        <x:v>585</x:v>
      </x:c>
      <x:c r="C162" s="0" t="s">
        <x:v>586</x:v>
      </x:c>
      <x:c r="D162" s="0" t="s">
        <x:v>587</x:v>
      </x:c>
      <x:c r="E162" s="2">
        <x:v>805</x:v>
      </x:c>
      <x:c r="F162" s="0" t="s">
        <x:v>158</x:v>
      </x:c>
      <x:c r="G162" s="3">
        <x:f>SUMPRODUCT((Kalkulation!A2:A50000=B162)*Kalkulation!D2:D50000)</x:f>
      </x:c>
      <x:c r="H162" s="3">
        <x:f>G162*E162</x:f>
      </x:c>
      <x:c r="I162" s="4"/>
      <x:c r="J162" s="3">
        <x:f>H162*(1-I162)</x:f>
      </x:c>
      <x:c r="K162" s="4">
        <x:f>B2</x:f>
      </x:c>
      <x:c r="L162" s="1" t="s">
        <x:v>442</x:v>
      </x:c>
      <x:c r="M162" s="0" t="s">
        <x:v>588</x:v>
      </x:c>
    </x:row>
    <x:row r="163" spans="1:13" outlineLevel="2">
      <x:c r="A163" s="0" t="s">
        <x:v>92</x:v>
      </x:c>
      <x:c r="B163" s="1" t="s">
        <x:v>589</x:v>
      </x:c>
      <x:c r="C163" s="0" t="s">
        <x:v>590</x:v>
      </x:c>
      <x:c r="D163" s="0" t="s">
        <x:v>591</x:v>
      </x:c>
      <x:c r="E163" s="2">
        <x:v>17</x:v>
      </x:c>
      <x:c r="F163" s="0" t="s">
        <x:v>158</x:v>
      </x:c>
      <x:c r="G163" s="3">
        <x:f>SUMPRODUCT((Kalkulation!A2:A50000=B163)*Kalkulation!D2:D50000)</x:f>
      </x:c>
      <x:c r="H163" s="3">
        <x:f>G163*E163</x:f>
      </x:c>
      <x:c r="I163" s="4"/>
      <x:c r="J163" s="3">
        <x:f>H163*(1-I163)</x:f>
      </x:c>
      <x:c r="K163" s="4">
        <x:f>B2</x:f>
      </x:c>
      <x:c r="L163" s="1" t="s">
        <x:v>442</x:v>
      </x:c>
      <x:c r="M163" s="0" t="s">
        <x:v>592</x:v>
      </x:c>
    </x:row>
    <x:row r="164" spans="1:13" outlineLevel="2">
      <x:c r="A164" s="0" t="s">
        <x:v>92</x:v>
      </x:c>
      <x:c r="B164" s="1" t="s">
        <x:v>593</x:v>
      </x:c>
      <x:c r="C164" s="0" t="s">
        <x:v>594</x:v>
      </x:c>
      <x:c r="D164" s="0" t="s">
        <x:v>595</x:v>
      </x:c>
      <x:c r="E164" s="2">
        <x:v>70</x:v>
      </x:c>
      <x:c r="F164" s="0" t="s">
        <x:v>177</x:v>
      </x:c>
      <x:c r="G164" s="3">
        <x:f>SUMPRODUCT((Kalkulation!A2:A50000=B164)*Kalkulation!D2:D50000)</x:f>
      </x:c>
      <x:c r="H164" s="3">
        <x:f>G164*E164</x:f>
      </x:c>
      <x:c r="I164" s="4"/>
      <x:c r="J164" s="3">
        <x:f>H164*(1-I164)</x:f>
      </x:c>
      <x:c r="K164" s="4">
        <x:f>B2</x:f>
      </x:c>
      <x:c r="L164" s="1" t="s">
        <x:v>442</x:v>
      </x:c>
      <x:c r="M164" s="0" t="s">
        <x:v>596</x:v>
      </x:c>
    </x:row>
    <x:row r="165" spans="1:13" outlineLevel="2">
      <x:c r="A165" s="0" t="s">
        <x:v>92</x:v>
      </x:c>
      <x:c r="B165" s="1" t="s">
        <x:v>597</x:v>
      </x:c>
      <x:c r="C165" s="0" t="s">
        <x:v>598</x:v>
      </x:c>
      <x:c r="D165" s="0" t="s">
        <x:v>599</x:v>
      </x:c>
      <x:c r="E165" s="2">
        <x:v>340</x:v>
      </x:c>
      <x:c r="F165" s="0" t="s">
        <x:v>177</x:v>
      </x:c>
      <x:c r="G165" s="3">
        <x:f>SUMPRODUCT((Kalkulation!A2:A50000=B165)*Kalkulation!D2:D50000)</x:f>
      </x:c>
      <x:c r="H165" s="3">
        <x:f>G165*E165</x:f>
      </x:c>
      <x:c r="I165" s="4"/>
      <x:c r="J165" s="3">
        <x:f>H165*(1-I165)</x:f>
      </x:c>
      <x:c r="K165" s="4">
        <x:f>B2</x:f>
      </x:c>
      <x:c r="L165" s="1" t="s">
        <x:v>442</x:v>
      </x:c>
      <x:c r="M165" s="0" t="s">
        <x:v>600</x:v>
      </x:c>
    </x:row>
    <x:row r="166" spans="1:13" outlineLevel="2">
      <x:c r="A166" s="0" t="s">
        <x:v>92</x:v>
      </x:c>
      <x:c r="B166" s="1" t="s">
        <x:v>601</x:v>
      </x:c>
      <x:c r="C166" s="0" t="s">
        <x:v>602</x:v>
      </x:c>
      <x:c r="D166" s="0" t="s">
        <x:v>603</x:v>
      </x:c>
      <x:c r="E166" s="2">
        <x:v>340</x:v>
      </x:c>
      <x:c r="F166" s="0" t="s">
        <x:v>177</x:v>
      </x:c>
      <x:c r="G166" s="3">
        <x:f>SUMPRODUCT((Kalkulation!A2:A50000=B166)*Kalkulation!D2:D50000)</x:f>
      </x:c>
      <x:c r="H166" s="3">
        <x:f>G166*E166</x:f>
      </x:c>
      <x:c r="I166" s="4"/>
      <x:c r="J166" s="3">
        <x:f>H166*(1-I166)</x:f>
      </x:c>
      <x:c r="K166" s="4">
        <x:f>B2</x:f>
      </x:c>
      <x:c r="L166" s="1" t="s">
        <x:v>442</x:v>
      </x:c>
      <x:c r="M166" s="0" t="s">
        <x:v>604</x:v>
      </x:c>
    </x:row>
    <x:row r="167" spans="1:13" outlineLevel="2">
      <x:c r="A167" s="0" t="s">
        <x:v>14</x:v>
      </x:c>
      <x:c r="B167" s="1"/>
      <x:c r="C167" s="0" t="s">
        <x:v>605</x:v>
      </x:c>
      <x:c r="D167" s="0" t="s">
        <x:v>605</x:v>
      </x:c>
      <x:c r="E167" s="2"/>
      <x:c r="G167" s="3"/>
      <x:c r="H167" s="3"/>
      <x:c r="I167" s="4"/>
      <x:c r="J167" s="3"/>
      <x:c r="K167" s="4">
        <x:f>""</x:f>
      </x:c>
      <x:c r="L167" s="1"/>
      <x:c r="M167" s="0" t="s">
        <x:v>606</x:v>
      </x:c>
    </x:row>
    <x:row r="168" spans="1:13" outlineLevel="2">
      <x:c r="A168" s="0" t="s">
        <x:v>92</x:v>
      </x:c>
      <x:c r="B168" s="1" t="s">
        <x:v>607</x:v>
      </x:c>
      <x:c r="C168" s="0" t="s">
        <x:v>608</x:v>
      </x:c>
      <x:c r="D168" s="0" t="s">
        <x:v>609</x:v>
      </x:c>
      <x:c r="E168" s="2">
        <x:v>20</x:v>
      </x:c>
      <x:c r="F168" s="0" t="s">
        <x:v>177</x:v>
      </x:c>
      <x:c r="G168" s="3">
        <x:f>SUMPRODUCT((Kalkulation!A2:A50000=B168)*Kalkulation!D2:D50000)</x:f>
      </x:c>
      <x:c r="H168" s="3">
        <x:f>G168*E168</x:f>
      </x:c>
      <x:c r="I168" s="4"/>
      <x:c r="J168" s="3">
        <x:f>H168*(1-I168)</x:f>
      </x:c>
      <x:c r="K168" s="4">
        <x:f>B2</x:f>
      </x:c>
      <x:c r="L168" s="1" t="s">
        <x:v>442</x:v>
      </x:c>
      <x:c r="M168" s="0" t="s">
        <x:v>610</x:v>
      </x:c>
    </x:row>
    <x:row r="169" spans="1:13" outlineLevel="2">
      <x:c r="A169" s="0" t="s">
        <x:v>92</x:v>
      </x:c>
      <x:c r="B169" s="1" t="s">
        <x:v>611</x:v>
      </x:c>
      <x:c r="C169" s="0" t="s">
        <x:v>612</x:v>
      </x:c>
      <x:c r="D169" s="0" t="s">
        <x:v>613</x:v>
      </x:c>
      <x:c r="E169" s="2">
        <x:v>20</x:v>
      </x:c>
      <x:c r="F169" s="0" t="s">
        <x:v>177</x:v>
      </x:c>
      <x:c r="G169" s="3">
        <x:f>SUMPRODUCT((Kalkulation!A2:A50000=B169)*Kalkulation!D2:D50000)</x:f>
      </x:c>
      <x:c r="H169" s="3">
        <x:f>G169*E169</x:f>
      </x:c>
      <x:c r="I169" s="4"/>
      <x:c r="J169" s="3">
        <x:f>H169*(1-I169)</x:f>
      </x:c>
      <x:c r="K169" s="4">
        <x:f>B2</x:f>
      </x:c>
      <x:c r="L169" s="1" t="s">
        <x:v>442</x:v>
      </x:c>
      <x:c r="M169" s="0" t="s">
        <x:v>614</x:v>
      </x:c>
    </x:row>
    <x:row r="170" spans="1:13" outlineLevel="2">
      <x:c r="A170" s="0" t="s">
        <x:v>92</x:v>
      </x:c>
      <x:c r="B170" s="1" t="s">
        <x:v>615</x:v>
      </x:c>
      <x:c r="C170" s="0" t="s">
        <x:v>616</x:v>
      </x:c>
      <x:c r="D170" s="0" t="s">
        <x:v>617</x:v>
      </x:c>
      <x:c r="E170" s="2">
        <x:v>30</x:v>
      </x:c>
      <x:c r="F170" s="0" t="s">
        <x:v>177</x:v>
      </x:c>
      <x:c r="G170" s="3">
        <x:f>SUMPRODUCT((Kalkulation!A2:A50000=B170)*Kalkulation!D2:D50000)</x:f>
      </x:c>
      <x:c r="H170" s="3">
        <x:f>G170*E170</x:f>
      </x:c>
      <x:c r="I170" s="4"/>
      <x:c r="J170" s="3">
        <x:f>H170*(1-I170)</x:f>
      </x:c>
      <x:c r="K170" s="4">
        <x:f>B2</x:f>
      </x:c>
      <x:c r="L170" s="1" t="s">
        <x:v>442</x:v>
      </x:c>
      <x:c r="M170" s="0" t="s">
        <x:v>618</x:v>
      </x:c>
    </x:row>
    <x:row r="171" spans="1:13" outlineLevel="2">
      <x:c r="A171" s="0" t="s">
        <x:v>92</x:v>
      </x:c>
      <x:c r="B171" s="1" t="s">
        <x:v>619</x:v>
      </x:c>
      <x:c r="C171" s="0" t="s">
        <x:v>620</x:v>
      </x:c>
      <x:c r="D171" s="0" t="s">
        <x:v>621</x:v>
      </x:c>
      <x:c r="E171" s="2">
        <x:v>1</x:v>
      </x:c>
      <x:c r="F171" s="0" t="s">
        <x:v>132</x:v>
      </x:c>
      <x:c r="G171" s="3">
        <x:f>SUMPRODUCT((Kalkulation!A2:A50000=B171)*Kalkulation!D2:D50000)</x:f>
      </x:c>
      <x:c r="H171" s="3">
        <x:f>G171*E171</x:f>
      </x:c>
      <x:c r="I171" s="4"/>
      <x:c r="J171" s="3">
        <x:f>H171*(1-I171)</x:f>
      </x:c>
      <x:c r="K171" s="4">
        <x:f>B2</x:f>
      </x:c>
      <x:c r="L171" s="1" t="s">
        <x:v>442</x:v>
      </x:c>
      <x:c r="M171" s="0" t="s">
        <x:v>622</x:v>
      </x:c>
    </x:row>
    <x:row r="172" spans="1:13" s="5" customFormat="1" outlineLevel="1">
      <x:c r="A172" s="12" t="s">
        <x:v>151</x:v>
      </x:c>
      <x:c r="B172" s="13" t="s">
        <x:v>434</x:v>
      </x:c>
      <x:c r="C172" s="12" t="s">
        <x:v>435</x:v>
      </x:c>
      <x:c r="D172" s="12"/>
      <x:c r="E172" s="14"/>
      <x:c r="F172" s="12"/>
      <x:c r="G172" s="15"/>
      <x:c r="H172" s="15">
        <x:f>SUMIF(L:L,"cbcfa709-465a-4a6c-92f3-37939323dccf",J:J)</x:f>
      </x:c>
      <x:c r="I172" s="16"/>
      <x:c r="J172" s="15">
        <x:f>H172*(1-I172)</x:f>
      </x:c>
      <x:c r="K172" s="16"/>
      <x:c r="L172" s="6" t="s">
        <x:v>152</x:v>
      </x:c>
      <x:c r="M172" s="5" t="s">
        <x:v>442</x:v>
      </x:c>
    </x:row>
    <x:row r="173" spans="1:13" outlineLevel="2">
      <x:c r="A173" s="0" t="s">
        <x:v>84</x:v>
      </x:c>
      <x:c r="B173" s="1" t="s">
        <x:v>623</x:v>
      </x:c>
      <x:c r="C173" s="0" t="s">
        <x:v>624</x:v>
      </x:c>
      <x:c r="E173" s="2"/>
      <x:c r="G173" s="3"/>
      <x:c r="H173" s="3"/>
      <x:c r="I173" s="4"/>
      <x:c r="J173" s="3"/>
      <x:c r="K173" s="4">
        <x:f>""</x:f>
      </x:c>
      <x:c r="L173" s="1"/>
    </x:row>
    <x:row r="174" spans="1:13" outlineLevel="2">
      <x:c r="A174" s="0" t="s">
        <x:v>92</x:v>
      </x:c>
      <x:c r="B174" s="1" t="s">
        <x:v>625</x:v>
      </x:c>
      <x:c r="C174" s="0" t="s">
        <x:v>626</x:v>
      </x:c>
      <x:c r="D174" s="0" t="s">
        <x:v>627</x:v>
      </x:c>
      <x:c r="E174" s="2">
        <x:v>175</x:v>
      </x:c>
      <x:c r="F174" s="0" t="s">
        <x:v>177</x:v>
      </x:c>
      <x:c r="G174" s="3">
        <x:f>SUMPRODUCT((Kalkulation!A2:A50000=B174)*Kalkulation!D2:D50000)</x:f>
      </x:c>
      <x:c r="H174" s="3">
        <x:f>G174*E174</x:f>
      </x:c>
      <x:c r="I174" s="4"/>
      <x:c r="J174" s="3">
        <x:f>H174*(1-I174)</x:f>
      </x:c>
      <x:c r="K174" s="4">
        <x:f>B2</x:f>
      </x:c>
      <x:c r="L174" s="1" t="s">
        <x:v>628</x:v>
      </x:c>
      <x:c r="M174" s="0" t="s">
        <x:v>629</x:v>
      </x:c>
    </x:row>
    <x:row r="175" spans="1:13" outlineLevel="2">
      <x:c r="A175" s="0" t="s">
        <x:v>92</x:v>
      </x:c>
      <x:c r="B175" s="1" t="s">
        <x:v>630</x:v>
      </x:c>
      <x:c r="C175" s="0" t="s">
        <x:v>631</x:v>
      </x:c>
      <x:c r="D175" s="0" t="s">
        <x:v>632</x:v>
      </x:c>
      <x:c r="E175" s="2">
        <x:v>11</x:v>
      </x:c>
      <x:c r="F175" s="0" t="s">
        <x:v>164</x:v>
      </x:c>
      <x:c r="G175" s="3">
        <x:f>SUMPRODUCT((Kalkulation!A2:A50000=B175)*Kalkulation!D2:D50000)</x:f>
      </x:c>
      <x:c r="H175" s="3">
        <x:f>G175*E175</x:f>
      </x:c>
      <x:c r="I175" s="4"/>
      <x:c r="J175" s="3">
        <x:f>H175*(1-I175)</x:f>
      </x:c>
      <x:c r="K175" s="4">
        <x:f>B2</x:f>
      </x:c>
      <x:c r="L175" s="1" t="s">
        <x:v>628</x:v>
      </x:c>
      <x:c r="M175" s="0" t="s">
        <x:v>633</x:v>
      </x:c>
    </x:row>
    <x:row r="176" spans="1:13" outlineLevel="2">
      <x:c r="A176" s="0" t="s">
        <x:v>92</x:v>
      </x:c>
      <x:c r="B176" s="1" t="s">
        <x:v>634</x:v>
      </x:c>
      <x:c r="C176" s="0" t="s">
        <x:v>635</x:v>
      </x:c>
      <x:c r="D176" s="0" t="s">
        <x:v>636</x:v>
      </x:c>
      <x:c r="E176" s="2">
        <x:v>175</x:v>
      </x:c>
      <x:c r="F176" s="0" t="s">
        <x:v>177</x:v>
      </x:c>
      <x:c r="G176" s="3">
        <x:f>SUMPRODUCT((Kalkulation!A2:A50000=B176)*Kalkulation!D2:D50000)</x:f>
      </x:c>
      <x:c r="H176" s="3">
        <x:f>G176*E176</x:f>
      </x:c>
      <x:c r="I176" s="4"/>
      <x:c r="J176" s="3">
        <x:f>H176*(1-I176)</x:f>
      </x:c>
      <x:c r="K176" s="4">
        <x:f>B2</x:f>
      </x:c>
      <x:c r="L176" s="1" t="s">
        <x:v>628</x:v>
      </x:c>
      <x:c r="M176" s="0" t="s">
        <x:v>637</x:v>
      </x:c>
    </x:row>
    <x:row r="177" spans="1:13" outlineLevel="2">
      <x:c r="A177" s="0" t="s">
        <x:v>92</x:v>
      </x:c>
      <x:c r="B177" s="1" t="s">
        <x:v>638</x:v>
      </x:c>
      <x:c r="C177" s="0" t="s">
        <x:v>639</x:v>
      </x:c>
      <x:c r="D177" s="0" t="s">
        <x:v>640</x:v>
      </x:c>
      <x:c r="E177" s="2">
        <x:v>175</x:v>
      </x:c>
      <x:c r="F177" s="0" t="s">
        <x:v>177</x:v>
      </x:c>
      <x:c r="G177" s="3">
        <x:f>SUMPRODUCT((Kalkulation!A2:A50000=B177)*Kalkulation!D2:D50000)</x:f>
      </x:c>
      <x:c r="H177" s="3">
        <x:f>G177*E177</x:f>
      </x:c>
      <x:c r="I177" s="4"/>
      <x:c r="J177" s="3">
        <x:f>H177*(1-I177)</x:f>
      </x:c>
      <x:c r="K177" s="4">
        <x:f>B2</x:f>
      </x:c>
      <x:c r="L177" s="1" t="s">
        <x:v>628</x:v>
      </x:c>
      <x:c r="M177" s="0" t="s">
        <x:v>641</x:v>
      </x:c>
    </x:row>
    <x:row r="178" spans="1:13" outlineLevel="2">
      <x:c r="A178" s="0" t="s">
        <x:v>92</x:v>
      </x:c>
      <x:c r="B178" s="1" t="s">
        <x:v>642</x:v>
      </x:c>
      <x:c r="C178" s="0" t="s">
        <x:v>643</x:v>
      </x:c>
      <x:c r="D178" s="0" t="s">
        <x:v>644</x:v>
      </x:c>
      <x:c r="E178" s="2">
        <x:v>9</x:v>
      </x:c>
      <x:c r="F178" s="0" t="s">
        <x:v>132</x:v>
      </x:c>
      <x:c r="G178" s="3">
        <x:f>SUMPRODUCT((Kalkulation!A2:A50000=B178)*Kalkulation!D2:D50000)</x:f>
      </x:c>
      <x:c r="H178" s="3">
        <x:f>G178*E178</x:f>
      </x:c>
      <x:c r="I178" s="4"/>
      <x:c r="J178" s="3">
        <x:f>H178*(1-I178)</x:f>
      </x:c>
      <x:c r="K178" s="4">
        <x:f>B2</x:f>
      </x:c>
      <x:c r="L178" s="1" t="s">
        <x:v>628</x:v>
      </x:c>
      <x:c r="M178" s="0" t="s">
        <x:v>645</x:v>
      </x:c>
    </x:row>
    <x:row r="179" spans="1:13" s="5" customFormat="1" outlineLevel="1">
      <x:c r="A179" s="12" t="s">
        <x:v>151</x:v>
      </x:c>
      <x:c r="B179" s="13" t="s">
        <x:v>623</x:v>
      </x:c>
      <x:c r="C179" s="12" t="s">
        <x:v>624</x:v>
      </x:c>
      <x:c r="D179" s="12"/>
      <x:c r="E179" s="14"/>
      <x:c r="F179" s="12"/>
      <x:c r="G179" s="15"/>
      <x:c r="H179" s="15">
        <x:f>SUMIF(L:L,"c4f28a03-91dc-4eb3-ab31-d6c91703c080",J:J)</x:f>
      </x:c>
      <x:c r="I179" s="16"/>
      <x:c r="J179" s="15">
        <x:f>H179*(1-I179)</x:f>
      </x:c>
      <x:c r="K179" s="16"/>
      <x:c r="L179" s="6" t="s">
        <x:v>152</x:v>
      </x:c>
      <x:c r="M179" s="5" t="s">
        <x:v>628</x:v>
      </x:c>
    </x:row>
    <x:row r="180" spans="1:13" outlineLevel="2">
      <x:c r="A180" s="0" t="s">
        <x:v>84</x:v>
      </x:c>
      <x:c r="B180" s="1" t="s">
        <x:v>646</x:v>
      </x:c>
      <x:c r="C180" s="0" t="s">
        <x:v>647</x:v>
      </x:c>
      <x:c r="E180" s="2"/>
      <x:c r="G180" s="3"/>
      <x:c r="H180" s="3"/>
      <x:c r="I180" s="4"/>
      <x:c r="J180" s="3"/>
      <x:c r="K180" s="4">
        <x:f>""</x:f>
      </x:c>
      <x:c r="L180" s="1"/>
    </x:row>
    <x:row r="181" spans="1:13" outlineLevel="2">
      <x:c r="A181" s="0" t="s">
        <x:v>14</x:v>
      </x:c>
      <x:c r="B181" s="1"/>
      <x:c r="C181" s="0" t="s">
        <x:v>63</x:v>
      </x:c>
      <x:c r="D181" s="0" t="s">
        <x:v>648</x:v>
      </x:c>
      <x:c r="E181" s="2"/>
      <x:c r="G181" s="3"/>
      <x:c r="H181" s="3"/>
      <x:c r="I181" s="4"/>
      <x:c r="J181" s="3"/>
      <x:c r="K181" s="4">
        <x:f>""</x:f>
      </x:c>
      <x:c r="L181" s="1"/>
      <x:c r="M181" s="0" t="s">
        <x:v>649</x:v>
      </x:c>
    </x:row>
    <x:row r="182" spans="1:13" outlineLevel="2">
      <x:c r="A182" s="0" t="s">
        <x:v>14</x:v>
      </x:c>
      <x:c r="B182" s="1"/>
      <x:c r="C182" s="0" t="s">
        <x:v>650</x:v>
      </x:c>
      <x:c r="D182" s="0" t="s">
        <x:v>651</x:v>
      </x:c>
      <x:c r="E182" s="2"/>
      <x:c r="G182" s="3"/>
      <x:c r="H182" s="3"/>
      <x:c r="I182" s="4"/>
      <x:c r="J182" s="3"/>
      <x:c r="K182" s="4">
        <x:f>""</x:f>
      </x:c>
      <x:c r="L182" s="1"/>
      <x:c r="M182" s="0" t="s">
        <x:v>652</x:v>
      </x:c>
    </x:row>
    <x:row r="183" spans="1:13" outlineLevel="2">
      <x:c r="A183" s="0" t="s">
        <x:v>653</x:v>
      </x:c>
      <x:c r="B183" s="1" t="s">
        <x:v>654</x:v>
      </x:c>
      <x:c r="C183" s="0" t="s">
        <x:v>345</x:v>
      </x:c>
      <x:c r="D183" s="0" t="s">
        <x:v>346</x:v>
      </x:c>
      <x:c r="E183" s="2">
        <x:v>20</x:v>
      </x:c>
      <x:c r="F183" s="0" t="s">
        <x:v>177</x:v>
      </x:c>
      <x:c r="G183" s="3">
        <x:f>SUMPRODUCT((Kalkulation!A2:A50000=B183)*Kalkulation!D2:D50000)</x:f>
      </x:c>
      <x:c r="H183" s="3"/>
      <x:c r="I183" s="4"/>
      <x:c r="J183" s="3"/>
      <x:c r="K183" s="4">
        <x:f>B2</x:f>
      </x:c>
      <x:c r="L183" s="1"/>
      <x:c r="M183" s="0" t="s">
        <x:v>655</x:v>
      </x:c>
    </x:row>
    <x:row r="184" spans="1:13" outlineLevel="2">
      <x:c r="A184" s="0" t="s">
        <x:v>653</x:v>
      </x:c>
      <x:c r="B184" s="1" t="s">
        <x:v>656</x:v>
      </x:c>
      <x:c r="C184" s="0" t="s">
        <x:v>349</x:v>
      </x:c>
      <x:c r="D184" s="0" t="s">
        <x:v>657</x:v>
      </x:c>
      <x:c r="E184" s="2">
        <x:v>15</x:v>
      </x:c>
      <x:c r="F184" s="0" t="s">
        <x:v>164</x:v>
      </x:c>
      <x:c r="G184" s="3">
        <x:f>SUMPRODUCT((Kalkulation!A2:A50000=B184)*Kalkulation!D2:D50000)</x:f>
      </x:c>
      <x:c r="H184" s="3"/>
      <x:c r="I184" s="4"/>
      <x:c r="J184" s="3"/>
      <x:c r="K184" s="4">
        <x:f>B2</x:f>
      </x:c>
      <x:c r="L184" s="1"/>
      <x:c r="M184" s="0" t="s">
        <x:v>658</x:v>
      </x:c>
    </x:row>
    <x:row r="185" spans="1:13" outlineLevel="2">
      <x:c r="A185" s="0" t="s">
        <x:v>653</x:v>
      </x:c>
      <x:c r="B185" s="1" t="s">
        <x:v>659</x:v>
      </x:c>
      <x:c r="C185" s="0" t="s">
        <x:v>395</x:v>
      </x:c>
      <x:c r="D185" s="0" t="s">
        <x:v>660</x:v>
      </x:c>
      <x:c r="E185" s="2">
        <x:v>15</x:v>
      </x:c>
      <x:c r="F185" s="0" t="s">
        <x:v>177</x:v>
      </x:c>
      <x:c r="G185" s="3">
        <x:f>SUMPRODUCT((Kalkulation!A2:A50000=B185)*Kalkulation!D2:D50000)</x:f>
      </x:c>
      <x:c r="H185" s="3"/>
      <x:c r="I185" s="4"/>
      <x:c r="J185" s="3"/>
      <x:c r="K185" s="4">
        <x:f>B2</x:f>
      </x:c>
      <x:c r="L185" s="1"/>
      <x:c r="M185" s="0" t="s">
        <x:v>661</x:v>
      </x:c>
    </x:row>
    <x:row r="186" spans="1:13" outlineLevel="2">
      <x:c r="A186" s="0" t="s">
        <x:v>653</x:v>
      </x:c>
      <x:c r="B186" s="1" t="s">
        <x:v>662</x:v>
      </x:c>
      <x:c r="C186" s="0" t="s">
        <x:v>399</x:v>
      </x:c>
      <x:c r="D186" s="0" t="s">
        <x:v>663</x:v>
      </x:c>
      <x:c r="E186" s="2">
        <x:v>15</x:v>
      </x:c>
      <x:c r="F186" s="0" t="s">
        <x:v>132</x:v>
      </x:c>
      <x:c r="G186" s="3">
        <x:f>SUMPRODUCT((Kalkulation!A2:A50000=B186)*Kalkulation!D2:D50000)</x:f>
      </x:c>
      <x:c r="H186" s="3"/>
      <x:c r="I186" s="4"/>
      <x:c r="J186" s="3"/>
      <x:c r="K186" s="4">
        <x:f>B2</x:f>
      </x:c>
      <x:c r="L186" s="1"/>
      <x:c r="M186" s="0" t="s">
        <x:v>664</x:v>
      </x:c>
    </x:row>
    <x:row r="187" spans="1:13" outlineLevel="2">
      <x:c r="A187" s="0" t="s">
        <x:v>653</x:v>
      </x:c>
      <x:c r="B187" s="1" t="s">
        <x:v>665</x:v>
      </x:c>
      <x:c r="C187" s="0" t="s">
        <x:v>666</x:v>
      </x:c>
      <x:c r="D187" s="0" t="s">
        <x:v>667</x:v>
      </x:c>
      <x:c r="E187" s="2">
        <x:v>5</x:v>
      </x:c>
      <x:c r="F187" s="0" t="s">
        <x:v>132</x:v>
      </x:c>
      <x:c r="G187" s="3">
        <x:f>SUMPRODUCT((Kalkulation!A2:A50000=B187)*Kalkulation!D2:D50000)</x:f>
      </x:c>
      <x:c r="H187" s="3"/>
      <x:c r="I187" s="4"/>
      <x:c r="J187" s="3"/>
      <x:c r="K187" s="4">
        <x:f>B2</x:f>
      </x:c>
      <x:c r="L187" s="1"/>
      <x:c r="M187" s="0" t="s">
        <x:v>668</x:v>
      </x:c>
    </x:row>
    <x:row r="188" spans="1:13" outlineLevel="2">
      <x:c r="A188" s="0" t="s">
        <x:v>653</x:v>
      </x:c>
      <x:c r="B188" s="1" t="s">
        <x:v>669</x:v>
      </x:c>
      <x:c r="C188" s="0" t="s">
        <x:v>670</x:v>
      </x:c>
      <x:c r="D188" s="0" t="s">
        <x:v>671</x:v>
      </x:c>
      <x:c r="E188" s="2">
        <x:v>10</x:v>
      </x:c>
      <x:c r="F188" s="0" t="s">
        <x:v>132</x:v>
      </x:c>
      <x:c r="G188" s="3">
        <x:f>SUMPRODUCT((Kalkulation!A2:A50000=B188)*Kalkulation!D2:D50000)</x:f>
      </x:c>
      <x:c r="H188" s="3"/>
      <x:c r="I188" s="4"/>
      <x:c r="J188" s="3"/>
      <x:c r="K188" s="4">
        <x:f>B2</x:f>
      </x:c>
      <x:c r="L188" s="1"/>
      <x:c r="M188" s="0" t="s">
        <x:v>672</x:v>
      </x:c>
    </x:row>
    <x:row r="189" spans="1:13" outlineLevel="2">
      <x:c r="A189" s="0" t="s">
        <x:v>653</x:v>
      </x:c>
      <x:c r="B189" s="1" t="s">
        <x:v>673</x:v>
      </x:c>
      <x:c r="C189" s="0" t="s">
        <x:v>674</x:v>
      </x:c>
      <x:c r="D189" s="0" t="s">
        <x:v>675</x:v>
      </x:c>
      <x:c r="E189" s="2">
        <x:v>5</x:v>
      </x:c>
      <x:c r="F189" s="0" t="s">
        <x:v>158</x:v>
      </x:c>
      <x:c r="G189" s="3">
        <x:f>SUMPRODUCT((Kalkulation!A2:A50000=B189)*Kalkulation!D2:D50000)</x:f>
      </x:c>
      <x:c r="H189" s="3"/>
      <x:c r="I189" s="4"/>
      <x:c r="J189" s="3"/>
      <x:c r="K189" s="4">
        <x:f>B2</x:f>
      </x:c>
      <x:c r="L189" s="1"/>
      <x:c r="M189" s="0" t="s">
        <x:v>676</x:v>
      </x:c>
    </x:row>
    <x:row r="190" spans="1:13" outlineLevel="2">
      <x:c r="A190" s="0" t="s">
        <x:v>653</x:v>
      </x:c>
      <x:c r="B190" s="1" t="s">
        <x:v>677</x:v>
      </x:c>
      <x:c r="C190" s="0" t="s">
        <x:v>213</x:v>
      </x:c>
      <x:c r="D190" s="0" t="s">
        <x:v>214</x:v>
      </x:c>
      <x:c r="E190" s="2">
        <x:v>15</x:v>
      </x:c>
      <x:c r="F190" s="0" t="s">
        <x:v>158</x:v>
      </x:c>
      <x:c r="G190" s="3">
        <x:f>SUMPRODUCT((Kalkulation!A2:A50000=B190)*Kalkulation!D2:D50000)</x:f>
      </x:c>
      <x:c r="H190" s="3"/>
      <x:c r="I190" s="4"/>
      <x:c r="J190" s="3"/>
      <x:c r="K190" s="4">
        <x:f>B2</x:f>
      </x:c>
      <x:c r="L190" s="1"/>
      <x:c r="M190" s="0" t="s">
        <x:v>678</x:v>
      </x:c>
    </x:row>
    <x:row r="191" spans="1:13" outlineLevel="2">
      <x:c r="A191" s="0" t="s">
        <x:v>653</x:v>
      </x:c>
      <x:c r="B191" s="1" t="s">
        <x:v>679</x:v>
      </x:c>
      <x:c r="C191" s="0" t="s">
        <x:v>680</x:v>
      </x:c>
      <x:c r="D191" s="0" t="s">
        <x:v>681</x:v>
      </x:c>
      <x:c r="E191" s="2">
        <x:v>20</x:v>
      </x:c>
      <x:c r="F191" s="0" t="s">
        <x:v>177</x:v>
      </x:c>
      <x:c r="G191" s="3">
        <x:f>SUMPRODUCT((Kalkulation!A2:A50000=B191)*Kalkulation!D2:D50000)</x:f>
      </x:c>
      <x:c r="H191" s="3"/>
      <x:c r="I191" s="4"/>
      <x:c r="J191" s="3"/>
      <x:c r="K191" s="4">
        <x:f>B2</x:f>
      </x:c>
      <x:c r="L191" s="1"/>
      <x:c r="M191" s="0" t="s">
        <x:v>682</x:v>
      </x:c>
    </x:row>
    <x:row r="192" spans="1:13" s="5" customFormat="1" outlineLevel="1">
      <x:c r="A192" s="12" t="s">
        <x:v>151</x:v>
      </x:c>
      <x:c r="B192" s="13" t="s">
        <x:v>646</x:v>
      </x:c>
      <x:c r="C192" s="12" t="s">
        <x:v>647</x:v>
      </x:c>
      <x:c r="D192" s="12"/>
      <x:c r="E192" s="14"/>
      <x:c r="F192" s="12"/>
      <x:c r="G192" s="15"/>
      <x:c r="H192" s="15">
        <x:f>SUMIF(L:L,"4c7a66d4-4b7e-4657-9d14-a613f7640b42",J:J)</x:f>
      </x:c>
      <x:c r="I192" s="16"/>
      <x:c r="J192" s="15">
        <x:f>H192*(1-I192)</x:f>
      </x:c>
      <x:c r="K192" s="16"/>
      <x:c r="L192" s="6" t="s">
        <x:v>152</x:v>
      </x:c>
      <x:c r="M192" s="5" t="s">
        <x:v>683</x:v>
      </x:c>
    </x:row>
    <x:row r="193" spans="1:13" outlineLevel="2">
      <x:c r="A193" s="0" t="s">
        <x:v>84</x:v>
      </x:c>
      <x:c r="B193" s="1" t="s">
        <x:v>684</x:v>
      </x:c>
      <x:c r="C193" s="0" t="s">
        <x:v>685</x:v>
      </x:c>
      <x:c r="E193" s="2"/>
      <x:c r="G193" s="3"/>
      <x:c r="H193" s="3"/>
      <x:c r="I193" s="4"/>
      <x:c r="J193" s="3"/>
      <x:c r="K193" s="4">
        <x:f>""</x:f>
      </x:c>
      <x:c r="L193" s="1"/>
    </x:row>
    <x:row r="194" spans="1:13" outlineLevel="2">
      <x:c r="A194" s="0" t="s">
        <x:v>14</x:v>
      </x:c>
      <x:c r="B194" s="1"/>
      <x:c r="C194" s="0" t="s">
        <x:v>63</x:v>
      </x:c>
      <x:c r="D194" s="0" t="s">
        <x:v>686</x:v>
      </x:c>
      <x:c r="E194" s="2"/>
      <x:c r="G194" s="3"/>
      <x:c r="H194" s="3"/>
      <x:c r="I194" s="4"/>
      <x:c r="J194" s="3"/>
      <x:c r="K194" s="4">
        <x:f>""</x:f>
      </x:c>
      <x:c r="L194" s="1"/>
      <x:c r="M194" s="0" t="s">
        <x:v>687</x:v>
      </x:c>
    </x:row>
    <x:row r="195" spans="1:13" outlineLevel="2">
      <x:c r="A195" s="0" t="s">
        <x:v>92</x:v>
      </x:c>
      <x:c r="B195" s="1" t="s">
        <x:v>688</x:v>
      </x:c>
      <x:c r="C195" s="0" t="s">
        <x:v>689</x:v>
      </x:c>
      <x:c r="D195" s="0" t="s">
        <x:v>690</x:v>
      </x:c>
      <x:c r="E195" s="2">
        <x:v>10</x:v>
      </x:c>
      <x:c r="F195" s="0" t="s">
        <x:v>691</x:v>
      </x:c>
      <x:c r="G195" s="3">
        <x:f>SUMPRODUCT((Kalkulation!A2:A50000=B195)*Kalkulation!D2:D50000)</x:f>
      </x:c>
      <x:c r="H195" s="3">
        <x:f>G195*E195</x:f>
      </x:c>
      <x:c r="I195" s="4"/>
      <x:c r="J195" s="3">
        <x:f>H195*(1-I195)</x:f>
      </x:c>
      <x:c r="K195" s="4">
        <x:f>B2</x:f>
      </x:c>
      <x:c r="L195" s="1" t="s">
        <x:v>692</x:v>
      </x:c>
      <x:c r="M195" s="0" t="s">
        <x:v>693</x:v>
      </x:c>
    </x:row>
    <x:row r="196" spans="1:13" outlineLevel="2">
      <x:c r="A196" s="0" t="s">
        <x:v>92</x:v>
      </x:c>
      <x:c r="B196" s="1" t="s">
        <x:v>694</x:v>
      </x:c>
      <x:c r="C196" s="0" t="s">
        <x:v>695</x:v>
      </x:c>
      <x:c r="D196" s="0" t="s">
        <x:v>696</x:v>
      </x:c>
      <x:c r="E196" s="2">
        <x:v>10</x:v>
      </x:c>
      <x:c r="F196" s="0" t="s">
        <x:v>691</x:v>
      </x:c>
      <x:c r="G196" s="3">
        <x:f>SUMPRODUCT((Kalkulation!A2:A50000=B196)*Kalkulation!D2:D50000)</x:f>
      </x:c>
      <x:c r="H196" s="3">
        <x:f>G196*E196</x:f>
      </x:c>
      <x:c r="I196" s="4"/>
      <x:c r="J196" s="3">
        <x:f>H196*(1-I196)</x:f>
      </x:c>
      <x:c r="K196" s="4">
        <x:f>B2</x:f>
      </x:c>
      <x:c r="L196" s="1" t="s">
        <x:v>692</x:v>
      </x:c>
      <x:c r="M196" s="0" t="s">
        <x:v>697</x:v>
      </x:c>
    </x:row>
    <x:row r="197" spans="1:13" outlineLevel="2">
      <x:c r="A197" s="0" t="s">
        <x:v>92</x:v>
      </x:c>
      <x:c r="B197" s="1" t="s">
        <x:v>698</x:v>
      </x:c>
      <x:c r="C197" s="0" t="s">
        <x:v>699</x:v>
      </x:c>
      <x:c r="D197" s="0" t="s">
        <x:v>700</x:v>
      </x:c>
      <x:c r="E197" s="2">
        <x:v>5</x:v>
      </x:c>
      <x:c r="F197" s="0" t="s">
        <x:v>691</x:v>
      </x:c>
      <x:c r="G197" s="3">
        <x:f>SUMPRODUCT((Kalkulation!A2:A50000=B197)*Kalkulation!D2:D50000)</x:f>
      </x:c>
      <x:c r="H197" s="3">
        <x:f>G197*E197</x:f>
      </x:c>
      <x:c r="I197" s="4"/>
      <x:c r="J197" s="3">
        <x:f>H197*(1-I197)</x:f>
      </x:c>
      <x:c r="K197" s="4">
        <x:f>B2</x:f>
      </x:c>
      <x:c r="L197" s="1" t="s">
        <x:v>692</x:v>
      </x:c>
      <x:c r="M197" s="0" t="s">
        <x:v>701</x:v>
      </x:c>
    </x:row>
    <x:row r="198" spans="1:13" outlineLevel="2">
      <x:c r="A198" s="0" t="s">
        <x:v>92</x:v>
      </x:c>
      <x:c r="B198" s="1" t="s">
        <x:v>702</x:v>
      </x:c>
      <x:c r="C198" s="0" t="s">
        <x:v>703</x:v>
      </x:c>
      <x:c r="D198" s="0" t="s">
        <x:v>703</x:v>
      </x:c>
      <x:c r="E198" s="2">
        <x:v>5</x:v>
      </x:c>
      <x:c r="F198" s="0" t="s">
        <x:v>691</x:v>
      </x:c>
      <x:c r="G198" s="3">
        <x:f>SUMPRODUCT((Kalkulation!A2:A50000=B198)*Kalkulation!D2:D50000)</x:f>
      </x:c>
      <x:c r="H198" s="3">
        <x:f>G198*E198</x:f>
      </x:c>
      <x:c r="I198" s="4"/>
      <x:c r="J198" s="3">
        <x:f>H198*(1-I198)</x:f>
      </x:c>
      <x:c r="K198" s="4">
        <x:f>B2</x:f>
      </x:c>
      <x:c r="L198" s="1" t="s">
        <x:v>692</x:v>
      </x:c>
      <x:c r="M198" s="0" t="s">
        <x:v>704</x:v>
      </x:c>
    </x:row>
    <x:row r="199" spans="1:13" outlineLevel="2">
      <x:c r="A199" s="0" t="s">
        <x:v>92</x:v>
      </x:c>
      <x:c r="B199" s="1" t="s">
        <x:v>705</x:v>
      </x:c>
      <x:c r="C199" s="0" t="s">
        <x:v>706</x:v>
      </x:c>
      <x:c r="D199" s="0" t="s">
        <x:v>707</x:v>
      </x:c>
      <x:c r="E199" s="2">
        <x:v>5</x:v>
      </x:c>
      <x:c r="F199" s="0" t="s">
        <x:v>691</x:v>
      </x:c>
      <x:c r="G199" s="3">
        <x:f>SUMPRODUCT((Kalkulation!A2:A50000=B199)*Kalkulation!D2:D50000)</x:f>
      </x:c>
      <x:c r="H199" s="3">
        <x:f>G199*E199</x:f>
      </x:c>
      <x:c r="I199" s="4"/>
      <x:c r="J199" s="3">
        <x:f>H199*(1-I199)</x:f>
      </x:c>
      <x:c r="K199" s="4">
        <x:f>B2</x:f>
      </x:c>
      <x:c r="L199" s="1" t="s">
        <x:v>692</x:v>
      </x:c>
      <x:c r="M199" s="0" t="s">
        <x:v>708</x:v>
      </x:c>
    </x:row>
    <x:row r="200" spans="1:13" outlineLevel="2">
      <x:c r="A200" s="0" t="s">
        <x:v>92</x:v>
      </x:c>
      <x:c r="B200" s="1" t="s">
        <x:v>709</x:v>
      </x:c>
      <x:c r="C200" s="0" t="s">
        <x:v>710</x:v>
      </x:c>
      <x:c r="D200" s="0" t="s">
        <x:v>711</x:v>
      </x:c>
      <x:c r="E200" s="2">
        <x:v>5</x:v>
      </x:c>
      <x:c r="F200" s="0" t="s">
        <x:v>691</x:v>
      </x:c>
      <x:c r="G200" s="3">
        <x:f>SUMPRODUCT((Kalkulation!A2:A50000=B200)*Kalkulation!D2:D50000)</x:f>
      </x:c>
      <x:c r="H200" s="3">
        <x:f>G200*E200</x:f>
      </x:c>
      <x:c r="I200" s="4"/>
      <x:c r="J200" s="3">
        <x:f>H200*(1-I200)</x:f>
      </x:c>
      <x:c r="K200" s="4">
        <x:f>B2</x:f>
      </x:c>
      <x:c r="L200" s="1" t="s">
        <x:v>692</x:v>
      </x:c>
      <x:c r="M200" s="0" t="s">
        <x:v>712</x:v>
      </x:c>
    </x:row>
    <x:row r="201" spans="1:13" outlineLevel="2">
      <x:c r="A201" s="0" t="s">
        <x:v>92</x:v>
      </x:c>
      <x:c r="B201" s="1" t="s">
        <x:v>713</x:v>
      </x:c>
      <x:c r="C201" s="0" t="s">
        <x:v>714</x:v>
      </x:c>
      <x:c r="D201" s="0" t="s">
        <x:v>715</x:v>
      </x:c>
      <x:c r="E201" s="2">
        <x:v>2</x:v>
      </x:c>
      <x:c r="F201" s="0" t="s">
        <x:v>691</x:v>
      </x:c>
      <x:c r="G201" s="3">
        <x:f>SUMPRODUCT((Kalkulation!A2:A50000=B201)*Kalkulation!D2:D50000)</x:f>
      </x:c>
      <x:c r="H201" s="3">
        <x:f>G201*E201</x:f>
      </x:c>
      <x:c r="I201" s="4"/>
      <x:c r="J201" s="3">
        <x:f>H201*(1-I201)</x:f>
      </x:c>
      <x:c r="K201" s="4">
        <x:f>B2</x:f>
      </x:c>
      <x:c r="L201" s="1" t="s">
        <x:v>692</x:v>
      </x:c>
      <x:c r="M201" s="0" t="s">
        <x:v>716</x:v>
      </x:c>
    </x:row>
    <x:row r="202" spans="1:13" s="5" customFormat="1" outlineLevel="1">
      <x:c r="A202" s="12" t="s">
        <x:v>151</x:v>
      </x:c>
      <x:c r="B202" s="13" t="s">
        <x:v>684</x:v>
      </x:c>
      <x:c r="C202" s="12" t="s">
        <x:v>685</x:v>
      </x:c>
      <x:c r="D202" s="12"/>
      <x:c r="E202" s="14"/>
      <x:c r="F202" s="12"/>
      <x:c r="G202" s="15"/>
      <x:c r="H202" s="15">
        <x:f>SUMIF(L:L,"076eabad-bb93-44b0-8df6-13c92180ab36",J:J)</x:f>
      </x:c>
      <x:c r="I202" s="16"/>
      <x:c r="J202" s="15">
        <x:f>H202*(1-I202)</x:f>
      </x:c>
      <x:c r="K202" s="16"/>
      <x:c r="L202" s="6" t="s">
        <x:v>152</x:v>
      </x:c>
      <x:c r="M202" s="5" t="s">
        <x:v>692</x:v>
      </x:c>
    </x:row>
    <x:row r="203" spans="1:13" s="5" customFormat="1">
      <x:c r="A203" s="12" t="s">
        <x:v>151</x:v>
      </x:c>
      <x:c r="B203" s="13" t="s">
        <x:v>85</x:v>
      </x:c>
      <x:c r="C203" s="12" t="s">
        <x:v>86</x:v>
      </x:c>
      <x:c r="D203" s="12"/>
      <x:c r="E203" s="14"/>
      <x:c r="F203" s="12"/>
      <x:c r="G203" s="15"/>
      <x:c r="H203" s="15">
        <x:f>SUMIF(L:L,"6dfb037f-d914-4a62-94dd-fcdbb61badd0",J:J)</x:f>
      </x:c>
      <x:c r="I203" s="16"/>
      <x:c r="J203" s="15">
        <x:f>H203*(1-I203)</x:f>
      </x:c>
      <x:c r="K203" s="16"/>
      <x:c r="L203" s="6" t="s">
        <x:v>717</x:v>
      </x:c>
      <x:c r="M203" s="5" t="s">
        <x:v>152</x:v>
      </x:c>
    </x:row>
    <x:row r="204" spans="1:13">
      <x:c r="A204" s="0" t="s">
        <x:v>14</x:v>
      </x:c>
      <x:c r="C204" s="0" t="s">
        <x:v>718</x:v>
      </x:c>
      <x:c r="D204" s="0" t="s">
        <x:v>719</x:v>
      </x:c>
      <x:c r="K204" s="4">
        <x:f>""</x:f>
      </x:c>
      <x:c r="M204" s="0" t="s">
        <x:v>720</x:v>
      </x:c>
    </x:row>
    <x:row r="205" spans="1:13" s="5" customFormat="1">
      <x:c r="A205" s="12" t="s">
        <x:v>721</x:v>
      </x:c>
      <x:c r="B205" s="13"/>
      <x:c r="C205" s="12"/>
      <x:c r="D205" s="12"/>
      <x:c r="E205" s="14"/>
      <x:c r="F205" s="12"/>
      <x:c r="G205" s="15"/>
      <x:c r="H205" s="15">
        <x:f>SUMIF(L:L,"153859e4-cf40-4218-acb3-c34cca55660a",J:J)</x:f>
      </x:c>
      <x:c r="I205" s="16"/>
      <x:c r="J205" s="15">
        <x:f>(1-I205)*H205</x:f>
      </x:c>
      <x:c r="K205" s="16"/>
      <x:c r="L205" s="6"/>
      <x:c r="M205" s="5" t="s">
        <x:v>717</x:v>
      </x:c>
    </x:row>
    <x:row r="206" spans="1:13">
      <x:c r="I206" s="4">
        <x:f>"MwSt. "&amp;$B$2*100&amp;"%"</x:f>
      </x:c>
      <x:c r="J206" s="3">
        <x:f>$B$2*J205</x:f>
      </x:c>
    </x:row>
    <x:row r="207" spans="1:13">
      <x:c r="I207" s="11" t="s">
        <x:v>722</x:v>
      </x:c>
      <x:c r="J207" s="10">
        <x:f>(1+$B$2)*J205</x:f>
      </x:c>
    </x:row>
  </x:sheetData>
  <x:mergeCells count="1">
    <x:mergeCell ref="B1:K1"/>
  </x:mergeCells>
  <x:printOptions horizontalCentered="0" verticalCentered="0" headings="0" gridLines="0"/>
  <x:pageMargins left="0.4" right="0.4" top="0.75" bottom="1" header="0.5" footer="0.75"/>
  <x:pageSetup paperSize="9" fitToHeight="0" pageOrder="downThenOver" orientation="landscape" blackAndWhite="0" draft="0" cellComments="none" errors="displayed"/>
  <x:headerFooter differentOddEven="0" differentFirst="0" scaleWithDoc="1" alignWithMargins="1">
    <x:oddHeader>&amp;CGAEB Export - 2025194&amp;R&amp;D</x:oddHeader>
    <x:oddFooter>&amp;LDangl.AVA.Converter www.dangl-it.com V2.28.9 ©2026&amp;R&amp;P/&amp;N</x:oddFooter>
    <x:evenHeader>&amp;CGAEB Export - 2025194&amp;R&amp;D</x:evenHeader>
    <x:evenFooter>&amp;LDangl.AVA.Converter www.dangl-it.com V2.28.9 ©2026&amp;R&amp;P/&amp;N</x:evenFooter>
    <x:firstHeader>&amp;CGAEB Export - 2025194&amp;R&amp;D</x:firstHeader>
    <x:firstFooter>&amp;LDangl.AVA.Converter www.dangl-it.com V2.28.9 ©2026&amp;R&amp;P/&amp;N</x:firstFooter>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6"/>
  <x:sheetViews>
    <x:sheetView workbookViewId="0"/>
  </x:sheetViews>
  <x:sheetFormatPr defaultRowHeight="15"/>
  <x:cols>
    <x:col min="1" max="1" width="30.710625" style="0" customWidth="1"/>
    <x:col min="2" max="2" width="40.710625" style="0" customWidth="1"/>
  </x:cols>
  <x:sheetData>
    <x:row r="1" spans="1:2">
      <x:c r="A1" s="5" t="s">
        <x:v>0</x:v>
      </x:c>
      <x:c r="B1" s="0" t="s">
        <x:v>723</x:v>
      </x:c>
    </x:row>
    <x:row r="2" spans="1:2">
      <x:c r="A2" s="7" t="s">
        <x:v>724</x:v>
      </x:c>
      <x:c r="B2" s="7"/>
    </x:row>
    <x:row r="4" spans="1:2">
      <x:c r="A4" s="7" t="s">
        <x:v>725</x:v>
      </x:c>
      <x:c r="B4" s="7"/>
    </x:row>
    <x:row r="5" spans="1:2">
      <x:c r="A5" s="0" t="s">
        <x:v>726</x:v>
      </x:c>
    </x:row>
    <x:row r="6" spans="1:2">
      <x:c r="A6" s="0" t="s">
        <x:v>727</x:v>
      </x:c>
    </x:row>
    <x:row r="7" spans="1:2">
      <x:c r="A7" s="0" t="s">
        <x:v>728</x:v>
      </x:c>
    </x:row>
    <x:row r="8" spans="1:2">
      <x:c r="A8" s="0" t="s">
        <x:v>729</x:v>
      </x:c>
    </x:row>
    <x:row r="9" spans="1:2">
      <x:c r="A9" s="0" t="s">
        <x:v>730</x:v>
      </x:c>
    </x:row>
    <x:row r="10" spans="1:2">
      <x:c r="A10" s="0" t="s">
        <x:v>731</x:v>
      </x:c>
    </x:row>
    <x:row r="11" spans="1:2">
      <x:c r="A11" s="0" t="s">
        <x:v>732</x:v>
      </x:c>
    </x:row>
    <x:row r="12" spans="1:2">
      <x:c r="A12" s="0" t="s">
        <x:v>733</x:v>
      </x:c>
    </x:row>
    <x:row r="15" spans="1:2">
      <x:c r="A15" s="7" t="s">
        <x:v>734</x:v>
      </x:c>
      <x:c r="B15" s="7"/>
    </x:row>
    <x:row r="16" spans="1:2">
      <x:c r="A16" s="0" t="s">
        <x:v>726</x:v>
      </x:c>
    </x:row>
    <x:row r="20" spans="1:2">
      <x:c r="A20" s="0" t="s">
        <x:v>727</x:v>
      </x:c>
    </x:row>
    <x:row r="21" spans="1:2">
      <x:c r="A21" s="0" t="s">
        <x:v>728</x:v>
      </x:c>
    </x:row>
    <x:row r="22" spans="1:2">
      <x:c r="A22" s="0" t="s">
        <x:v>729</x:v>
      </x:c>
    </x:row>
    <x:row r="23" spans="1:2">
      <x:c r="A23" s="0" t="s">
        <x:v>730</x:v>
      </x:c>
    </x:row>
    <x:row r="24" spans="1:2">
      <x:c r="A24" s="0" t="s">
        <x:v>731</x:v>
      </x:c>
    </x:row>
    <x:row r="25" spans="1:2">
      <x:c r="A25" s="0" t="s">
        <x:v>732</x:v>
      </x:c>
    </x:row>
    <x:row r="26" spans="1:2">
      <x:c r="A26" s="0" t="s">
        <x:v>733</x:v>
      </x:c>
    </x:row>
  </x:sheetData>
  <x:mergeCells count="3">
    <x:mergeCell ref="A2:B2"/>
    <x:mergeCell ref="A4:B4"/>
    <x:mergeCell ref="A15:B15"/>
  </x:mergeCells>
  <x:printOptions horizontalCentered="0" verticalCentered="0" headings="0" gridLines="0"/>
  <x:pageMargins left="0.75" right="0.75" top="0.75" bottom="0.5" header="0.5" footer="0.75"/>
  <x:pageSetup paperSize="9" scale="100" pageOrder="downThenOver" orientation="portrait" blackAndWhite="0" draft="0" cellComments="none" errors="displayed"/>
  <x:headerFooter differentOddEven="0" differentFirst="0" scaleWithDoc="1" alignWithMargins="1">
    <x:oddHeader>&amp;L&amp;P/&amp;N&amp;CProjektinfo - 2025194&amp;R&amp;D</x:oddHeader>
    <x:oddFooter>&amp;LDangl.AVA.Converter www.dangl-it.com V2.28.9 ©2026</x:oddFooter>
    <x:evenHeader>&amp;L&amp;P/&amp;N&amp;CProjektinfo - 2025194&amp;R&amp;D</x:evenHeader>
    <x:evenFooter>&amp;LDangl.AVA.Converter www.dangl-it.com V2.28.9 ©2026</x:evenFooter>
    <x:firstHeader>&amp;L&amp;P/&amp;N&amp;CProjektinfo - 2025194&amp;R&amp;D</x:firstHeader>
    <x:firstFooter>&amp;LDangl.AVA.Converter www.dangl-it.com V2.28.9 ©2026</x:firstFooter>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0"/>
  <x:sheetViews>
    <x:sheetView workbookViewId="0">
      <x:pane xSplit="0" ySplit="1" topLeftCell="A2" activePane="bottomLeft" state="frozenSplit"/>
    </x:sheetView>
  </x:sheetViews>
  <x:sheetFormatPr defaultRowHeight="15"/>
  <x:cols>
    <x:col min="1" max="1" width="15.710625" style="1" customWidth="1"/>
    <x:col min="2" max="2" width="76.710625" style="0" customWidth="1"/>
    <x:col min="3" max="3" width="20.710625" style="0" customWidth="1"/>
    <x:col min="4" max="4" width="15.710625" style="17" customWidth="1"/>
    <x:col min="5" max="5" width="12.710625" style="18" customWidth="1"/>
    <x:col min="6" max="6" width="9.140625" style="0" hidden="1" customWidth="1"/>
  </x:cols>
  <x:sheetData>
    <x:row r="1" spans="1:6" s="19" customFormat="1">
      <x:c r="A1" s="20" t="s">
        <x:v>3</x:v>
      </x:c>
      <x:c r="B1" s="21" t="s">
        <x:v>735</x:v>
      </x:c>
      <x:c r="C1" s="21" t="s">
        <x:v>736</x:v>
      </x:c>
      <x:c r="D1" s="22" t="s">
        <x:v>737</x:v>
      </x:c>
      <x:c r="E1" s="21" t="s">
        <x:v>7</x:v>
      </x:c>
      <x:c r="F1" s="19" t="s">
        <x:v>93</x:v>
      </x:c>
    </x:row>
    <x:row r="2" spans="1:6">
      <x:c r="A2" s="1" t="s">
        <x:v>93</x:v>
      </x:c>
      <x:c r="E2" s="18">
        <x:f>IF(ISBLANK(A2),"",IF(ISNA(VLOOKUP(A2,'2025194'!$B$4:$F$207,5,FALSE)),"",VLOOKUP(A2,'2025194'!$B$4:$F$207,5,FALSE))&amp;"")</x:f>
      </x:c>
      <x:c r="F2" s="0" t="s">
        <x:v>99</x:v>
      </x:c>
    </x:row>
    <x:row r="3" spans="1:6">
      <x:c r="A3" s="1" t="s">
        <x:v>99</x:v>
      </x:c>
      <x:c r="E3" s="18">
        <x:f>IF(ISBLANK(A3),"",IF(ISNA(VLOOKUP(A3,'2025194'!$B$4:$F$207,5,FALSE)),"",VLOOKUP(A3,'2025194'!$B$4:$F$207,5,FALSE))&amp;"")</x:f>
      </x:c>
      <x:c r="F3" s="0" t="s">
        <x:v>103</x:v>
      </x:c>
    </x:row>
    <x:row r="4" spans="1:6">
      <x:c r="A4" s="1" t="s">
        <x:v>103</x:v>
      </x:c>
      <x:c r="E4" s="18">
        <x:f>IF(ISBLANK(A4),"",IF(ISNA(VLOOKUP(A4,'2025194'!$B$4:$F$207,5,FALSE)),"",VLOOKUP(A4,'2025194'!$B$4:$F$207,5,FALSE))&amp;"")</x:f>
      </x:c>
      <x:c r="F4" s="0" t="s">
        <x:v>107</x:v>
      </x:c>
    </x:row>
    <x:row r="5" spans="1:6">
      <x:c r="A5" s="1" t="s">
        <x:v>107</x:v>
      </x:c>
      <x:c r="E5" s="18">
        <x:f>IF(ISBLANK(A5),"",IF(ISNA(VLOOKUP(A5,'2025194'!$B$4:$F$207,5,FALSE)),"",VLOOKUP(A5,'2025194'!$B$4:$F$207,5,FALSE))&amp;"")</x:f>
      </x:c>
      <x:c r="F5" s="0" t="s">
        <x:v>111</x:v>
      </x:c>
    </x:row>
    <x:row r="6" spans="1:6">
      <x:c r="A6" s="1" t="s">
        <x:v>111</x:v>
      </x:c>
      <x:c r="E6" s="18">
        <x:f>IF(ISBLANK(A6),"",IF(ISNA(VLOOKUP(A6,'2025194'!$B$4:$F$207,5,FALSE)),"",VLOOKUP(A6,'2025194'!$B$4:$F$207,5,FALSE))&amp;"")</x:f>
      </x:c>
      <x:c r="F6" s="0" t="s">
        <x:v>115</x:v>
      </x:c>
    </x:row>
    <x:row r="7" spans="1:6">
      <x:c r="A7" s="1" t="s">
        <x:v>115</x:v>
      </x:c>
      <x:c r="E7" s="18">
        <x:f>IF(ISBLANK(A7),"",IF(ISNA(VLOOKUP(A7,'2025194'!$B$4:$F$207,5,FALSE)),"",VLOOKUP(A7,'2025194'!$B$4:$F$207,5,FALSE))&amp;"")</x:f>
      </x:c>
      <x:c r="F7" s="0" t="s">
        <x:v>121</x:v>
      </x:c>
    </x:row>
    <x:row r="8" spans="1:6">
      <x:c r="A8" s="1" t="s">
        <x:v>121</x:v>
      </x:c>
      <x:c r="E8" s="18">
        <x:f>IF(ISBLANK(A8),"",IF(ISNA(VLOOKUP(A8,'2025194'!$B$4:$F$207,5,FALSE)),"",VLOOKUP(A8,'2025194'!$B$4:$F$207,5,FALSE))&amp;"")</x:f>
      </x:c>
      <x:c r="F8" s="0" t="s">
        <x:v>125</x:v>
      </x:c>
    </x:row>
    <x:row r="9" spans="1:6">
      <x:c r="A9" s="1" t="s">
        <x:v>125</x:v>
      </x:c>
      <x:c r="E9" s="18">
        <x:f>IF(ISBLANK(A9),"",IF(ISNA(VLOOKUP(A9,'2025194'!$B$4:$F$207,5,FALSE)),"",VLOOKUP(A9,'2025194'!$B$4:$F$207,5,FALSE))&amp;"")</x:f>
      </x:c>
      <x:c r="F9" s="0" t="s">
        <x:v>129</x:v>
      </x:c>
    </x:row>
    <x:row r="10" spans="1:6">
      <x:c r="A10" s="1" t="s">
        <x:v>129</x:v>
      </x:c>
      <x:c r="E10" s="18">
        <x:f>IF(ISBLANK(A10),"",IF(ISNA(VLOOKUP(A10,'2025194'!$B$4:$F$207,5,FALSE)),"",VLOOKUP(A10,'2025194'!$B$4:$F$207,5,FALSE))&amp;"")</x:f>
      </x:c>
      <x:c r="F10" s="0" t="s">
        <x:v>134</x:v>
      </x:c>
    </x:row>
    <x:row r="11" spans="1:6">
      <x:c r="A11" s="1" t="s">
        <x:v>134</x:v>
      </x:c>
      <x:c r="E11" s="18">
        <x:f>IF(ISBLANK(A11),"",IF(ISNA(VLOOKUP(A11,'2025194'!$B$4:$F$207,5,FALSE)),"",VLOOKUP(A11,'2025194'!$B$4:$F$207,5,FALSE))&amp;"")</x:f>
      </x:c>
      <x:c r="F11" s="0" t="s">
        <x:v>139</x:v>
      </x:c>
    </x:row>
    <x:row r="12" spans="1:6">
      <x:c r="A12" s="1" t="s">
        <x:v>139</x:v>
      </x:c>
      <x:c r="E12" s="18">
        <x:f>IF(ISBLANK(A12),"",IF(ISNA(VLOOKUP(A12,'2025194'!$B$4:$F$207,5,FALSE)),"",VLOOKUP(A12,'2025194'!$B$4:$F$207,5,FALSE))&amp;"")</x:f>
      </x:c>
      <x:c r="F12" s="0" t="s">
        <x:v>143</x:v>
      </x:c>
    </x:row>
    <x:row r="13" spans="1:6">
      <x:c r="A13" s="1" t="s">
        <x:v>143</x:v>
      </x:c>
      <x:c r="E13" s="18">
        <x:f>IF(ISBLANK(A13),"",IF(ISNA(VLOOKUP(A13,'2025194'!$B$4:$F$207,5,FALSE)),"",VLOOKUP(A13,'2025194'!$B$4:$F$207,5,FALSE))&amp;"")</x:f>
      </x:c>
      <x:c r="F13" s="0" t="s">
        <x:v>147</x:v>
      </x:c>
    </x:row>
    <x:row r="14" spans="1:6">
      <x:c r="A14" s="1" t="s">
        <x:v>147</x:v>
      </x:c>
      <x:c r="E14" s="18">
        <x:f>IF(ISBLANK(A14),"",IF(ISNA(VLOOKUP(A14,'2025194'!$B$4:$F$207,5,FALSE)),"",VLOOKUP(A14,'2025194'!$B$4:$F$207,5,FALSE))&amp;"")</x:f>
      </x:c>
      <x:c r="F14" s="0" t="s">
        <x:v>155</x:v>
      </x:c>
    </x:row>
    <x:row r="15" spans="1:6">
      <x:c r="A15" s="1" t="s">
        <x:v>155</x:v>
      </x:c>
      <x:c r="E15" s="18">
        <x:f>IF(ISBLANK(A15),"",IF(ISNA(VLOOKUP(A15,'2025194'!$B$4:$F$207,5,FALSE)),"",VLOOKUP(A15,'2025194'!$B$4:$F$207,5,FALSE))&amp;"")</x:f>
      </x:c>
      <x:c r="F15" s="0" t="s">
        <x:v>161</x:v>
      </x:c>
    </x:row>
    <x:row r="16" spans="1:6">
      <x:c r="A16" s="1" t="s">
        <x:v>161</x:v>
      </x:c>
      <x:c r="E16" s="18">
        <x:f>IF(ISBLANK(A16),"",IF(ISNA(VLOOKUP(A16,'2025194'!$B$4:$F$207,5,FALSE)),"",VLOOKUP(A16,'2025194'!$B$4:$F$207,5,FALSE))&amp;"")</x:f>
      </x:c>
      <x:c r="F16" s="0" t="s">
        <x:v>166</x:v>
      </x:c>
    </x:row>
    <x:row r="17" spans="1:6">
      <x:c r="A17" s="1" t="s">
        <x:v>166</x:v>
      </x:c>
      <x:c r="E17" s="18">
        <x:f>IF(ISBLANK(A17),"",IF(ISNA(VLOOKUP(A17,'2025194'!$B$4:$F$207,5,FALSE)),"",VLOOKUP(A17,'2025194'!$B$4:$F$207,5,FALSE))&amp;"")</x:f>
      </x:c>
      <x:c r="F17" s="0" t="s">
        <x:v>170</x:v>
      </x:c>
    </x:row>
    <x:row r="18" spans="1:6">
      <x:c r="A18" s="1" t="s">
        <x:v>170</x:v>
      </x:c>
      <x:c r="E18" s="18">
        <x:f>IF(ISBLANK(A18),"",IF(ISNA(VLOOKUP(A18,'2025194'!$B$4:$F$207,5,FALSE)),"",VLOOKUP(A18,'2025194'!$B$4:$F$207,5,FALSE))&amp;"")</x:f>
      </x:c>
      <x:c r="F18" s="0" t="s">
        <x:v>174</x:v>
      </x:c>
    </x:row>
    <x:row r="19" spans="1:6">
      <x:c r="A19" s="1" t="s">
        <x:v>174</x:v>
      </x:c>
      <x:c r="E19" s="18">
        <x:f>IF(ISBLANK(A19),"",IF(ISNA(VLOOKUP(A19,'2025194'!$B$4:$F$207,5,FALSE)),"",VLOOKUP(A19,'2025194'!$B$4:$F$207,5,FALSE))&amp;"")</x:f>
      </x:c>
      <x:c r="F19" s="0" t="s">
        <x:v>179</x:v>
      </x:c>
    </x:row>
    <x:row r="20" spans="1:6">
      <x:c r="A20" s="1" t="s">
        <x:v>179</x:v>
      </x:c>
      <x:c r="E20" s="18">
        <x:f>IF(ISBLANK(A20),"",IF(ISNA(VLOOKUP(A20,'2025194'!$B$4:$F$207,5,FALSE)),"",VLOOKUP(A20,'2025194'!$B$4:$F$207,5,FALSE))&amp;"")</x:f>
      </x:c>
      <x:c r="F20" s="0" t="s">
        <x:v>183</x:v>
      </x:c>
    </x:row>
    <x:row r="21" spans="1:6">
      <x:c r="A21" s="1" t="s">
        <x:v>183</x:v>
      </x:c>
      <x:c r="E21" s="18">
        <x:f>IF(ISBLANK(A21),"",IF(ISNA(VLOOKUP(A21,'2025194'!$B$4:$F$207,5,FALSE)),"",VLOOKUP(A21,'2025194'!$B$4:$F$207,5,FALSE))&amp;"")</x:f>
      </x:c>
      <x:c r="F21" s="0" t="s">
        <x:v>187</x:v>
      </x:c>
    </x:row>
    <x:row r="22" spans="1:6">
      <x:c r="A22" s="1" t="s">
        <x:v>187</x:v>
      </x:c>
      <x:c r="E22" s="18">
        <x:f>IF(ISBLANK(A22),"",IF(ISNA(VLOOKUP(A22,'2025194'!$B$4:$F$207,5,FALSE)),"",VLOOKUP(A22,'2025194'!$B$4:$F$207,5,FALSE))&amp;"")</x:f>
      </x:c>
      <x:c r="F22" s="0" t="s">
        <x:v>191</x:v>
      </x:c>
    </x:row>
    <x:row r="23" spans="1:6">
      <x:c r="A23" s="1" t="s">
        <x:v>191</x:v>
      </x:c>
      <x:c r="E23" s="18">
        <x:f>IF(ISBLANK(A23),"",IF(ISNA(VLOOKUP(A23,'2025194'!$B$4:$F$207,5,FALSE)),"",VLOOKUP(A23,'2025194'!$B$4:$F$207,5,FALSE))&amp;"")</x:f>
      </x:c>
      <x:c r="F23" s="0" t="s">
        <x:v>196</x:v>
      </x:c>
    </x:row>
    <x:row r="24" spans="1:6">
      <x:c r="A24" s="1" t="s">
        <x:v>196</x:v>
      </x:c>
      <x:c r="E24" s="18">
        <x:f>IF(ISBLANK(A24),"",IF(ISNA(VLOOKUP(A24,'2025194'!$B$4:$F$207,5,FALSE)),"",VLOOKUP(A24,'2025194'!$B$4:$F$207,5,FALSE))&amp;"")</x:f>
      </x:c>
      <x:c r="F24" s="0" t="s">
        <x:v>200</x:v>
      </x:c>
    </x:row>
    <x:row r="25" spans="1:6">
      <x:c r="A25" s="1" t="s">
        <x:v>200</x:v>
      </x:c>
      <x:c r="E25" s="18">
        <x:f>IF(ISBLANK(A25),"",IF(ISNA(VLOOKUP(A25,'2025194'!$B$4:$F$207,5,FALSE)),"",VLOOKUP(A25,'2025194'!$B$4:$F$207,5,FALSE))&amp;"")</x:f>
      </x:c>
      <x:c r="F25" s="0" t="s">
        <x:v>204</x:v>
      </x:c>
    </x:row>
    <x:row r="26" spans="1:6">
      <x:c r="A26" s="1" t="s">
        <x:v>204</x:v>
      </x:c>
      <x:c r="E26" s="18">
        <x:f>IF(ISBLANK(A26),"",IF(ISNA(VLOOKUP(A26,'2025194'!$B$4:$F$207,5,FALSE)),"",VLOOKUP(A26,'2025194'!$B$4:$F$207,5,FALSE))&amp;"")</x:f>
      </x:c>
      <x:c r="F26" s="0" t="s">
        <x:v>208</x:v>
      </x:c>
    </x:row>
    <x:row r="27" spans="1:6">
      <x:c r="A27" s="1" t="s">
        <x:v>208</x:v>
      </x:c>
      <x:c r="E27" s="18">
        <x:f>IF(ISBLANK(A27),"",IF(ISNA(VLOOKUP(A27,'2025194'!$B$4:$F$207,5,FALSE)),"",VLOOKUP(A27,'2025194'!$B$4:$F$207,5,FALSE))&amp;"")</x:f>
      </x:c>
      <x:c r="F27" s="0" t="s">
        <x:v>212</x:v>
      </x:c>
    </x:row>
    <x:row r="28" spans="1:6">
      <x:c r="A28" s="1" t="s">
        <x:v>212</x:v>
      </x:c>
      <x:c r="E28" s="18">
        <x:f>IF(ISBLANK(A28),"",IF(ISNA(VLOOKUP(A28,'2025194'!$B$4:$F$207,5,FALSE)),"",VLOOKUP(A28,'2025194'!$B$4:$F$207,5,FALSE))&amp;"")</x:f>
      </x:c>
      <x:c r="F28" s="0" t="s">
        <x:v>216</x:v>
      </x:c>
    </x:row>
    <x:row r="29" spans="1:6">
      <x:c r="A29" s="1" t="s">
        <x:v>216</x:v>
      </x:c>
      <x:c r="E29" s="18">
        <x:f>IF(ISBLANK(A29),"",IF(ISNA(VLOOKUP(A29,'2025194'!$B$4:$F$207,5,FALSE)),"",VLOOKUP(A29,'2025194'!$B$4:$F$207,5,FALSE))&amp;"")</x:f>
      </x:c>
      <x:c r="F29" s="0" t="s">
        <x:v>220</x:v>
      </x:c>
    </x:row>
    <x:row r="30" spans="1:6">
      <x:c r="A30" s="1" t="s">
        <x:v>220</x:v>
      </x:c>
      <x:c r="E30" s="18">
        <x:f>IF(ISBLANK(A30),"",IF(ISNA(VLOOKUP(A30,'2025194'!$B$4:$F$207,5,FALSE)),"",VLOOKUP(A30,'2025194'!$B$4:$F$207,5,FALSE))&amp;"")</x:f>
      </x:c>
      <x:c r="F30" s="0" t="s">
        <x:v>224</x:v>
      </x:c>
    </x:row>
    <x:row r="31" spans="1:6">
      <x:c r="A31" s="1" t="s">
        <x:v>224</x:v>
      </x:c>
      <x:c r="E31" s="18">
        <x:f>IF(ISBLANK(A31),"",IF(ISNA(VLOOKUP(A31,'2025194'!$B$4:$F$207,5,FALSE)),"",VLOOKUP(A31,'2025194'!$B$4:$F$207,5,FALSE))&amp;"")</x:f>
      </x:c>
      <x:c r="F31" s="0" t="s">
        <x:v>228</x:v>
      </x:c>
    </x:row>
    <x:row r="32" spans="1:6">
      <x:c r="A32" s="1" t="s">
        <x:v>228</x:v>
      </x:c>
      <x:c r="E32" s="18">
        <x:f>IF(ISBLANK(A32),"",IF(ISNA(VLOOKUP(A32,'2025194'!$B$4:$F$207,5,FALSE)),"",VLOOKUP(A32,'2025194'!$B$4:$F$207,5,FALSE))&amp;"")</x:f>
      </x:c>
      <x:c r="F32" s="0" t="s">
        <x:v>232</x:v>
      </x:c>
    </x:row>
    <x:row r="33" spans="1:6">
      <x:c r="A33" s="1" t="s">
        <x:v>232</x:v>
      </x:c>
      <x:c r="E33" s="18">
        <x:f>IF(ISBLANK(A33),"",IF(ISNA(VLOOKUP(A33,'2025194'!$B$4:$F$207,5,FALSE)),"",VLOOKUP(A33,'2025194'!$B$4:$F$207,5,FALSE))&amp;"")</x:f>
      </x:c>
      <x:c r="F33" s="0" t="s">
        <x:v>236</x:v>
      </x:c>
    </x:row>
    <x:row r="34" spans="1:6">
      <x:c r="A34" s="1" t="s">
        <x:v>236</x:v>
      </x:c>
      <x:c r="E34" s="18">
        <x:f>IF(ISBLANK(A34),"",IF(ISNA(VLOOKUP(A34,'2025194'!$B$4:$F$207,5,FALSE)),"",VLOOKUP(A34,'2025194'!$B$4:$F$207,5,FALSE))&amp;"")</x:f>
      </x:c>
      <x:c r="F34" s="0" t="s">
        <x:v>259</x:v>
      </x:c>
    </x:row>
    <x:row r="35" spans="1:6">
      <x:c r="A35" s="1" t="s">
        <x:v>259</x:v>
      </x:c>
      <x:c r="E35" s="18">
        <x:f>IF(ISBLANK(A35),"",IF(ISNA(VLOOKUP(A35,'2025194'!$B$4:$F$207,5,FALSE)),"",VLOOKUP(A35,'2025194'!$B$4:$F$207,5,FALSE))&amp;"")</x:f>
      </x:c>
      <x:c r="F35" s="0" t="s">
        <x:v>264</x:v>
      </x:c>
    </x:row>
    <x:row r="36" spans="1:6">
      <x:c r="A36" s="1" t="s">
        <x:v>264</x:v>
      </x:c>
      <x:c r="E36" s="18">
        <x:f>IF(ISBLANK(A36),"",IF(ISNA(VLOOKUP(A36,'2025194'!$B$4:$F$207,5,FALSE)),"",VLOOKUP(A36,'2025194'!$B$4:$F$207,5,FALSE))&amp;"")</x:f>
      </x:c>
      <x:c r="F36" s="0" t="s">
        <x:v>268</x:v>
      </x:c>
    </x:row>
    <x:row r="37" spans="1:6">
      <x:c r="A37" s="1" t="s">
        <x:v>268</x:v>
      </x:c>
      <x:c r="E37" s="18">
        <x:f>IF(ISBLANK(A37),"",IF(ISNA(VLOOKUP(A37,'2025194'!$B$4:$F$207,5,FALSE)),"",VLOOKUP(A37,'2025194'!$B$4:$F$207,5,FALSE))&amp;"")</x:f>
      </x:c>
      <x:c r="F37" s="0" t="s">
        <x:v>272</x:v>
      </x:c>
    </x:row>
    <x:row r="38" spans="1:6">
      <x:c r="A38" s="1" t="s">
        <x:v>272</x:v>
      </x:c>
      <x:c r="E38" s="18">
        <x:f>IF(ISBLANK(A38),"",IF(ISNA(VLOOKUP(A38,'2025194'!$B$4:$F$207,5,FALSE)),"",VLOOKUP(A38,'2025194'!$B$4:$F$207,5,FALSE))&amp;"")</x:f>
      </x:c>
      <x:c r="F38" s="0" t="s">
        <x:v>276</x:v>
      </x:c>
    </x:row>
    <x:row r="39" spans="1:6">
      <x:c r="A39" s="1" t="s">
        <x:v>276</x:v>
      </x:c>
      <x:c r="E39" s="18">
        <x:f>IF(ISBLANK(A39),"",IF(ISNA(VLOOKUP(A39,'2025194'!$B$4:$F$207,5,FALSE)),"",VLOOKUP(A39,'2025194'!$B$4:$F$207,5,FALSE))&amp;"")</x:f>
      </x:c>
      <x:c r="F39" s="0" t="s">
        <x:v>280</x:v>
      </x:c>
    </x:row>
    <x:row r="40" spans="1:6">
      <x:c r="A40" s="1" t="s">
        <x:v>280</x:v>
      </x:c>
      <x:c r="E40" s="18">
        <x:f>IF(ISBLANK(A40),"",IF(ISNA(VLOOKUP(A40,'2025194'!$B$4:$F$207,5,FALSE)),"",VLOOKUP(A40,'2025194'!$B$4:$F$207,5,FALSE))&amp;"")</x:f>
      </x:c>
      <x:c r="F40" s="0" t="s">
        <x:v>283</x:v>
      </x:c>
    </x:row>
    <x:row r="41" spans="1:6">
      <x:c r="A41" s="1" t="s">
        <x:v>283</x:v>
      </x:c>
      <x:c r="E41" s="18">
        <x:f>IF(ISBLANK(A41),"",IF(ISNA(VLOOKUP(A41,'2025194'!$B$4:$F$207,5,FALSE)),"",VLOOKUP(A41,'2025194'!$B$4:$F$207,5,FALSE))&amp;"")</x:f>
      </x:c>
      <x:c r="F41" s="0" t="s">
        <x:v>287</x:v>
      </x:c>
    </x:row>
    <x:row r="42" spans="1:6">
      <x:c r="A42" s="1" t="s">
        <x:v>287</x:v>
      </x:c>
      <x:c r="E42" s="18">
        <x:f>IF(ISBLANK(A42),"",IF(ISNA(VLOOKUP(A42,'2025194'!$B$4:$F$207,5,FALSE)),"",VLOOKUP(A42,'2025194'!$B$4:$F$207,5,FALSE))&amp;"")</x:f>
      </x:c>
      <x:c r="F42" s="0" t="s">
        <x:v>291</x:v>
      </x:c>
    </x:row>
    <x:row r="43" spans="1:6">
      <x:c r="A43" s="1" t="s">
        <x:v>291</x:v>
      </x:c>
      <x:c r="E43" s="18">
        <x:f>IF(ISBLANK(A43),"",IF(ISNA(VLOOKUP(A43,'2025194'!$B$4:$F$207,5,FALSE)),"",VLOOKUP(A43,'2025194'!$B$4:$F$207,5,FALSE))&amp;"")</x:f>
      </x:c>
      <x:c r="F43" s="0" t="s">
        <x:v>295</x:v>
      </x:c>
    </x:row>
    <x:row r="44" spans="1:6">
      <x:c r="A44" s="1" t="s">
        <x:v>295</x:v>
      </x:c>
      <x:c r="E44" s="18">
        <x:f>IF(ISBLANK(A44),"",IF(ISNA(VLOOKUP(A44,'2025194'!$B$4:$F$207,5,FALSE)),"",VLOOKUP(A44,'2025194'!$B$4:$F$207,5,FALSE))&amp;"")</x:f>
      </x:c>
      <x:c r="F44" s="0" t="s">
        <x:v>299</x:v>
      </x:c>
    </x:row>
    <x:row r="45" spans="1:6">
      <x:c r="A45" s="1" t="s">
        <x:v>299</x:v>
      </x:c>
      <x:c r="E45" s="18">
        <x:f>IF(ISBLANK(A45),"",IF(ISNA(VLOOKUP(A45,'2025194'!$B$4:$F$207,5,FALSE)),"",VLOOKUP(A45,'2025194'!$B$4:$F$207,5,FALSE))&amp;"")</x:f>
      </x:c>
      <x:c r="F45" s="0" t="s">
        <x:v>303</x:v>
      </x:c>
    </x:row>
    <x:row r="46" spans="1:6">
      <x:c r="A46" s="1" t="s">
        <x:v>303</x:v>
      </x:c>
      <x:c r="E46" s="18">
        <x:f>IF(ISBLANK(A46),"",IF(ISNA(VLOOKUP(A46,'2025194'!$B$4:$F$207,5,FALSE)),"",VLOOKUP(A46,'2025194'!$B$4:$F$207,5,FALSE))&amp;"")</x:f>
      </x:c>
      <x:c r="F46" s="0" t="s">
        <x:v>307</x:v>
      </x:c>
    </x:row>
    <x:row r="47" spans="1:6">
      <x:c r="A47" s="1" t="s">
        <x:v>307</x:v>
      </x:c>
      <x:c r="E47" s="18">
        <x:f>IF(ISBLANK(A47),"",IF(ISNA(VLOOKUP(A47,'2025194'!$B$4:$F$207,5,FALSE)),"",VLOOKUP(A47,'2025194'!$B$4:$F$207,5,FALSE))&amp;"")</x:f>
      </x:c>
      <x:c r="F47" s="0" t="s">
        <x:v>311</x:v>
      </x:c>
    </x:row>
    <x:row r="48" spans="1:6">
      <x:c r="A48" s="1" t="s">
        <x:v>311</x:v>
      </x:c>
      <x:c r="E48" s="18">
        <x:f>IF(ISBLANK(A48),"",IF(ISNA(VLOOKUP(A48,'2025194'!$B$4:$F$207,5,FALSE)),"",VLOOKUP(A48,'2025194'!$B$4:$F$207,5,FALSE))&amp;"")</x:f>
      </x:c>
      <x:c r="F48" s="0" t="s">
        <x:v>315</x:v>
      </x:c>
    </x:row>
    <x:row r="49" spans="1:6">
      <x:c r="A49" s="1" t="s">
        <x:v>315</x:v>
      </x:c>
      <x:c r="E49" s="18">
        <x:f>IF(ISBLANK(A49),"",IF(ISNA(VLOOKUP(A49,'2025194'!$B$4:$F$207,5,FALSE)),"",VLOOKUP(A49,'2025194'!$B$4:$F$207,5,FALSE))&amp;"")</x:f>
      </x:c>
      <x:c r="F49" s="0" t="s">
        <x:v>319</x:v>
      </x:c>
    </x:row>
    <x:row r="50" spans="1:6">
      <x:c r="A50" s="1" t="s">
        <x:v>319</x:v>
      </x:c>
      <x:c r="E50" s="18">
        <x:f>IF(ISBLANK(A50),"",IF(ISNA(VLOOKUP(A50,'2025194'!$B$4:$F$207,5,FALSE)),"",VLOOKUP(A50,'2025194'!$B$4:$F$207,5,FALSE))&amp;"")</x:f>
      </x:c>
      <x:c r="F50" s="0" t="s">
        <x:v>323</x:v>
      </x:c>
    </x:row>
    <x:row r="51" spans="1:6">
      <x:c r="A51" s="1" t="s">
        <x:v>323</x:v>
      </x:c>
      <x:c r="E51" s="18">
        <x:f>IF(ISBLANK(A51),"",IF(ISNA(VLOOKUP(A51,'2025194'!$B$4:$F$207,5,FALSE)),"",VLOOKUP(A51,'2025194'!$B$4:$F$207,5,FALSE))&amp;"")</x:f>
      </x:c>
      <x:c r="F51" s="0" t="s">
        <x:v>329</x:v>
      </x:c>
    </x:row>
    <x:row r="52" spans="1:6">
      <x:c r="A52" s="1" t="s">
        <x:v>329</x:v>
      </x:c>
      <x:c r="E52" s="18">
        <x:f>IF(ISBLANK(A52),"",IF(ISNA(VLOOKUP(A52,'2025194'!$B$4:$F$207,5,FALSE)),"",VLOOKUP(A52,'2025194'!$B$4:$F$207,5,FALSE))&amp;"")</x:f>
      </x:c>
      <x:c r="F52" s="0" t="s">
        <x:v>335</x:v>
      </x:c>
    </x:row>
    <x:row r="53" spans="1:6">
      <x:c r="A53" s="1" t="s">
        <x:v>335</x:v>
      </x:c>
      <x:c r="E53" s="18">
        <x:f>IF(ISBLANK(A53),"",IF(ISNA(VLOOKUP(A53,'2025194'!$B$4:$F$207,5,FALSE)),"",VLOOKUP(A53,'2025194'!$B$4:$F$207,5,FALSE))&amp;"")</x:f>
      </x:c>
      <x:c r="F53" s="0" t="s">
        <x:v>340</x:v>
      </x:c>
    </x:row>
    <x:row r="54" spans="1:6">
      <x:c r="A54" s="1" t="s">
        <x:v>340</x:v>
      </x:c>
      <x:c r="E54" s="18">
        <x:f>IF(ISBLANK(A54),"",IF(ISNA(VLOOKUP(A54,'2025194'!$B$4:$F$207,5,FALSE)),"",VLOOKUP(A54,'2025194'!$B$4:$F$207,5,FALSE))&amp;"")</x:f>
      </x:c>
      <x:c r="F54" s="0" t="s">
        <x:v>344</x:v>
      </x:c>
    </x:row>
    <x:row r="55" spans="1:6">
      <x:c r="A55" s="1" t="s">
        <x:v>344</x:v>
      </x:c>
      <x:c r="E55" s="18">
        <x:f>IF(ISBLANK(A55),"",IF(ISNA(VLOOKUP(A55,'2025194'!$B$4:$F$207,5,FALSE)),"",VLOOKUP(A55,'2025194'!$B$4:$F$207,5,FALSE))&amp;"")</x:f>
      </x:c>
      <x:c r="F55" s="0" t="s">
        <x:v>348</x:v>
      </x:c>
    </x:row>
    <x:row r="56" spans="1:6">
      <x:c r="A56" s="1" t="s">
        <x:v>348</x:v>
      </x:c>
      <x:c r="E56" s="18">
        <x:f>IF(ISBLANK(A56),"",IF(ISNA(VLOOKUP(A56,'2025194'!$B$4:$F$207,5,FALSE)),"",VLOOKUP(A56,'2025194'!$B$4:$F$207,5,FALSE))&amp;"")</x:f>
      </x:c>
      <x:c r="F56" s="0" t="s">
        <x:v>358</x:v>
      </x:c>
    </x:row>
    <x:row r="57" spans="1:6">
      <x:c r="A57" s="1" t="s">
        <x:v>358</x:v>
      </x:c>
      <x:c r="E57" s="18">
        <x:f>IF(ISBLANK(A57),"",IF(ISNA(VLOOKUP(A57,'2025194'!$B$4:$F$207,5,FALSE)),"",VLOOKUP(A57,'2025194'!$B$4:$F$207,5,FALSE))&amp;"")</x:f>
      </x:c>
      <x:c r="F57" s="0" t="s">
        <x:v>362</x:v>
      </x:c>
    </x:row>
    <x:row r="58" spans="1:6">
      <x:c r="A58" s="1" t="s">
        <x:v>362</x:v>
      </x:c>
      <x:c r="E58" s="18">
        <x:f>IF(ISBLANK(A58),"",IF(ISNA(VLOOKUP(A58,'2025194'!$B$4:$F$207,5,FALSE)),"",VLOOKUP(A58,'2025194'!$B$4:$F$207,5,FALSE))&amp;"")</x:f>
      </x:c>
      <x:c r="F58" s="0" t="s">
        <x:v>366</x:v>
      </x:c>
    </x:row>
    <x:row r="59" spans="1:6">
      <x:c r="A59" s="1" t="s">
        <x:v>366</x:v>
      </x:c>
      <x:c r="E59" s="18">
        <x:f>IF(ISBLANK(A59),"",IF(ISNA(VLOOKUP(A59,'2025194'!$B$4:$F$207,5,FALSE)),"",VLOOKUP(A59,'2025194'!$B$4:$F$207,5,FALSE))&amp;"")</x:f>
      </x:c>
      <x:c r="F59" s="0" t="s">
        <x:v>370</x:v>
      </x:c>
    </x:row>
    <x:row r="60" spans="1:6">
      <x:c r="A60" s="1" t="s">
        <x:v>370</x:v>
      </x:c>
      <x:c r="E60" s="18">
        <x:f>IF(ISBLANK(A60),"",IF(ISNA(VLOOKUP(A60,'2025194'!$B$4:$F$207,5,FALSE)),"",VLOOKUP(A60,'2025194'!$B$4:$F$207,5,FALSE))&amp;"")</x:f>
      </x:c>
      <x:c r="F60" s="0" t="s">
        <x:v>374</x:v>
      </x:c>
    </x:row>
    <x:row r="61" spans="1:6">
      <x:c r="A61" s="1" t="s">
        <x:v>374</x:v>
      </x:c>
      <x:c r="E61" s="18">
        <x:f>IF(ISBLANK(A61),"",IF(ISNA(VLOOKUP(A61,'2025194'!$B$4:$F$207,5,FALSE)),"",VLOOKUP(A61,'2025194'!$B$4:$F$207,5,FALSE))&amp;"")</x:f>
      </x:c>
      <x:c r="F61" s="0" t="s">
        <x:v>378</x:v>
      </x:c>
    </x:row>
    <x:row r="62" spans="1:6">
      <x:c r="A62" s="1" t="s">
        <x:v>378</x:v>
      </x:c>
      <x:c r="E62" s="18">
        <x:f>IF(ISBLANK(A62),"",IF(ISNA(VLOOKUP(A62,'2025194'!$B$4:$F$207,5,FALSE)),"",VLOOKUP(A62,'2025194'!$B$4:$F$207,5,FALSE))&amp;"")</x:f>
      </x:c>
      <x:c r="F62" s="0" t="s">
        <x:v>382</x:v>
      </x:c>
    </x:row>
    <x:row r="63" spans="1:6">
      <x:c r="A63" s="1" t="s">
        <x:v>382</x:v>
      </x:c>
      <x:c r="E63" s="18">
        <x:f>IF(ISBLANK(A63),"",IF(ISNA(VLOOKUP(A63,'2025194'!$B$4:$F$207,5,FALSE)),"",VLOOKUP(A63,'2025194'!$B$4:$F$207,5,FALSE))&amp;"")</x:f>
      </x:c>
      <x:c r="F63" s="0" t="s">
        <x:v>386</x:v>
      </x:c>
    </x:row>
    <x:row r="64" spans="1:6">
      <x:c r="A64" s="1" t="s">
        <x:v>386</x:v>
      </x:c>
      <x:c r="E64" s="18">
        <x:f>IF(ISBLANK(A64),"",IF(ISNA(VLOOKUP(A64,'2025194'!$B$4:$F$207,5,FALSE)),"",VLOOKUP(A64,'2025194'!$B$4:$F$207,5,FALSE))&amp;"")</x:f>
      </x:c>
      <x:c r="F64" s="0" t="s">
        <x:v>390</x:v>
      </x:c>
    </x:row>
    <x:row r="65" spans="1:6">
      <x:c r="A65" s="1" t="s">
        <x:v>390</x:v>
      </x:c>
      <x:c r="E65" s="18">
        <x:f>IF(ISBLANK(A65),"",IF(ISNA(VLOOKUP(A65,'2025194'!$B$4:$F$207,5,FALSE)),"",VLOOKUP(A65,'2025194'!$B$4:$F$207,5,FALSE))&amp;"")</x:f>
      </x:c>
      <x:c r="F65" s="0" t="s">
        <x:v>394</x:v>
      </x:c>
    </x:row>
    <x:row r="66" spans="1:6">
      <x:c r="A66" s="1" t="s">
        <x:v>394</x:v>
      </x:c>
      <x:c r="E66" s="18">
        <x:f>IF(ISBLANK(A66),"",IF(ISNA(VLOOKUP(A66,'2025194'!$B$4:$F$207,5,FALSE)),"",VLOOKUP(A66,'2025194'!$B$4:$F$207,5,FALSE))&amp;"")</x:f>
      </x:c>
      <x:c r="F66" s="0" t="s">
        <x:v>398</x:v>
      </x:c>
    </x:row>
    <x:row r="67" spans="1:6">
      <x:c r="A67" s="1" t="s">
        <x:v>398</x:v>
      </x:c>
      <x:c r="E67" s="18">
        <x:f>IF(ISBLANK(A67),"",IF(ISNA(VLOOKUP(A67,'2025194'!$B$4:$F$207,5,FALSE)),"",VLOOKUP(A67,'2025194'!$B$4:$F$207,5,FALSE))&amp;"")</x:f>
      </x:c>
      <x:c r="F67" s="0" t="s">
        <x:v>402</x:v>
      </x:c>
    </x:row>
    <x:row r="68" spans="1:6">
      <x:c r="A68" s="1" t="s">
        <x:v>402</x:v>
      </x:c>
      <x:c r="E68" s="18">
        <x:f>IF(ISBLANK(A68),"",IF(ISNA(VLOOKUP(A68,'2025194'!$B$4:$F$207,5,FALSE)),"",VLOOKUP(A68,'2025194'!$B$4:$F$207,5,FALSE))&amp;"")</x:f>
      </x:c>
      <x:c r="F68" s="0" t="s">
        <x:v>406</x:v>
      </x:c>
    </x:row>
    <x:row r="69" spans="1:6">
      <x:c r="A69" s="1" t="s">
        <x:v>406</x:v>
      </x:c>
      <x:c r="E69" s="18">
        <x:f>IF(ISBLANK(A69),"",IF(ISNA(VLOOKUP(A69,'2025194'!$B$4:$F$207,5,FALSE)),"",VLOOKUP(A69,'2025194'!$B$4:$F$207,5,FALSE))&amp;"")</x:f>
      </x:c>
      <x:c r="F69" s="0" t="s">
        <x:v>410</x:v>
      </x:c>
    </x:row>
    <x:row r="70" spans="1:6">
      <x:c r="A70" s="1" t="s">
        <x:v>410</x:v>
      </x:c>
      <x:c r="E70" s="18">
        <x:f>IF(ISBLANK(A70),"",IF(ISNA(VLOOKUP(A70,'2025194'!$B$4:$F$207,5,FALSE)),"",VLOOKUP(A70,'2025194'!$B$4:$F$207,5,FALSE))&amp;"")</x:f>
      </x:c>
      <x:c r="F70" s="0" t="s">
        <x:v>414</x:v>
      </x:c>
    </x:row>
    <x:row r="71" spans="1:6">
      <x:c r="A71" s="1" t="s">
        <x:v>414</x:v>
      </x:c>
      <x:c r="E71" s="18">
        <x:f>IF(ISBLANK(A71),"",IF(ISNA(VLOOKUP(A71,'2025194'!$B$4:$F$207,5,FALSE)),"",VLOOKUP(A71,'2025194'!$B$4:$F$207,5,FALSE))&amp;"")</x:f>
      </x:c>
      <x:c r="F71" s="0" t="s">
        <x:v>418</x:v>
      </x:c>
    </x:row>
    <x:row r="72" spans="1:6">
      <x:c r="A72" s="1" t="s">
        <x:v>418</x:v>
      </x:c>
      <x:c r="E72" s="18">
        <x:f>IF(ISBLANK(A72),"",IF(ISNA(VLOOKUP(A72,'2025194'!$B$4:$F$207,5,FALSE)),"",VLOOKUP(A72,'2025194'!$B$4:$F$207,5,FALSE))&amp;"")</x:f>
      </x:c>
      <x:c r="F72" s="0" t="s">
        <x:v>422</x:v>
      </x:c>
    </x:row>
    <x:row r="73" spans="1:6">
      <x:c r="A73" s="1" t="s">
        <x:v>422</x:v>
      </x:c>
      <x:c r="E73" s="18">
        <x:f>IF(ISBLANK(A73),"",IF(ISNA(VLOOKUP(A73,'2025194'!$B$4:$F$207,5,FALSE)),"",VLOOKUP(A73,'2025194'!$B$4:$F$207,5,FALSE))&amp;"")</x:f>
      </x:c>
      <x:c r="F73" s="0" t="s">
        <x:v>426</x:v>
      </x:c>
    </x:row>
    <x:row r="74" spans="1:6">
      <x:c r="A74" s="1" t="s">
        <x:v>426</x:v>
      </x:c>
      <x:c r="E74" s="18">
        <x:f>IF(ISBLANK(A74),"",IF(ISNA(VLOOKUP(A74,'2025194'!$B$4:$F$207,5,FALSE)),"",VLOOKUP(A74,'2025194'!$B$4:$F$207,5,FALSE))&amp;"")</x:f>
      </x:c>
      <x:c r="F74" s="0" t="s">
        <x:v>430</x:v>
      </x:c>
    </x:row>
    <x:row r="75" spans="1:6">
      <x:c r="A75" s="1" t="s">
        <x:v>430</x:v>
      </x:c>
      <x:c r="E75" s="18">
        <x:f>IF(ISBLANK(A75),"",IF(ISNA(VLOOKUP(A75,'2025194'!$B$4:$F$207,5,FALSE)),"",VLOOKUP(A75,'2025194'!$B$4:$F$207,5,FALSE))&amp;"")</x:f>
      </x:c>
      <x:c r="F75" s="0" t="s">
        <x:v>439</x:v>
      </x:c>
    </x:row>
    <x:row r="76" spans="1:6">
      <x:c r="A76" s="1" t="s">
        <x:v>439</x:v>
      </x:c>
      <x:c r="E76" s="18">
        <x:f>IF(ISBLANK(A76),"",IF(ISNA(VLOOKUP(A76,'2025194'!$B$4:$F$207,5,FALSE)),"",VLOOKUP(A76,'2025194'!$B$4:$F$207,5,FALSE))&amp;"")</x:f>
      </x:c>
      <x:c r="F76" s="0" t="s">
        <x:v>444</x:v>
      </x:c>
    </x:row>
    <x:row r="77" spans="1:6">
      <x:c r="A77" s="1" t="s">
        <x:v>444</x:v>
      </x:c>
      <x:c r="E77" s="18">
        <x:f>IF(ISBLANK(A77),"",IF(ISNA(VLOOKUP(A77,'2025194'!$B$4:$F$207,5,FALSE)),"",VLOOKUP(A77,'2025194'!$B$4:$F$207,5,FALSE))&amp;"")</x:f>
      </x:c>
      <x:c r="F77" s="0" t="s">
        <x:v>448</x:v>
      </x:c>
    </x:row>
    <x:row r="78" spans="1:6">
      <x:c r="A78" s="1" t="s">
        <x:v>448</x:v>
      </x:c>
      <x:c r="E78" s="18">
        <x:f>IF(ISBLANK(A78),"",IF(ISNA(VLOOKUP(A78,'2025194'!$B$4:$F$207,5,FALSE)),"",VLOOKUP(A78,'2025194'!$B$4:$F$207,5,FALSE))&amp;"")</x:f>
      </x:c>
      <x:c r="F78" s="0" t="s">
        <x:v>451</x:v>
      </x:c>
    </x:row>
    <x:row r="79" spans="1:6">
      <x:c r="A79" s="1" t="s">
        <x:v>451</x:v>
      </x:c>
      <x:c r="E79" s="18">
        <x:f>IF(ISBLANK(A79),"",IF(ISNA(VLOOKUP(A79,'2025194'!$B$4:$F$207,5,FALSE)),"",VLOOKUP(A79,'2025194'!$B$4:$F$207,5,FALSE))&amp;"")</x:f>
      </x:c>
      <x:c r="F79" s="0" t="s">
        <x:v>455</x:v>
      </x:c>
    </x:row>
    <x:row r="80" spans="1:6">
      <x:c r="A80" s="1" t="s">
        <x:v>455</x:v>
      </x:c>
      <x:c r="E80" s="18">
        <x:f>IF(ISBLANK(A80),"",IF(ISNA(VLOOKUP(A80,'2025194'!$B$4:$F$207,5,FALSE)),"",VLOOKUP(A80,'2025194'!$B$4:$F$207,5,FALSE))&amp;"")</x:f>
      </x:c>
      <x:c r="F80" s="0" t="s">
        <x:v>459</x:v>
      </x:c>
    </x:row>
    <x:row r="81" spans="1:6">
      <x:c r="A81" s="1" t="s">
        <x:v>459</x:v>
      </x:c>
      <x:c r="E81" s="18">
        <x:f>IF(ISBLANK(A81),"",IF(ISNA(VLOOKUP(A81,'2025194'!$B$4:$F$207,5,FALSE)),"",VLOOKUP(A81,'2025194'!$B$4:$F$207,5,FALSE))&amp;"")</x:f>
      </x:c>
      <x:c r="F81" s="0" t="s">
        <x:v>463</x:v>
      </x:c>
    </x:row>
    <x:row r="82" spans="1:6">
      <x:c r="A82" s="1" t="s">
        <x:v>463</x:v>
      </x:c>
      <x:c r="E82" s="18">
        <x:f>IF(ISBLANK(A82),"",IF(ISNA(VLOOKUP(A82,'2025194'!$B$4:$F$207,5,FALSE)),"",VLOOKUP(A82,'2025194'!$B$4:$F$207,5,FALSE))&amp;"")</x:f>
      </x:c>
      <x:c r="F82" s="0" t="s">
        <x:v>467</x:v>
      </x:c>
    </x:row>
    <x:row r="83" spans="1:6">
      <x:c r="A83" s="1" t="s">
        <x:v>467</x:v>
      </x:c>
      <x:c r="E83" s="18">
        <x:f>IF(ISBLANK(A83),"",IF(ISNA(VLOOKUP(A83,'2025194'!$B$4:$F$207,5,FALSE)),"",VLOOKUP(A83,'2025194'!$B$4:$F$207,5,FALSE))&amp;"")</x:f>
      </x:c>
      <x:c r="F83" s="0" t="s">
        <x:v>471</x:v>
      </x:c>
    </x:row>
    <x:row r="84" spans="1:6">
      <x:c r="A84" s="1" t="s">
        <x:v>471</x:v>
      </x:c>
      <x:c r="E84" s="18">
        <x:f>IF(ISBLANK(A84),"",IF(ISNA(VLOOKUP(A84,'2025194'!$B$4:$F$207,5,FALSE)),"",VLOOKUP(A84,'2025194'!$B$4:$F$207,5,FALSE))&amp;"")</x:f>
      </x:c>
      <x:c r="F84" s="0" t="s">
        <x:v>475</x:v>
      </x:c>
    </x:row>
    <x:row r="85" spans="1:6">
      <x:c r="A85" s="1" t="s">
        <x:v>475</x:v>
      </x:c>
      <x:c r="E85" s="18">
        <x:f>IF(ISBLANK(A85),"",IF(ISNA(VLOOKUP(A85,'2025194'!$B$4:$F$207,5,FALSE)),"",VLOOKUP(A85,'2025194'!$B$4:$F$207,5,FALSE))&amp;"")</x:f>
      </x:c>
      <x:c r="F85" s="0" t="s">
        <x:v>479</x:v>
      </x:c>
    </x:row>
    <x:row r="86" spans="1:6">
      <x:c r="A86" s="1" t="s">
        <x:v>479</x:v>
      </x:c>
      <x:c r="E86" s="18">
        <x:f>IF(ISBLANK(A86),"",IF(ISNA(VLOOKUP(A86,'2025194'!$B$4:$F$207,5,FALSE)),"",VLOOKUP(A86,'2025194'!$B$4:$F$207,5,FALSE))&amp;"")</x:f>
      </x:c>
      <x:c r="F86" s="0" t="s">
        <x:v>483</x:v>
      </x:c>
    </x:row>
    <x:row r="87" spans="1:6">
      <x:c r="A87" s="1" t="s">
        <x:v>483</x:v>
      </x:c>
      <x:c r="E87" s="18">
        <x:f>IF(ISBLANK(A87),"",IF(ISNA(VLOOKUP(A87,'2025194'!$B$4:$F$207,5,FALSE)),"",VLOOKUP(A87,'2025194'!$B$4:$F$207,5,FALSE))&amp;"")</x:f>
      </x:c>
      <x:c r="F87" s="0" t="s">
        <x:v>487</x:v>
      </x:c>
    </x:row>
    <x:row r="88" spans="1:6">
      <x:c r="A88" s="1" t="s">
        <x:v>487</x:v>
      </x:c>
      <x:c r="E88" s="18">
        <x:f>IF(ISBLANK(A88),"",IF(ISNA(VLOOKUP(A88,'2025194'!$B$4:$F$207,5,FALSE)),"",VLOOKUP(A88,'2025194'!$B$4:$F$207,5,FALSE))&amp;"")</x:f>
      </x:c>
      <x:c r="F88" s="0" t="s">
        <x:v>491</x:v>
      </x:c>
    </x:row>
    <x:row r="89" spans="1:6">
      <x:c r="A89" s="1" t="s">
        <x:v>491</x:v>
      </x:c>
      <x:c r="E89" s="18">
        <x:f>IF(ISBLANK(A89),"",IF(ISNA(VLOOKUP(A89,'2025194'!$B$4:$F$207,5,FALSE)),"",VLOOKUP(A89,'2025194'!$B$4:$F$207,5,FALSE))&amp;"")</x:f>
      </x:c>
      <x:c r="F89" s="0" t="s">
        <x:v>495</x:v>
      </x:c>
    </x:row>
    <x:row r="90" spans="1:6">
      <x:c r="A90" s="1" t="s">
        <x:v>495</x:v>
      </x:c>
      <x:c r="E90" s="18">
        <x:f>IF(ISBLANK(A90),"",IF(ISNA(VLOOKUP(A90,'2025194'!$B$4:$F$207,5,FALSE)),"",VLOOKUP(A90,'2025194'!$B$4:$F$207,5,FALSE))&amp;"")</x:f>
      </x:c>
      <x:c r="F90" s="0" t="s">
        <x:v>499</x:v>
      </x:c>
    </x:row>
    <x:row r="91" spans="1:6">
      <x:c r="A91" s="1" t="s">
        <x:v>499</x:v>
      </x:c>
      <x:c r="E91" s="18">
        <x:f>IF(ISBLANK(A91),"",IF(ISNA(VLOOKUP(A91,'2025194'!$B$4:$F$207,5,FALSE)),"",VLOOKUP(A91,'2025194'!$B$4:$F$207,5,FALSE))&amp;"")</x:f>
      </x:c>
      <x:c r="F91" s="0" t="s">
        <x:v>503</x:v>
      </x:c>
    </x:row>
    <x:row r="92" spans="1:6">
      <x:c r="A92" s="1" t="s">
        <x:v>503</x:v>
      </x:c>
      <x:c r="E92" s="18">
        <x:f>IF(ISBLANK(A92),"",IF(ISNA(VLOOKUP(A92,'2025194'!$B$4:$F$207,5,FALSE)),"",VLOOKUP(A92,'2025194'!$B$4:$F$207,5,FALSE))&amp;"")</x:f>
      </x:c>
      <x:c r="F92" s="0" t="s">
        <x:v>507</x:v>
      </x:c>
    </x:row>
    <x:row r="93" spans="1:6">
      <x:c r="A93" s="1" t="s">
        <x:v>507</x:v>
      </x:c>
      <x:c r="E93" s="18">
        <x:f>IF(ISBLANK(A93),"",IF(ISNA(VLOOKUP(A93,'2025194'!$B$4:$F$207,5,FALSE)),"",VLOOKUP(A93,'2025194'!$B$4:$F$207,5,FALSE))&amp;"")</x:f>
      </x:c>
      <x:c r="F93" s="0" t="s">
        <x:v>511</x:v>
      </x:c>
    </x:row>
    <x:row r="94" spans="1:6">
      <x:c r="A94" s="1" t="s">
        <x:v>511</x:v>
      </x:c>
      <x:c r="E94" s="18">
        <x:f>IF(ISBLANK(A94),"",IF(ISNA(VLOOKUP(A94,'2025194'!$B$4:$F$207,5,FALSE)),"",VLOOKUP(A94,'2025194'!$B$4:$F$207,5,FALSE))&amp;"")</x:f>
      </x:c>
      <x:c r="F94" s="0" t="s">
        <x:v>521</x:v>
      </x:c>
    </x:row>
    <x:row r="95" spans="1:6">
      <x:c r="A95" s="1" t="s">
        <x:v>521</x:v>
      </x:c>
      <x:c r="E95" s="18">
        <x:f>IF(ISBLANK(A95),"",IF(ISNA(VLOOKUP(A95,'2025194'!$B$4:$F$207,5,FALSE)),"",VLOOKUP(A95,'2025194'!$B$4:$F$207,5,FALSE))&amp;"")</x:f>
      </x:c>
      <x:c r="F95" s="0" t="s">
        <x:v>525</x:v>
      </x:c>
    </x:row>
    <x:row r="96" spans="1:6">
      <x:c r="A96" s="1" t="s">
        <x:v>525</x:v>
      </x:c>
      <x:c r="E96" s="18">
        <x:f>IF(ISBLANK(A96),"",IF(ISNA(VLOOKUP(A96,'2025194'!$B$4:$F$207,5,FALSE)),"",VLOOKUP(A96,'2025194'!$B$4:$F$207,5,FALSE))&amp;"")</x:f>
      </x:c>
      <x:c r="F96" s="0" t="s">
        <x:v>529</x:v>
      </x:c>
    </x:row>
    <x:row r="97" spans="1:6">
      <x:c r="A97" s="1" t="s">
        <x:v>529</x:v>
      </x:c>
      <x:c r="E97" s="18">
        <x:f>IF(ISBLANK(A97),"",IF(ISNA(VLOOKUP(A97,'2025194'!$B$4:$F$207,5,FALSE)),"",VLOOKUP(A97,'2025194'!$B$4:$F$207,5,FALSE))&amp;"")</x:f>
      </x:c>
      <x:c r="F97" s="0" t="s">
        <x:v>533</x:v>
      </x:c>
    </x:row>
    <x:row r="98" spans="1:6">
      <x:c r="A98" s="1" t="s">
        <x:v>533</x:v>
      </x:c>
      <x:c r="E98" s="18">
        <x:f>IF(ISBLANK(A98),"",IF(ISNA(VLOOKUP(A98,'2025194'!$B$4:$F$207,5,FALSE)),"",VLOOKUP(A98,'2025194'!$B$4:$F$207,5,FALSE))&amp;"")</x:f>
      </x:c>
      <x:c r="F98" s="0" t="s">
        <x:v>537</x:v>
      </x:c>
    </x:row>
    <x:row r="99" spans="1:6">
      <x:c r="A99" s="1" t="s">
        <x:v>537</x:v>
      </x:c>
      <x:c r="E99" s="18">
        <x:f>IF(ISBLANK(A99),"",IF(ISNA(VLOOKUP(A99,'2025194'!$B$4:$F$207,5,FALSE)),"",VLOOKUP(A99,'2025194'!$B$4:$F$207,5,FALSE))&amp;"")</x:f>
      </x:c>
      <x:c r="F99" s="0" t="s">
        <x:v>541</x:v>
      </x:c>
    </x:row>
    <x:row r="100" spans="1:6">
      <x:c r="A100" s="1" t="s">
        <x:v>541</x:v>
      </x:c>
      <x:c r="E100" s="18">
        <x:f>IF(ISBLANK(A100),"",IF(ISNA(VLOOKUP(A100,'2025194'!$B$4:$F$207,5,FALSE)),"",VLOOKUP(A100,'2025194'!$B$4:$F$207,5,FALSE))&amp;"")</x:f>
      </x:c>
      <x:c r="F100" s="0" t="s">
        <x:v>545</x:v>
      </x:c>
    </x:row>
    <x:row r="101" spans="1:6">
      <x:c r="A101" s="1" t="s">
        <x:v>545</x:v>
      </x:c>
      <x:c r="E101" s="18">
        <x:f>IF(ISBLANK(A101),"",IF(ISNA(VLOOKUP(A101,'2025194'!$B$4:$F$207,5,FALSE)),"",VLOOKUP(A101,'2025194'!$B$4:$F$207,5,FALSE))&amp;"")</x:f>
      </x:c>
      <x:c r="F101" s="0" t="s">
        <x:v>549</x:v>
      </x:c>
    </x:row>
    <x:row r="102" spans="1:6">
      <x:c r="A102" s="1" t="s">
        <x:v>549</x:v>
      </x:c>
      <x:c r="E102" s="18">
        <x:f>IF(ISBLANK(A102),"",IF(ISNA(VLOOKUP(A102,'2025194'!$B$4:$F$207,5,FALSE)),"",VLOOKUP(A102,'2025194'!$B$4:$F$207,5,FALSE))&amp;"")</x:f>
      </x:c>
      <x:c r="F102" s="0" t="s">
        <x:v>553</x:v>
      </x:c>
    </x:row>
    <x:row r="103" spans="1:6">
      <x:c r="A103" s="1" t="s">
        <x:v>553</x:v>
      </x:c>
      <x:c r="E103" s="18">
        <x:f>IF(ISBLANK(A103),"",IF(ISNA(VLOOKUP(A103,'2025194'!$B$4:$F$207,5,FALSE)),"",VLOOKUP(A103,'2025194'!$B$4:$F$207,5,FALSE))&amp;"")</x:f>
      </x:c>
      <x:c r="F103" s="0" t="s">
        <x:v>557</x:v>
      </x:c>
    </x:row>
    <x:row r="104" spans="1:6">
      <x:c r="A104" s="1" t="s">
        <x:v>557</x:v>
      </x:c>
      <x:c r="E104" s="18">
        <x:f>IF(ISBLANK(A104),"",IF(ISNA(VLOOKUP(A104,'2025194'!$B$4:$F$207,5,FALSE)),"",VLOOKUP(A104,'2025194'!$B$4:$F$207,5,FALSE))&amp;"")</x:f>
      </x:c>
      <x:c r="F104" s="0" t="s">
        <x:v>561</x:v>
      </x:c>
    </x:row>
    <x:row r="105" spans="1:6">
      <x:c r="A105" s="1" t="s">
        <x:v>561</x:v>
      </x:c>
      <x:c r="E105" s="18">
        <x:f>IF(ISBLANK(A105),"",IF(ISNA(VLOOKUP(A105,'2025194'!$B$4:$F$207,5,FALSE)),"",VLOOKUP(A105,'2025194'!$B$4:$F$207,5,FALSE))&amp;"")</x:f>
      </x:c>
      <x:c r="F105" s="0" t="s">
        <x:v>565</x:v>
      </x:c>
    </x:row>
    <x:row r="106" spans="1:6">
      <x:c r="A106" s="1" t="s">
        <x:v>565</x:v>
      </x:c>
      <x:c r="E106" s="18">
        <x:f>IF(ISBLANK(A106),"",IF(ISNA(VLOOKUP(A106,'2025194'!$B$4:$F$207,5,FALSE)),"",VLOOKUP(A106,'2025194'!$B$4:$F$207,5,FALSE))&amp;"")</x:f>
      </x:c>
      <x:c r="F106" s="0" t="s">
        <x:v>569</x:v>
      </x:c>
    </x:row>
    <x:row r="107" spans="1:6">
      <x:c r="A107" s="1" t="s">
        <x:v>569</x:v>
      </x:c>
      <x:c r="E107" s="18">
        <x:f>IF(ISBLANK(A107),"",IF(ISNA(VLOOKUP(A107,'2025194'!$B$4:$F$207,5,FALSE)),"",VLOOKUP(A107,'2025194'!$B$4:$F$207,5,FALSE))&amp;"")</x:f>
      </x:c>
      <x:c r="F107" s="0" t="s">
        <x:v>573</x:v>
      </x:c>
    </x:row>
    <x:row r="108" spans="1:6">
      <x:c r="A108" s="1" t="s">
        <x:v>573</x:v>
      </x:c>
      <x:c r="E108" s="18">
        <x:f>IF(ISBLANK(A108),"",IF(ISNA(VLOOKUP(A108,'2025194'!$B$4:$F$207,5,FALSE)),"",VLOOKUP(A108,'2025194'!$B$4:$F$207,5,FALSE))&amp;"")</x:f>
      </x:c>
      <x:c r="F108" s="0" t="s">
        <x:v>577</x:v>
      </x:c>
    </x:row>
    <x:row r="109" spans="1:6">
      <x:c r="A109" s="1" t="s">
        <x:v>577</x:v>
      </x:c>
      <x:c r="E109" s="18">
        <x:f>IF(ISBLANK(A109),"",IF(ISNA(VLOOKUP(A109,'2025194'!$B$4:$F$207,5,FALSE)),"",VLOOKUP(A109,'2025194'!$B$4:$F$207,5,FALSE))&amp;"")</x:f>
      </x:c>
      <x:c r="F109" s="0" t="s">
        <x:v>581</x:v>
      </x:c>
    </x:row>
    <x:row r="110" spans="1:6">
      <x:c r="A110" s="1" t="s">
        <x:v>581</x:v>
      </x:c>
      <x:c r="E110" s="18">
        <x:f>IF(ISBLANK(A110),"",IF(ISNA(VLOOKUP(A110,'2025194'!$B$4:$F$207,5,FALSE)),"",VLOOKUP(A110,'2025194'!$B$4:$F$207,5,FALSE))&amp;"")</x:f>
      </x:c>
      <x:c r="F110" s="0" t="s">
        <x:v>585</x:v>
      </x:c>
    </x:row>
    <x:row r="111" spans="1:6">
      <x:c r="A111" s="1" t="s">
        <x:v>585</x:v>
      </x:c>
      <x:c r="E111" s="18">
        <x:f>IF(ISBLANK(A111),"",IF(ISNA(VLOOKUP(A111,'2025194'!$B$4:$F$207,5,FALSE)),"",VLOOKUP(A111,'2025194'!$B$4:$F$207,5,FALSE))&amp;"")</x:f>
      </x:c>
      <x:c r="F111" s="0" t="s">
        <x:v>589</x:v>
      </x:c>
    </x:row>
    <x:row r="112" spans="1:6">
      <x:c r="A112" s="1" t="s">
        <x:v>589</x:v>
      </x:c>
      <x:c r="E112" s="18">
        <x:f>IF(ISBLANK(A112),"",IF(ISNA(VLOOKUP(A112,'2025194'!$B$4:$F$207,5,FALSE)),"",VLOOKUP(A112,'2025194'!$B$4:$F$207,5,FALSE))&amp;"")</x:f>
      </x:c>
      <x:c r="F112" s="0" t="s">
        <x:v>593</x:v>
      </x:c>
    </x:row>
    <x:row r="113" spans="1:6">
      <x:c r="A113" s="1" t="s">
        <x:v>593</x:v>
      </x:c>
      <x:c r="E113" s="18">
        <x:f>IF(ISBLANK(A113),"",IF(ISNA(VLOOKUP(A113,'2025194'!$B$4:$F$207,5,FALSE)),"",VLOOKUP(A113,'2025194'!$B$4:$F$207,5,FALSE))&amp;"")</x:f>
      </x:c>
      <x:c r="F113" s="0" t="s">
        <x:v>597</x:v>
      </x:c>
    </x:row>
    <x:row r="114" spans="1:6">
      <x:c r="A114" s="1" t="s">
        <x:v>597</x:v>
      </x:c>
      <x:c r="E114" s="18">
        <x:f>IF(ISBLANK(A114),"",IF(ISNA(VLOOKUP(A114,'2025194'!$B$4:$F$207,5,FALSE)),"",VLOOKUP(A114,'2025194'!$B$4:$F$207,5,FALSE))&amp;"")</x:f>
      </x:c>
      <x:c r="F114" s="0" t="s">
        <x:v>601</x:v>
      </x:c>
    </x:row>
    <x:row r="115" spans="1:6">
      <x:c r="A115" s="1" t="s">
        <x:v>601</x:v>
      </x:c>
      <x:c r="E115" s="18">
        <x:f>IF(ISBLANK(A115),"",IF(ISNA(VLOOKUP(A115,'2025194'!$B$4:$F$207,5,FALSE)),"",VLOOKUP(A115,'2025194'!$B$4:$F$207,5,FALSE))&amp;"")</x:f>
      </x:c>
      <x:c r="F115" s="0" t="s">
        <x:v>607</x:v>
      </x:c>
    </x:row>
    <x:row r="116" spans="1:6">
      <x:c r="A116" s="1" t="s">
        <x:v>607</x:v>
      </x:c>
      <x:c r="E116" s="18">
        <x:f>IF(ISBLANK(A116),"",IF(ISNA(VLOOKUP(A116,'2025194'!$B$4:$F$207,5,FALSE)),"",VLOOKUP(A116,'2025194'!$B$4:$F$207,5,FALSE))&amp;"")</x:f>
      </x:c>
      <x:c r="F116" s="0" t="s">
        <x:v>611</x:v>
      </x:c>
    </x:row>
    <x:row r="117" spans="1:6">
      <x:c r="A117" s="1" t="s">
        <x:v>611</x:v>
      </x:c>
      <x:c r="E117" s="18">
        <x:f>IF(ISBLANK(A117),"",IF(ISNA(VLOOKUP(A117,'2025194'!$B$4:$F$207,5,FALSE)),"",VLOOKUP(A117,'2025194'!$B$4:$F$207,5,FALSE))&amp;"")</x:f>
      </x:c>
      <x:c r="F117" s="0" t="s">
        <x:v>615</x:v>
      </x:c>
    </x:row>
    <x:row r="118" spans="1:6">
      <x:c r="A118" s="1" t="s">
        <x:v>615</x:v>
      </x:c>
      <x:c r="E118" s="18">
        <x:f>IF(ISBLANK(A118),"",IF(ISNA(VLOOKUP(A118,'2025194'!$B$4:$F$207,5,FALSE)),"",VLOOKUP(A118,'2025194'!$B$4:$F$207,5,FALSE))&amp;"")</x:f>
      </x:c>
      <x:c r="F118" s="0" t="s">
        <x:v>619</x:v>
      </x:c>
    </x:row>
    <x:row r="119" spans="1:6">
      <x:c r="A119" s="1" t="s">
        <x:v>619</x:v>
      </x:c>
      <x:c r="E119" s="18">
        <x:f>IF(ISBLANK(A119),"",IF(ISNA(VLOOKUP(A119,'2025194'!$B$4:$F$207,5,FALSE)),"",VLOOKUP(A119,'2025194'!$B$4:$F$207,5,FALSE))&amp;"")</x:f>
      </x:c>
      <x:c r="F119" s="0" t="s">
        <x:v>625</x:v>
      </x:c>
    </x:row>
    <x:row r="120" spans="1:6">
      <x:c r="A120" s="1" t="s">
        <x:v>625</x:v>
      </x:c>
      <x:c r="E120" s="18">
        <x:f>IF(ISBLANK(A120),"",IF(ISNA(VLOOKUP(A120,'2025194'!$B$4:$F$207,5,FALSE)),"",VLOOKUP(A120,'2025194'!$B$4:$F$207,5,FALSE))&amp;"")</x:f>
      </x:c>
      <x:c r="F120" s="0" t="s">
        <x:v>630</x:v>
      </x:c>
    </x:row>
    <x:row r="121" spans="1:6">
      <x:c r="A121" s="1" t="s">
        <x:v>630</x:v>
      </x:c>
      <x:c r="E121" s="18">
        <x:f>IF(ISBLANK(A121),"",IF(ISNA(VLOOKUP(A121,'2025194'!$B$4:$F$207,5,FALSE)),"",VLOOKUP(A121,'2025194'!$B$4:$F$207,5,FALSE))&amp;"")</x:f>
      </x:c>
      <x:c r="F121" s="0" t="s">
        <x:v>634</x:v>
      </x:c>
    </x:row>
    <x:row r="122" spans="1:6">
      <x:c r="A122" s="1" t="s">
        <x:v>634</x:v>
      </x:c>
      <x:c r="E122" s="18">
        <x:f>IF(ISBLANK(A122),"",IF(ISNA(VLOOKUP(A122,'2025194'!$B$4:$F$207,5,FALSE)),"",VLOOKUP(A122,'2025194'!$B$4:$F$207,5,FALSE))&amp;"")</x:f>
      </x:c>
      <x:c r="F122" s="0" t="s">
        <x:v>638</x:v>
      </x:c>
    </x:row>
    <x:row r="123" spans="1:6">
      <x:c r="A123" s="1" t="s">
        <x:v>638</x:v>
      </x:c>
      <x:c r="E123" s="18">
        <x:f>IF(ISBLANK(A123),"",IF(ISNA(VLOOKUP(A123,'2025194'!$B$4:$F$207,5,FALSE)),"",VLOOKUP(A123,'2025194'!$B$4:$F$207,5,FALSE))&amp;"")</x:f>
      </x:c>
      <x:c r="F123" s="0" t="s">
        <x:v>642</x:v>
      </x:c>
    </x:row>
    <x:row r="124" spans="1:6">
      <x:c r="A124" s="1" t="s">
        <x:v>642</x:v>
      </x:c>
      <x:c r="E124" s="18">
        <x:f>IF(ISBLANK(A124),"",IF(ISNA(VLOOKUP(A124,'2025194'!$B$4:$F$207,5,FALSE)),"",VLOOKUP(A124,'2025194'!$B$4:$F$207,5,FALSE))&amp;"")</x:f>
      </x:c>
      <x:c r="F124" s="0" t="s">
        <x:v>654</x:v>
      </x:c>
    </x:row>
    <x:row r="125" spans="1:6">
      <x:c r="A125" s="1" t="s">
        <x:v>654</x:v>
      </x:c>
      <x:c r="E125" s="18">
        <x:f>IF(ISBLANK(A125),"",IF(ISNA(VLOOKUP(A125,'2025194'!$B$4:$F$207,5,FALSE)),"",VLOOKUP(A125,'2025194'!$B$4:$F$207,5,FALSE))&amp;"")</x:f>
      </x:c>
      <x:c r="F125" s="0" t="s">
        <x:v>656</x:v>
      </x:c>
    </x:row>
    <x:row r="126" spans="1:6">
      <x:c r="A126" s="1" t="s">
        <x:v>656</x:v>
      </x:c>
      <x:c r="E126" s="18">
        <x:f>IF(ISBLANK(A126),"",IF(ISNA(VLOOKUP(A126,'2025194'!$B$4:$F$207,5,FALSE)),"",VLOOKUP(A126,'2025194'!$B$4:$F$207,5,FALSE))&amp;"")</x:f>
      </x:c>
      <x:c r="F126" s="0" t="s">
        <x:v>659</x:v>
      </x:c>
    </x:row>
    <x:row r="127" spans="1:6">
      <x:c r="A127" s="1" t="s">
        <x:v>659</x:v>
      </x:c>
      <x:c r="E127" s="18">
        <x:f>IF(ISBLANK(A127),"",IF(ISNA(VLOOKUP(A127,'2025194'!$B$4:$F$207,5,FALSE)),"",VLOOKUP(A127,'2025194'!$B$4:$F$207,5,FALSE))&amp;"")</x:f>
      </x:c>
      <x:c r="F127" s="0" t="s">
        <x:v>662</x:v>
      </x:c>
    </x:row>
    <x:row r="128" spans="1:6">
      <x:c r="A128" s="1" t="s">
        <x:v>662</x:v>
      </x:c>
      <x:c r="E128" s="18">
        <x:f>IF(ISBLANK(A128),"",IF(ISNA(VLOOKUP(A128,'2025194'!$B$4:$F$207,5,FALSE)),"",VLOOKUP(A128,'2025194'!$B$4:$F$207,5,FALSE))&amp;"")</x:f>
      </x:c>
      <x:c r="F128" s="0" t="s">
        <x:v>665</x:v>
      </x:c>
    </x:row>
    <x:row r="129" spans="1:6">
      <x:c r="A129" s="1" t="s">
        <x:v>665</x:v>
      </x:c>
      <x:c r="E129" s="18">
        <x:f>IF(ISBLANK(A129),"",IF(ISNA(VLOOKUP(A129,'2025194'!$B$4:$F$207,5,FALSE)),"",VLOOKUP(A129,'2025194'!$B$4:$F$207,5,FALSE))&amp;"")</x:f>
      </x:c>
      <x:c r="F129" s="0" t="s">
        <x:v>669</x:v>
      </x:c>
    </x:row>
    <x:row r="130" spans="1:6">
      <x:c r="A130" s="1" t="s">
        <x:v>669</x:v>
      </x:c>
      <x:c r="E130" s="18">
        <x:f>IF(ISBLANK(A130),"",IF(ISNA(VLOOKUP(A130,'2025194'!$B$4:$F$207,5,FALSE)),"",VLOOKUP(A130,'2025194'!$B$4:$F$207,5,FALSE))&amp;"")</x:f>
      </x:c>
      <x:c r="F130" s="0" t="s">
        <x:v>673</x:v>
      </x:c>
    </x:row>
    <x:row r="131" spans="1:6">
      <x:c r="A131" s="1" t="s">
        <x:v>673</x:v>
      </x:c>
      <x:c r="E131" s="18">
        <x:f>IF(ISBLANK(A131),"",IF(ISNA(VLOOKUP(A131,'2025194'!$B$4:$F$207,5,FALSE)),"",VLOOKUP(A131,'2025194'!$B$4:$F$207,5,FALSE))&amp;"")</x:f>
      </x:c>
      <x:c r="F131" s="0" t="s">
        <x:v>677</x:v>
      </x:c>
    </x:row>
    <x:row r="132" spans="1:6">
      <x:c r="A132" s="1" t="s">
        <x:v>677</x:v>
      </x:c>
      <x:c r="E132" s="18">
        <x:f>IF(ISBLANK(A132),"",IF(ISNA(VLOOKUP(A132,'2025194'!$B$4:$F$207,5,FALSE)),"",VLOOKUP(A132,'2025194'!$B$4:$F$207,5,FALSE))&amp;"")</x:f>
      </x:c>
      <x:c r="F132" s="0" t="s">
        <x:v>679</x:v>
      </x:c>
    </x:row>
    <x:row r="133" spans="1:6">
      <x:c r="A133" s="1" t="s">
        <x:v>679</x:v>
      </x:c>
      <x:c r="E133" s="18">
        <x:f>IF(ISBLANK(A133),"",IF(ISNA(VLOOKUP(A133,'2025194'!$B$4:$F$207,5,FALSE)),"",VLOOKUP(A133,'2025194'!$B$4:$F$207,5,FALSE))&amp;"")</x:f>
      </x:c>
      <x:c r="F133" s="0" t="s">
        <x:v>688</x:v>
      </x:c>
    </x:row>
    <x:row r="134" spans="1:6">
      <x:c r="A134" s="1" t="s">
        <x:v>688</x:v>
      </x:c>
      <x:c r="E134" s="18">
        <x:f>IF(ISBLANK(A134),"",IF(ISNA(VLOOKUP(A134,'2025194'!$B$4:$F$207,5,FALSE)),"",VLOOKUP(A134,'2025194'!$B$4:$F$207,5,FALSE))&amp;"")</x:f>
      </x:c>
      <x:c r="F134" s="0" t="s">
        <x:v>694</x:v>
      </x:c>
    </x:row>
    <x:row r="135" spans="1:6">
      <x:c r="A135" s="1" t="s">
        <x:v>694</x:v>
      </x:c>
      <x:c r="E135" s="18">
        <x:f>IF(ISBLANK(A135),"",IF(ISNA(VLOOKUP(A135,'2025194'!$B$4:$F$207,5,FALSE)),"",VLOOKUP(A135,'2025194'!$B$4:$F$207,5,FALSE))&amp;"")</x:f>
      </x:c>
      <x:c r="F135" s="0" t="s">
        <x:v>698</x:v>
      </x:c>
    </x:row>
    <x:row r="136" spans="1:6">
      <x:c r="A136" s="1" t="s">
        <x:v>698</x:v>
      </x:c>
      <x:c r="E136" s="18">
        <x:f>IF(ISBLANK(A136),"",IF(ISNA(VLOOKUP(A136,'2025194'!$B$4:$F$207,5,FALSE)),"",VLOOKUP(A136,'2025194'!$B$4:$F$207,5,FALSE))&amp;"")</x:f>
      </x:c>
      <x:c r="F136" s="0" t="s">
        <x:v>702</x:v>
      </x:c>
    </x:row>
    <x:row r="137" spans="1:6">
      <x:c r="A137" s="1" t="s">
        <x:v>702</x:v>
      </x:c>
      <x:c r="E137" s="18">
        <x:f>IF(ISBLANK(A137),"",IF(ISNA(VLOOKUP(A137,'2025194'!$B$4:$F$207,5,FALSE)),"",VLOOKUP(A137,'2025194'!$B$4:$F$207,5,FALSE))&amp;"")</x:f>
      </x:c>
      <x:c r="F137" s="0" t="s">
        <x:v>705</x:v>
      </x:c>
    </x:row>
    <x:row r="138" spans="1:6">
      <x:c r="A138" s="1" t="s">
        <x:v>705</x:v>
      </x:c>
      <x:c r="E138" s="18">
        <x:f>IF(ISBLANK(A138),"",IF(ISNA(VLOOKUP(A138,'2025194'!$B$4:$F$207,5,FALSE)),"",VLOOKUP(A138,'2025194'!$B$4:$F$207,5,FALSE))&amp;"")</x:f>
      </x:c>
      <x:c r="F138" s="0" t="s">
        <x:v>709</x:v>
      </x:c>
    </x:row>
    <x:row r="139" spans="1:6">
      <x:c r="A139" s="1" t="s">
        <x:v>709</x:v>
      </x:c>
      <x:c r="E139" s="18">
        <x:f>IF(ISBLANK(A139),"",IF(ISNA(VLOOKUP(A139,'2025194'!$B$4:$F$207,5,FALSE)),"",VLOOKUP(A139,'2025194'!$B$4:$F$207,5,FALSE))&amp;"")</x:f>
      </x:c>
      <x:c r="F139" s="0" t="s">
        <x:v>713</x:v>
      </x:c>
    </x:row>
    <x:row r="140" spans="1:6">
      <x:c r="A140" s="1" t="s">
        <x:v>713</x:v>
      </x:c>
      <x:c r="E140" s="18">
        <x:f>IF(ISBLANK(A140),"",IF(ISNA(VLOOKUP(A140,'2025194'!$B$4:$F$207,5,FALSE)),"",VLOOKUP(A140,'2025194'!$B$4:$F$207,5,FALSE))&amp;"")</x:f>
      </x:c>
    </x:row>
  </x:sheetData>
  <x:conditionalFormatting sqref="A2:A1000000">
    <x:cfRule type="expression" dxfId="0" priority="1" operator="equal">
      <x:formula>AND(NOT(ISBLANK(A2)),SUMPRODUCT(('2025194'!$B$4:$B$207=A2)*1)&lt;1)</x:formula>
    </x:cfRule>
  </x:conditionalFormatting>
  <x:dataValidations count="1">
    <x:dataValidation type="list" errorStyle="stop" operator="between" allowBlank="1" showDropDown="0" showInputMessage="1" showErrorMessage="1" errorTitle="" error="" promptTitle="" prompt="" sqref="A2:A10000">
      <x:formula1>$F$1:$F$139</x:formula1>
      <x:formula2/>
    </x:dataValidation>
  </x:dataValidations>
  <x:printOptions horizontalCentered="0" verticalCentered="0" headings="0" gridLines="0"/>
  <x:pageMargins left="0.4" right="0.4" top="0.75" bottom="1" header="0.5" footer="0.75"/>
  <x:pageSetup paperSize="9" scale="100" pageOrder="downThenOver" orientation="landscape" blackAndWhite="0" draft="0" cellComments="none" errors="displayed"/>
  <x:headerFooter differentOddEven="0" differentFirst="0" scaleWithDoc="1" alignWithMargins="1">
    <x:oddHeader>&amp;CKalkulation - 2025194&amp;R&amp;D</x:oddHeader>
    <x:oddFooter>&amp;LDangl.AVA.Converter www.dangl-it.com V2.28.9 ©2026&amp;R&amp;P/&amp;N</x:oddFooter>
    <x:evenHeader>&amp;CKalkulation - 2025194&amp;R&amp;D</x:evenHeader>
    <x:evenFooter>&amp;LDangl.AVA.Converter www.dangl-it.com V2.28.9 ©2026&amp;R&amp;P/&amp;N</x:evenFooter>
    <x:firstHeader>&amp;CKalkulation - 2025194&amp;R&amp;D</x:firstHeader>
    <x:firstFooter>&amp;LDangl.AVA.Converter www.dangl-it.com V2.28.9 ©2026&amp;R&amp;P/&amp;N</x:firstFooter>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'Projektinfo'!$B$3:$B$3</xm:f>
          </x14:formula1>
          <xm:sqref>C2:C10000</xm:sqref>
        </x14:dataValidation>
      </x14:dataValidations>
    </x:ext>
  </x:extLst>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9"/>
  <x:sheetViews>
    <x:sheetView workbookViewId="0"/>
  </x:sheetViews>
  <x:sheetFormatPr defaultRowHeight="15"/>
  <x:cols>
    <x:col min="1" max="1" width="120.710625" style="0" customWidth="1"/>
  </x:cols>
  <x:sheetData>
    <x:row r="1" spans="1:2">
      <x:c r="A1" s="0" t="s">
        <x:v>738</x:v>
      </x:c>
      <x:c r="B1" s="0">
        <x:v>2</x:v>
      </x:c>
    </x:row>
    <x:row r="2" spans="1:2">
      <x:c r="A2" s="0" t="s">
        <x:v>739</x:v>
      </x:c>
      <x:c r="B2" s="0">
        <x:v>0</x:v>
      </x:c>
    </x:row>
    <x:row r="3" spans="1:2">
      <x:c r="A3" s="0" t="s">
        <x:v>746</x:v>
      </x:c>
    </x:row>
    <x:row r="4" spans="1:2">
      <x:c r="A4" s="0" t="s">
        <x:v>740</x:v>
      </x:c>
      <x:c r="B4" s="0" t="s">
        <x:v>741</x:v>
      </x:c>
    </x:row>
    <x:row r="5" spans="1:2">
      <x:c r="A5" s="0" t="s">
        <x:v>742</x:v>
      </x:c>
      <x:c r="B5" s="0" t="s">
        <x:v>743</x:v>
      </x:c>
    </x:row>
    <x:row r="6" spans="1:2">
      <x:c r="A6" s="0" t="s">
        <x:v>744</x:v>
      </x:c>
      <x:c r="B6" s="0" t="s">
        <x:v>745</x:v>
      </x:c>
    </x:row>
    <x:row r="7" spans="1:2">
      <x:c r="A7" s="0" t="s">
        <x:v>748</x:v>
      </x:c>
    </x:row>
    <x:row r="8" spans="1:2">
      <x:c r="A8" s="0" t="s">
        <x:v>747</x:v>
      </x:c>
    </x:row>
    <x:row r="9" spans="1:2">
      <x:c r="A9" s="0" t="s">
        <x:v>749</x:v>
      </x:c>
      <x:c r="B9" s="23">
        <x:v>46036.8669465278</x:v>
      </x:c>
    </x:row>
    <x:row r="11" spans="1:2">
      <x:c r="A11" s="0" t="s">
        <x:v>750</x:v>
      </x:c>
    </x:row>
    <x:row r="12" spans="1:2">
      <x:c r="A12" s="0" t="s">
        <x:v>751</x:v>
      </x:c>
    </x:row>
    <x:row r="13" spans="1:2">
      <x:c r="A13" s="0" t="s">
        <x:v>752</x:v>
      </x:c>
    </x:row>
    <x:row r="14" spans="1:2">
      <x:c r="A14" s="0" t="s">
        <x:v>753</x:v>
      </x:c>
    </x:row>
    <x:row r="15" spans="1:2">
      <x:c r="A15" s="0" t="s">
        <x:v>754</x:v>
      </x:c>
    </x:row>
    <x:row r="16" spans="1:2">
      <x:c r="A16" s="0" t="s">
        <x:v>755</x:v>
      </x:c>
    </x:row>
    <x:row r="17" spans="1:2">
      <x:c r="A17" s="0" t="s">
        <x:v>756</x:v>
      </x:c>
    </x:row>
    <x:row r="18" spans="1:2">
      <x:c r="A18" s="0" t="s">
        <x:v>757</x:v>
      </x:c>
    </x:row>
    <x:row r="19" spans="1:2">
      <x:c r="A19" s="0" t="s">
        <x:v>758</x:v>
      </x:c>
    </x:row>
    <x:row r="20" spans="1:2">
      <x:c r="A20" s="0" t="s">
        <x:v>759</x:v>
      </x:c>
    </x:row>
    <x:row r="21" spans="1:2">
      <x:c r="A21" s="0" t="s">
        <x:v>760</x:v>
      </x:c>
    </x:row>
    <x:row r="22" spans="1:2">
      <x:c r="A22" s="0" t="s">
        <x:v>761</x:v>
      </x:c>
    </x:row>
    <x:row r="23" spans="1:2">
      <x:c r="A23" s="0" t="s">
        <x:v>762</x:v>
      </x:c>
    </x:row>
    <x:row r="24" spans="1:2">
      <x:c r="A24" s="0" t="s">
        <x:v>763</x:v>
      </x:c>
    </x:row>
    <x:row r="25" spans="1:2">
      <x:c r="A25" s="0" t="s">
        <x:v>764</x:v>
      </x:c>
    </x:row>
    <x:row r="26" spans="1:2">
      <x:c r="A26" s="0" t="s">
        <x:v>765</x:v>
      </x:c>
    </x:row>
    <x:row r="27" spans="1:2">
      <x:c r="A27" s="0" t="s">
        <x:v>766</x:v>
      </x:c>
    </x:row>
    <x:row r="28" spans="1:2">
      <x:c r="A28" s="0" t="s">
        <x:v>767</x:v>
      </x:c>
    </x:row>
    <x:row r="29" spans="1:2">
      <x:c r="A29" s="0" t="s">
        <x:v>768</x:v>
      </x:c>
    </x:row>
    <x:row r="30" spans="1:2">
      <x:c r="A30" s="0" t="s">
        <x:v>769</x:v>
      </x:c>
    </x:row>
    <x:row r="31" spans="1:2">
      <x:c r="A31" s="0" t="s">
        <x:v>770</x:v>
      </x:c>
    </x:row>
    <x:row r="32" spans="1:2">
      <x:c r="A32" s="0" t="s">
        <x:v>771</x:v>
      </x:c>
    </x:row>
    <x:row r="33" spans="1:2">
      <x:c r="A33" s="0" t="s">
        <x:v>772</x:v>
      </x:c>
    </x:row>
    <x:row r="34" spans="1:2">
      <x:c r="A34" s="0" t="s">
        <x:v>773</x:v>
      </x:c>
    </x:row>
    <x:row r="35" spans="1:2">
      <x:c r="A35" s="0" t="s">
        <x:v>774</x:v>
      </x:c>
    </x:row>
    <x:row r="36" spans="1:2">
      <x:c r="A36" s="0" t="s">
        <x:v>775</x:v>
      </x:c>
    </x:row>
    <x:row r="37" spans="1:2">
      <x:c r="A37" s="0" t="s">
        <x:v>776</x:v>
      </x:c>
    </x:row>
    <x:row r="38" spans="1:2">
      <x:c r="A38" s="0" t="s">
        <x:v>777</x:v>
      </x:c>
    </x:row>
    <x:row r="39" spans="1:2">
      <x:c r="A39" s="0" t="s">
        <x:v>778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2">
      <vt:lpstr>2025194</vt:lpstr>
      <vt:lpstr>Projektinfo</vt:lpstr>
      <vt:lpstr>Kalkulation</vt:lpstr>
      <vt:lpstr>Config</vt:lpstr>
      <vt:lpstr>2025194!Print_Area</vt:lpstr>
      <vt:lpstr>2025194!Print_Titles</vt:lpstr>
      <vt:lpstr>Projektinfo!Print_Area</vt:lpstr>
      <vt:lpstr>Projektinfo!Print_Titles</vt:lpstr>
      <vt:lpstr>Kalkulation!Print_Area</vt:lpstr>
      <vt:lpstr>Kalkulation!Print_Titles</vt:lpstr>
      <vt:lpstr>Config!Print_Area</vt:lpstr>
      <vt:lpstr>Config!Print_Titles</vt:lpstr>
    </vt:vector>
  </ap:TitlesOfParts>
  <ap:HeadingPairs>
    <vt:vector baseType="variant" size="4">
      <vt:variant>
        <vt:lpstr>Worksheets</vt:lpstr>
      </vt:variant>
      <vt:variant>
        <vt:i4>4</vt:i4>
      </vt:variant>
      <vt:variant>
        <vt:lpstr>Named Ranges</vt:lpstr>
      </vt:variant>
      <vt:variant>
        <vt:i4>8</vt:i4>
      </vt:variant>
    </vt:vector>
  </ap:HeadingPairs>
  <ap:DocSecurity>0</ap:DocSecurity>
  <ap:ScaleCrop>false</ap:ScaleCrop>
</ap:Properties>
</file>