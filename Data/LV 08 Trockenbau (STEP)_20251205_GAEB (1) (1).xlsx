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https://uniduede-my.sharepoint.com/personal/mohamed_senhaby_stud_uni-due_de/Documents/PersonalWork/Laith/Data/"/>
    </mc:Choice>
  </mc:AlternateContent>
  <xr:revisionPtr revIDLastSave="1" documentId="11_CE366842457E0F2C44CDFF95A7331D536A7B1B1E" xr6:coauthVersionLast="47" xr6:coauthVersionMax="47" xr10:uidLastSave="{91551C45-2212-4DFA-A143-0DF36894895C}"/>
  <bookViews>
    <workbookView xWindow="28680" yWindow="-120" windowWidth="25440" windowHeight="15270" xr2:uid="{00000000-000D-0000-FFFF-FFFF00000000}"/>
  </bookViews>
  <sheets>
    <sheet name="049" sheetId="1" r:id="rId1"/>
    <sheet name="Projektinfo" sheetId="2" r:id="rId2"/>
    <sheet name="Kalkulation" sheetId="3" r:id="rId3"/>
    <sheet name="Config" sheetId="4" state="veryHidden" r:id="rId4"/>
  </sheets>
  <definedNames>
    <definedName name="_xlnm.Print_Titles" localSheetId="0">'049'!1:3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 l="1"/>
  <c r="K5" i="1"/>
  <c r="K6" i="1"/>
  <c r="K7" i="1"/>
  <c r="K8" i="1"/>
  <c r="K9" i="1"/>
  <c r="K10" i="1"/>
  <c r="K11" i="1"/>
  <c r="K12" i="1"/>
  <c r="K13" i="1"/>
  <c r="K14" i="1"/>
  <c r="K15" i="1"/>
  <c r="K16" i="1"/>
  <c r="K17" i="1"/>
  <c r="K18" i="1"/>
  <c r="K19" i="1"/>
  <c r="K20" i="1"/>
  <c r="K21" i="1"/>
  <c r="K22" i="1"/>
  <c r="K23" i="1"/>
  <c r="K24" i="1"/>
  <c r="K25" i="1"/>
  <c r="K26" i="1"/>
  <c r="H27" i="1"/>
  <c r="J27" i="1" s="1"/>
  <c r="K28" i="1"/>
  <c r="G29" i="1"/>
  <c r="H29" i="1" s="1"/>
  <c r="J29" i="1" s="1"/>
  <c r="H31" i="1" s="1"/>
  <c r="J31" i="1" s="1"/>
  <c r="K29" i="1"/>
  <c r="G30" i="1"/>
  <c r="H30" i="1" s="1"/>
  <c r="J30" i="1" s="1"/>
  <c r="K30" i="1"/>
  <c r="K32" i="1"/>
  <c r="G33" i="1"/>
  <c r="H33" i="1" s="1"/>
  <c r="J33" i="1" s="1"/>
  <c r="H35" i="1" s="1"/>
  <c r="J35" i="1" s="1"/>
  <c r="K33" i="1"/>
  <c r="G34" i="1"/>
  <c r="H34" i="1" s="1"/>
  <c r="J34" i="1" s="1"/>
  <c r="K34" i="1"/>
  <c r="K36" i="1"/>
  <c r="K37" i="1"/>
  <c r="G38" i="1"/>
  <c r="H38" i="1" s="1"/>
  <c r="J38" i="1" s="1"/>
  <c r="K38" i="1"/>
  <c r="G39" i="1"/>
  <c r="H39" i="1"/>
  <c r="J39" i="1" s="1"/>
  <c r="K39" i="1"/>
  <c r="G40" i="1"/>
  <c r="H40" i="1"/>
  <c r="J40" i="1"/>
  <c r="K40" i="1"/>
  <c r="G41" i="1"/>
  <c r="H41" i="1"/>
  <c r="J41" i="1" s="1"/>
  <c r="K41" i="1"/>
  <c r="G42" i="1"/>
  <c r="H42" i="1" s="1"/>
  <c r="J42" i="1" s="1"/>
  <c r="K42" i="1"/>
  <c r="G43" i="1"/>
  <c r="H43" i="1" s="1"/>
  <c r="J43" i="1" s="1"/>
  <c r="K43" i="1"/>
  <c r="G44" i="1"/>
  <c r="H44" i="1" s="1"/>
  <c r="J44" i="1" s="1"/>
  <c r="K44" i="1"/>
  <c r="G45" i="1"/>
  <c r="H45" i="1" s="1"/>
  <c r="J45" i="1" s="1"/>
  <c r="K45" i="1"/>
  <c r="G46" i="1"/>
  <c r="H46" i="1" s="1"/>
  <c r="J46" i="1" s="1"/>
  <c r="K46" i="1"/>
  <c r="K48" i="1"/>
  <c r="G49" i="1"/>
  <c r="H49" i="1"/>
  <c r="J49" i="1"/>
  <c r="H62" i="1" s="1"/>
  <c r="J62" i="1" s="1"/>
  <c r="K49" i="1"/>
  <c r="G50" i="1"/>
  <c r="H50" i="1"/>
  <c r="J50" i="1" s="1"/>
  <c r="K50" i="1"/>
  <c r="G51" i="1"/>
  <c r="H51" i="1" s="1"/>
  <c r="J51" i="1" s="1"/>
  <c r="K51" i="1"/>
  <c r="G52" i="1"/>
  <c r="H52" i="1"/>
  <c r="J52" i="1" s="1"/>
  <c r="K52" i="1"/>
  <c r="G53" i="1"/>
  <c r="H53" i="1" s="1"/>
  <c r="J53" i="1" s="1"/>
  <c r="K53" i="1"/>
  <c r="G54" i="1"/>
  <c r="H54" i="1" s="1"/>
  <c r="J54" i="1" s="1"/>
  <c r="K54" i="1"/>
  <c r="G55" i="1"/>
  <c r="H55" i="1"/>
  <c r="J55" i="1" s="1"/>
  <c r="K55" i="1"/>
  <c r="G56" i="1"/>
  <c r="H56" i="1" s="1"/>
  <c r="J56" i="1" s="1"/>
  <c r="K56" i="1"/>
  <c r="G57" i="1"/>
  <c r="H57" i="1"/>
  <c r="J57" i="1" s="1"/>
  <c r="K57" i="1"/>
  <c r="G58" i="1"/>
  <c r="H58" i="1" s="1"/>
  <c r="J58" i="1" s="1"/>
  <c r="K58" i="1"/>
  <c r="G59" i="1"/>
  <c r="H59" i="1"/>
  <c r="J59" i="1" s="1"/>
  <c r="K59" i="1"/>
  <c r="G60" i="1"/>
  <c r="H60" i="1" s="1"/>
  <c r="J60" i="1" s="1"/>
  <c r="K60" i="1"/>
  <c r="G61" i="1"/>
  <c r="H61" i="1" s="1"/>
  <c r="J61" i="1" s="1"/>
  <c r="K61" i="1"/>
  <c r="K64" i="1"/>
  <c r="K65" i="1"/>
  <c r="G66" i="1"/>
  <c r="H66" i="1" s="1"/>
  <c r="J66" i="1" s="1"/>
  <c r="H74" i="1" s="1"/>
  <c r="J74" i="1" s="1"/>
  <c r="K66" i="1"/>
  <c r="G67" i="1"/>
  <c r="H67" i="1" s="1"/>
  <c r="J67" i="1" s="1"/>
  <c r="K67" i="1"/>
  <c r="G68" i="1"/>
  <c r="H68" i="1" s="1"/>
  <c r="J68" i="1" s="1"/>
  <c r="K68" i="1"/>
  <c r="G69" i="1"/>
  <c r="H69" i="1" s="1"/>
  <c r="J69" i="1" s="1"/>
  <c r="K69" i="1"/>
  <c r="G70" i="1"/>
  <c r="H70" i="1"/>
  <c r="J70" i="1" s="1"/>
  <c r="K70" i="1"/>
  <c r="G71" i="1"/>
  <c r="H71" i="1" s="1"/>
  <c r="J71" i="1" s="1"/>
  <c r="K71" i="1"/>
  <c r="G72" i="1"/>
  <c r="H72" i="1"/>
  <c r="J72" i="1" s="1"/>
  <c r="K72" i="1"/>
  <c r="G73" i="1"/>
  <c r="H73" i="1" s="1"/>
  <c r="J73" i="1" s="1"/>
  <c r="K73" i="1"/>
  <c r="K75" i="1"/>
  <c r="G76" i="1"/>
  <c r="H76" i="1"/>
  <c r="J76" i="1" s="1"/>
  <c r="K76" i="1"/>
  <c r="G77" i="1"/>
  <c r="H77" i="1" s="1"/>
  <c r="J77" i="1" s="1"/>
  <c r="K77" i="1"/>
  <c r="K80" i="1"/>
  <c r="K81" i="1"/>
  <c r="G82" i="1"/>
  <c r="H82" i="1"/>
  <c r="J82" i="1" s="1"/>
  <c r="H92" i="1" s="1"/>
  <c r="J92" i="1" s="1"/>
  <c r="K82" i="1"/>
  <c r="G83" i="1"/>
  <c r="H83" i="1" s="1"/>
  <c r="J83" i="1" s="1"/>
  <c r="K83" i="1"/>
  <c r="G84" i="1"/>
  <c r="H84" i="1" s="1"/>
  <c r="J84" i="1" s="1"/>
  <c r="K84" i="1"/>
  <c r="G85" i="1"/>
  <c r="H85" i="1"/>
  <c r="J85" i="1" s="1"/>
  <c r="K85" i="1"/>
  <c r="G86" i="1"/>
  <c r="H86" i="1"/>
  <c r="J86" i="1"/>
  <c r="K86" i="1"/>
  <c r="G87" i="1"/>
  <c r="H87" i="1"/>
  <c r="J87" i="1" s="1"/>
  <c r="K87" i="1"/>
  <c r="G88" i="1"/>
  <c r="H88" i="1" s="1"/>
  <c r="J88" i="1" s="1"/>
  <c r="K88" i="1"/>
  <c r="G89" i="1"/>
  <c r="H89" i="1"/>
  <c r="J89" i="1" s="1"/>
  <c r="K89" i="1"/>
  <c r="G90" i="1"/>
  <c r="H90" i="1" s="1"/>
  <c r="J90" i="1" s="1"/>
  <c r="K90" i="1"/>
  <c r="G91" i="1"/>
  <c r="H91" i="1" s="1"/>
  <c r="J91" i="1" s="1"/>
  <c r="K91" i="1"/>
  <c r="K93" i="1"/>
  <c r="G94" i="1"/>
  <c r="H94" i="1" s="1"/>
  <c r="J94" i="1" s="1"/>
  <c r="K94" i="1"/>
  <c r="G95" i="1"/>
  <c r="H95" i="1" s="1"/>
  <c r="J95" i="1" s="1"/>
  <c r="K95" i="1"/>
  <c r="G96" i="1"/>
  <c r="H96" i="1"/>
  <c r="J96" i="1" s="1"/>
  <c r="K96" i="1"/>
  <c r="G97" i="1"/>
  <c r="H97" i="1" s="1"/>
  <c r="J97" i="1" s="1"/>
  <c r="K97" i="1"/>
  <c r="K99" i="1"/>
  <c r="G100" i="1"/>
  <c r="H100" i="1"/>
  <c r="J100" i="1" s="1"/>
  <c r="K100" i="1"/>
  <c r="G101" i="1"/>
  <c r="H101" i="1" s="1"/>
  <c r="J101" i="1" s="1"/>
  <c r="K101" i="1"/>
  <c r="G102" i="1"/>
  <c r="H102" i="1"/>
  <c r="J102" i="1" s="1"/>
  <c r="K102" i="1"/>
  <c r="G103" i="1"/>
  <c r="H103" i="1" s="1"/>
  <c r="J103" i="1" s="1"/>
  <c r="K103" i="1"/>
  <c r="G104" i="1"/>
  <c r="H104" i="1" s="1"/>
  <c r="J104" i="1" s="1"/>
  <c r="K104" i="1"/>
  <c r="K107" i="1"/>
  <c r="K108" i="1"/>
  <c r="G109" i="1"/>
  <c r="H109" i="1" s="1"/>
  <c r="J109" i="1" s="1"/>
  <c r="K109" i="1"/>
  <c r="G110" i="1"/>
  <c r="H110" i="1" s="1"/>
  <c r="J110" i="1" s="1"/>
  <c r="K110" i="1"/>
  <c r="G111" i="1"/>
  <c r="H111" i="1" s="1"/>
  <c r="J111" i="1" s="1"/>
  <c r="K111" i="1"/>
  <c r="G112" i="1"/>
  <c r="H112" i="1"/>
  <c r="J112" i="1"/>
  <c r="K112" i="1"/>
  <c r="G113" i="1"/>
  <c r="H113" i="1"/>
  <c r="J113" i="1" s="1"/>
  <c r="K113" i="1"/>
  <c r="K115" i="1"/>
  <c r="G116" i="1"/>
  <c r="H116" i="1"/>
  <c r="J116" i="1"/>
  <c r="H117" i="1" s="1"/>
  <c r="J117" i="1" s="1"/>
  <c r="K116" i="1"/>
  <c r="K118" i="1"/>
  <c r="G119" i="1"/>
  <c r="H119" i="1"/>
  <c r="J119" i="1" s="1"/>
  <c r="H124" i="1" s="1"/>
  <c r="J124" i="1" s="1"/>
  <c r="K119" i="1"/>
  <c r="G120" i="1"/>
  <c r="H120" i="1" s="1"/>
  <c r="J120" i="1" s="1"/>
  <c r="K120" i="1"/>
  <c r="G121" i="1"/>
  <c r="H121" i="1"/>
  <c r="J121" i="1" s="1"/>
  <c r="K121" i="1"/>
  <c r="G122" i="1"/>
  <c r="H122" i="1" s="1"/>
  <c r="J122" i="1" s="1"/>
  <c r="K122" i="1"/>
  <c r="G123" i="1"/>
  <c r="H123" i="1" s="1"/>
  <c r="J123" i="1" s="1"/>
  <c r="K123" i="1"/>
  <c r="K126" i="1"/>
  <c r="K127" i="1"/>
  <c r="G128" i="1"/>
  <c r="H128" i="1" s="1"/>
  <c r="J128" i="1" s="1"/>
  <c r="H129" i="1" s="1"/>
  <c r="J129" i="1" s="1"/>
  <c r="H130" i="1" s="1"/>
  <c r="J130" i="1" s="1"/>
  <c r="K128" i="1"/>
  <c r="K131" i="1"/>
  <c r="G132" i="1"/>
  <c r="H132" i="1"/>
  <c r="J132" i="1"/>
  <c r="K132" i="1"/>
  <c r="G133" i="1"/>
  <c r="H133" i="1"/>
  <c r="J133" i="1" s="1"/>
  <c r="K133" i="1"/>
  <c r="G134" i="1"/>
  <c r="H134" i="1" s="1"/>
  <c r="J134" i="1" s="1"/>
  <c r="K134" i="1"/>
  <c r="G135" i="1"/>
  <c r="H135" i="1" s="1"/>
  <c r="J135" i="1" s="1"/>
  <c r="K135" i="1"/>
  <c r="G136" i="1"/>
  <c r="H136" i="1" s="1"/>
  <c r="J136" i="1" s="1"/>
  <c r="K136" i="1"/>
  <c r="G137" i="1"/>
  <c r="H137" i="1" s="1"/>
  <c r="J137" i="1" s="1"/>
  <c r="K137" i="1"/>
  <c r="G138" i="1"/>
  <c r="H138" i="1"/>
  <c r="J138" i="1" s="1"/>
  <c r="K138" i="1"/>
  <c r="G139" i="1"/>
  <c r="H139" i="1" s="1"/>
  <c r="J139" i="1" s="1"/>
  <c r="K139" i="1"/>
  <c r="G140" i="1"/>
  <c r="H140" i="1"/>
  <c r="J140" i="1" s="1"/>
  <c r="K140" i="1"/>
  <c r="G141" i="1"/>
  <c r="H141" i="1" s="1"/>
  <c r="J141" i="1" s="1"/>
  <c r="K141" i="1"/>
  <c r="G142" i="1"/>
  <c r="H142" i="1" s="1"/>
  <c r="J142" i="1" s="1"/>
  <c r="K142" i="1"/>
  <c r="G143" i="1"/>
  <c r="H143" i="1" s="1"/>
  <c r="J143" i="1" s="1"/>
  <c r="K143" i="1"/>
  <c r="G144" i="1"/>
  <c r="H144" i="1" s="1"/>
  <c r="J144" i="1" s="1"/>
  <c r="K144" i="1"/>
  <c r="G145" i="1"/>
  <c r="H145" i="1"/>
  <c r="J145" i="1" s="1"/>
  <c r="K145" i="1"/>
  <c r="G146" i="1"/>
  <c r="H146" i="1" s="1"/>
  <c r="J146" i="1" s="1"/>
  <c r="K146" i="1"/>
  <c r="G147" i="1"/>
  <c r="H147" i="1"/>
  <c r="J147" i="1" s="1"/>
  <c r="K147" i="1"/>
  <c r="G148" i="1"/>
  <c r="H148" i="1" s="1"/>
  <c r="J148" i="1" s="1"/>
  <c r="K148" i="1"/>
  <c r="G149" i="1"/>
  <c r="H149" i="1" s="1"/>
  <c r="J149" i="1" s="1"/>
  <c r="K149" i="1"/>
  <c r="G150" i="1"/>
  <c r="H150" i="1" s="1"/>
  <c r="J150" i="1" s="1"/>
  <c r="K150" i="1"/>
  <c r="G151" i="1"/>
  <c r="H151" i="1" s="1"/>
  <c r="J151" i="1" s="1"/>
  <c r="K151" i="1"/>
  <c r="G152" i="1"/>
  <c r="H152" i="1"/>
  <c r="J152" i="1" s="1"/>
  <c r="K152" i="1"/>
  <c r="G153" i="1"/>
  <c r="H153" i="1" s="1"/>
  <c r="J153" i="1" s="1"/>
  <c r="K153" i="1"/>
  <c r="K155" i="1"/>
  <c r="G156" i="1"/>
  <c r="H156" i="1"/>
  <c r="J156" i="1" s="1"/>
  <c r="H157" i="1" s="1"/>
  <c r="J157" i="1" s="1"/>
  <c r="K156" i="1"/>
  <c r="K158" i="1"/>
  <c r="K159" i="1"/>
  <c r="G160" i="1"/>
  <c r="H160" i="1"/>
  <c r="J160" i="1" s="1"/>
  <c r="K160" i="1"/>
  <c r="G161" i="1"/>
  <c r="H161" i="1" s="1"/>
  <c r="J161" i="1" s="1"/>
  <c r="K161" i="1"/>
  <c r="G162" i="1"/>
  <c r="H162" i="1" s="1"/>
  <c r="J162" i="1" s="1"/>
  <c r="K162" i="1"/>
  <c r="I165" i="1"/>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H154" i="1" l="1"/>
  <c r="J154" i="1" s="1"/>
  <c r="H98" i="1"/>
  <c r="J98" i="1" s="1"/>
  <c r="H106" i="1" s="1"/>
  <c r="J106" i="1" s="1"/>
  <c r="H47" i="1"/>
  <c r="J47" i="1" s="1"/>
  <c r="H63" i="1" s="1"/>
  <c r="J63" i="1" s="1"/>
  <c r="H114" i="1"/>
  <c r="J114" i="1" s="1"/>
  <c r="H125" i="1" s="1"/>
  <c r="J125" i="1" s="1"/>
  <c r="H105" i="1"/>
  <c r="J105" i="1" s="1"/>
  <c r="H78" i="1"/>
  <c r="J78" i="1" s="1"/>
  <c r="H79" i="1" s="1"/>
  <c r="J79" i="1" s="1"/>
  <c r="H163" i="1"/>
  <c r="J163" i="1" s="1"/>
  <c r="H164" i="1" l="1"/>
  <c r="J164" i="1" s="1"/>
  <c r="J166" i="1" l="1"/>
  <c r="J165" i="1"/>
</calcChain>
</file>

<file path=xl/sharedStrings.xml><?xml version="1.0" encoding="utf-8"?>
<sst xmlns="http://schemas.openxmlformats.org/spreadsheetml/2006/main" count="1175" uniqueCount="541">
  <si>
    <t>Projektname</t>
  </si>
  <si>
    <t>MwSt.</t>
  </si>
  <si>
    <t>Typ</t>
  </si>
  <si>
    <t>Ordnungszahl</t>
  </si>
  <si>
    <t>Kurztext</t>
  </si>
  <si>
    <t>Langtext</t>
  </si>
  <si>
    <t>Menge</t>
  </si>
  <si>
    <t>Einheit</t>
  </si>
  <si>
    <t>Einheitspreis</t>
  </si>
  <si>
    <t>Nachlass</t>
  </si>
  <si>
    <t>Gesamtpreis</t>
  </si>
  <si>
    <t>Preis nach Nachlass</t>
  </si>
  <si>
    <t>Leistungsbeschreibung</t>
  </si>
  <si>
    <t>Trockenbau</t>
  </si>
  <si>
    <t>Hinweistext</t>
  </si>
  <si>
    <t>DECKBLATT</t>
  </si>
  <si>
    <t>Leistungsverzeichnis
Anliegend übersenden wir Ihnen ein Leistungsverzeichnis mit der Bitte um ein Angebot
____________________________________________________________________
Bauvorhaben
Umbau und Sanierung
Jugendzentrum STEP
Stepgesstraße 20
41061 Mönchengladbach
Gewerk
Trockenbau
Auftraggeber
Stadt Mönchengladbach, Der Oberbürgermeister
GMMG Gebäudemanagement
41050 Mönchengladbach
____________________________________________________________________
Einzeltermine nach Bauzeitenplan
05.12.2025</t>
  </si>
  <si>
    <t>958eedbb-a44d-4be5-896c-310f2905bf09</t>
  </si>
  <si>
    <t>Inhaltsverzeichnis</t>
  </si>
  <si>
    <t>Inhaltsverzeichnis
A. 0     = Abkürzungsverzeichnis
A. 1     = Baubeschreibung
A. 2     = Vorbemerkungen zum
           Leistungsverzeichnis
A. 3     = Allgemeine Technische
           Vorbemerkungen (ATV)
A. 4     = Zusätzliche Technische
           Vertragsbedingungen (ZTV)
A. 5     = Bauschild
A. 6     = Allgemeine Hinweise zur
           Preisbildung
A. 7     = Ausführungsunterlagen
A. 8     = ZTV SiGeKo
A. 9     = Materialökologie
A. 10    = Zusätzliche allgemeine
           Technische Vorbemerkungen
A. 11    = zusätzliche Technische
           Vorbemerkung
A. 12    = Aufstellung beigelegter
           Anlagen
A. 13    = ATV für Bauleistungen
A. 14    = Hinweis Positionsbeschreibung
Titel 00 = Technische Vorbemerkungen
Titel 01 = Planung, Prüfung und
           Bemusterung
Titel 02 = Baustelleneinrichtung
Titel 03 = Kellergeschoss
Titel 04 = Sockelgeschoss
Titel 05 = Erdgeschoss
Titel 06 = Obergeschoss
Titel 07 = Dachgeschoss
Titel 08 = Zusätzliche Ausführungen
Titel 09 = Dokumentation
Titel 10 = Stundenlohnarbeiten</t>
  </si>
  <si>
    <t>c5d114a5-c90e-49de-af02-bba1d607bff8</t>
  </si>
  <si>
    <t>A.0 Abkürzungsverzeichnis</t>
  </si>
  <si>
    <t xml:space="preserve">                  A.0 Abkürzungsverzeichnis
AG     = Auftraggeber
AN     = Auftragnehmer
ARC    = Architekt
ATV    =  Allgemeine Technische
         Vertragsbedingungen
BE     = Baustelleneinrichtung
BG Bau = Berufsgenossenschaft der
         Bauwirtschaft
DepV   = Deponieverordnung
DIN    = Deutsche Industrienorm
EfbV   = Entsorgungsfachbetriebeverordn
         ung
EG     = Erdgeschoss
ELT    = Elektroinstallation
HLS    = Heizung-Lüftung-Sanitär
LAGA   =  Länderarbeitsgemeinschaft
         Abfall
LOG    = Logistiker
LV     = Leistungsverzeichnis
OÜ     = Objektüberwachung des AG
RTP    = Rahmenterminplan
SiGeKo =  Sicherheits- und
         Gesundheitskoordinator
TGA    =  Technische Gebäudeausstattung
üNN    =  über Normal-Null (in m)
UVV    = Unfallverhütungsvorschriften
VOB    = Verdingungsordnung für
         Bauleistungen
ZTV    =  Zusätzliche technische
         Vertragsbedingungen
ZVB    =  Zusätzliche
         Vertragsbedingungen</t>
  </si>
  <si>
    <t>73580009-9348-4c39-88d6-fdbd27793e84</t>
  </si>
  <si>
    <t>A.1 Baubeschreibung</t>
  </si>
  <si>
    <t>A.1 Baubeschreibung
Bauherr und Aufgabenstellung
Das Gebäudemanagement der Stadtverwaltung Mönchengladbach - kurz gmmg - hat nach einem vorangegangenen VGV-Verfahren Planungsleistungen der Phasen 3 bis 9 auf der Grundlage der Vorplanung und der Machbarkeitsstudie beauftragt.
Neben den baurechtlichen und technischen Anforderungen sind folgende Maßnahmen vorgesehen:
Kellergeschoss
Einrichtung des Jugend-Partizipations-Cafés im ehemaligen Lagerraum mit Küche, Theke, Lager, Bühne, W-LAN-Ecke, Garderobe und Schließfächern
Abtrennung einer Werkstatt für den Hausmeister
Sanierung und Erweiterung der WC-Anlagen inkl. Behinderten-WC
neuer Entrée-Bereich mit Sauberlaufzone
überdachter Treffpunkt mit Spiel und Sitzgelegenheiten
Lagerfläche für Spielmobil Sockelgeschoss
Neugestaltung des offenen Bereiches und Einbau von Prallschutzwandbelägen
Hebelift für Rollstuhl und Umbau der Treppenpodest-Situation
Sanierung der WCs (auch in der Hausmeisterwohnung) und Einbau eines Behinderten-WCs
Sanierung der Kassettendecken
Schachtwand für TGA
Überdachung des Innenhofes (Spielbereich)
Wiederherstellung der ursprünglich vorhandenen Treppenanlage (gespiegelt)
Errichtung eines Außenaufzuges für die barrierefreie Erschließung des gesamten Gebäudes
Montage einer Zaunanlage mit Zugangstüre
Abbruch Betonquader und Gestaltung der Freiflächen mit Bodendecker und Hecken
Erdgeschoss
Erweiterung der Foyer-Fläche zum Aktionsraum, neue Eingangssituation mit Sauberlaufzone
vorgelagerter Grünstreifen
Einrichtung eines Kunst- und Aktionsraumes
Hebelift für Rollstuhl und Umbau der Treppenpodest-Situation zur barrierefreien Erschließung der Bühnenfläche
Errichtung des 2. Rettungsweges für UG und EG durch Erweiterung des Treppenraumes
Sanierung (vollständiger Rückbau) der WCs und Einbau eines Behinderten-WCs mit Wickeltisch
Ausbau und Vergrößerung der Küche (vollständiger Rückbau)
Umstrukturierung des Cafés mit Theke unter Mitnutzung des Balkons
Schachtwand für TGA
Einbau einer neuen Türanlage zum Treppenhaus
Sanierung der Kassettendecken Obergeschoss
barrierefreie Erschließung der Etage über Aufzug
Montage einer Boulder-Wand mit Prallschutz
Sanierung von WCs und Umkleide, Einrichtung eines Behinderten-WCs
Einbau einer neuen Türanlage zum Treppenhaus
Schachtwand für TGA
Reihenbestuhlung für Veranstaltungen Dachgeschoss
Sanierung des WC-Bereiches
Sanierung des Medienraumes einschl. Brandschutzverglasung zum Luftraum
Einbau Aufenthaltsraum auf der Empore mit Balkon zum Luftraum
Schachtwand für TGA
Die Herrichtung eines neuen Aktions- und Kunstraumes sowie von Ausstellungsflächen im EG sollen zu einer einladenden Eingangssituation im Erdgeschoss führen und die Offenheit und Neuausrichtung der Einrichtung nach außen darstellen.
Äußerlich werden Teile der Betonflächen und Klinkerfugen, Pflasterflächen und ein Balkon instandgesetzt. Ferner wird die Außentreppe ergänzt und ein Aufzug errichtet.
Interim
Für die Dauer der Umbau- und Sanierungsmaßnahmen wird die Einrichtung komplett freigezogen, das Leiter- und Schulungsbüro im EG soll als Lagermöglichkeit dienen.
Haustechnische Maßnahmen dort wären vorzuziehen oder zuletzt auszuführen.
Die Interimsräume befinden sich im Vitus-Center (ca. 613 m² im ebenerdigen EG). Die Flächen eignen sich aufgrund des bereits umfangreich ausgestatteten Zustandes gut für eine temporäre Nutzung. Raumteilungen sind nur im geringen Umfang erforderlich und sollen in Tischlerarbeit erfolgen. Eine Vorabstimmung mit der Bauaufsichtsbehörde hat bereits stattgefunden. Ein Antrag auf Nutzugsänderung ist rechtzeitig zu stellen.
Inklusion
Die Anforderungen an eine barrierefreie öffentliche Einrichtung sind im Bestand oft nur schwer normgerecht umzusetzen, da die baulichen Gegebenheiten aus der Entstehungszeit des Gebäudes allein schon den geometrischen Vorgaben nicht entsprechen können.
Von Seiten der Inklusionsbeauftragten wurden folgende Anpassungen gefordert:
Die Erschließung des Obergeschosses ist derzeit nicht barrierefrei möglich. Somit ist die Erstellung eines Aufzuges im Sockelgeschoss neben der ebenfalls wieder hergerichteten Außentreppe vorgesehen. Dieser bedient das Erd- und Obergeschoss. Das Keller- und Sockelgeschoss kann von Straßenniveau aus erreicht werden.
Aufgrund der verschachtelten Geometrie und der Höhenversätze auch innerhalb der Geschosse sind bereits Rampen vorhanden, die eine Barrierefreiheit gewährleisten sollen. Die nachträglich installierte Rampe im Jugendcafé entspricht dabei nicht den maximalen Steigungsregeln und wird durch einen Hubaufzug ersetzt werden.
Zur Überwindung der Höhenunterschiede an der Treppenanlage im Sockelgeschoss (offener Bereich) ist dies ebenfalls eine einwandfreie Lösung zur Herstellung der Barrierefreiheit.
Der Zugang zur Bühne wird ebenfalls barrierefrei hergestellt.
Die zur Deckenkonstruktion gehörenden Rampen aus der Errichtungszeit vor dem Eingang zum Sockelgeschoss und innerhalb des Erdgeschosses sind ebenfalls etwas zu steil. Eine bauliche Anpassung an heutige Normen ist wirtschaftlich nicht darstellbar.
In jedem Geschoss ist nun die Einrichtung eines Behinderten-WCs vorgesehen, dabei kann im Obergeschoss die normgerechte Ausgestaltung der Bewegungsflächen und sonstigen Maßregeln aufgrund der erforderlichen Eingriffe in den Bestand (statische Belange) nicht hundertprozentig erfolgen.
Die Umsetzung weiterer Maßnahmen zur Herstellung der Barrierefreiheit wie zum Beispiel die Installation taktiler Leitsysteme, Schaffung von Kontrasten, Ertüchtigungsmaßnahmen für leichtgängige Türen usw. müssen im Zuge der weiteren Planung konkretisiert werden. Dafür empfiehlt sich die Beauftragung eines entsprechenden Sachverständigen, der auch das erforderliche Barrierefrei-Konzept erstellen muss.
Nach ausführlicher Planungs-Besprechung mit der Inklusionsbeauftragten werden generell die Möglichkeiten von Erleichterungen akzeptiert, um die Wirtschaftlichkeit der Maßnahmen nicht zu gefährden. Die Situation der Barrierefreiheit wird sich durch die geplanten Eingriffe deutlich verbessern.
Architektur / Innenarchitektur
Ausgangssituation (Bestand)
Der 5-geschossige Gebäudekomplex wurde als Jugendzentrum bauaufsichtlich genehmigt und 1981 fertiggestellt. Durch die Hanglage wird der Klinkerbau auf unterschiedlichen Ebenen erschlossen. Das Kellergeschoss ist von der Stepgesstraße über den Parkplatz erreichbar, während das Erdgeschoss derzeit nur über den Fußweg im Hans- Jonas-Park erschlossen wird. Die ehemalige Treppenanlage an der Stepgesstraße wurde vor unbestimmter Zeit abgebrochen.
Das Gebäude ist mit seiner verwinkelten Geometrie ein zeittypischer Kommunalbau, der vor allem durch seine innenräumliche Ausgestaltung überzeugt. Die Materialität und die Formensprache sind dabei Innen wie Außen konsequent identisch.
Eingriffe / Urheberrechte
Bezogen auf die Anforderungen, die derzeit an öffentliche Gebäude gestellt werden, besteht ein enormer Anpassungsbedarf. Mit den geplanten Eingriffen wird schonend und respektvoll mit der Substanz und dem Erhalt der Gesamterscheinung umgegangen.
Notwendige Eingriffe werden als solche erkennbar sein und nicht dem Versuch unterliegen, das Gebäude unter heutigen Gesichtspunkten "fertig zu bauen".
Einziger Schwerpunkt der Außengestaltung ist die geplante neue Erschließungstreppe inklusive des Aufzugsschachtes. Unter Einbeziehung der zu sanierenden Klinkerflächen an den Fluchtbalkonen soll ein der Umgebung farblich angepasster "Erschließungsknoten" entstehen, der den Besucher zukünftig mit seiner äußerst einladenden Geste in das Gebäude lenken soll, Orientierung bietet und charakteristisches Merkmal der Einrichtung werden kann.
Atmosphären
Die bisherige Nutzung des Gebäudes hat ihre Spuren hinterlassen. Es ist sehr schön zu erkennen, wie sich Nutzer und Besucher über die Jahre mit dem Bestand arrangierten und dabei fast liebevoll mit kreativem Reichtum und in Teilen vielleicht ungewollt einfallsreich improvisiert das Ihre zur Funktion beigetragen haben.
Es ist erstrebenswert, die gewachsene Atmosphäre möglichst weitreichend zu erhalten und erforderliche Maßnahmen behutsam durchzuführen.
Farben und Materialien
Das Gebäude besteht aus den Farben des verwendeten Materials wie Klinker und Beton. Geplante Eingriffe sind in der Studie farbig dargestellt, um dem Anspruch einer klaren Abgrenzung von Alt und Neu gerecht zu werden. Dies bedeutet aber keineswegs eine Festlegung auf konkrete Töne und dient lediglich als Platzhalter.
Innenausbau / Einrichtung
Die Einrichtungsplanung (Qualitäten und Quantitäten) ist mit dem Nutzer abgestimmt und wurde in den wesentlichen Bereichen visualisiert. Holz- und Metallflächen sollen dominieren, das Jugendpartizipationscafé erhält einen industriellen Charakter mit robusten Materialien und Oberflächen.
Brandschutz
Der zweite Rettungsweg für das geplante Partizipationscafé im Kellergeschoss kann über die vorhandene Treppe ins Erdgeschoss geführt werden, wenn wie dargestellt der Treppenraum dort bis zur Fassade erweitert und mindestens feuerhemmend ausgebildet wird. Türen im Verlauf sind ebenfalls mindestens feuerhemmend sowie rauchdicht und selbstschließend nach DIN EN 13501-2 auszuführen.
Der Medienraum im Obergeschoss kann mangels zweitem Rettungsweg nicht als Aufenthaltsraum genutzt werden. Die Verglasung zum Luftraum ist feuerhemmend nach DIN EN 13501-2 (E 30) zu verschließen.
Für den geplanten Besprechungsraum auf der Empore ist ein zweiter Rettungsweg über das Fenster (mind. 0,90 x 1,20 m im Lichten) erforderlich und möglich. Da die Brüstungshöhe bezogen auf die darunterliegende Geländehöhe mehr als 8 m beträgt, muss mit dem Hubleiterwagen der Feuerwehr angeleitert werden. Es wird davon ausgegangen, dass entsprechende Aufstellflächen im öffentlichen Straßenbereich nachgewiesen werden können.
Energieberatung / energetische Maßnahmen
Künftig wird Wärme zu 75 % über Luft-Wasser-Wärmepumpen erzeugt, die restlichen 25 % über ein wasserstofffähiges Gasbrennwertgerät. Der nach Gebäudeenergiegesetz erforderliche Mindestanteil an erneuerbarer Energie (65 %) wird somit eingehalten.
Eine Photovoltaik-Anlage mit rund 90 Modulen mit einer Leistung von etwa 40 kW peak wird auf dem bestehenden Dach installiert. Die Amortisation der Anlage wird mit rund achteinhalb Jahren angegeben. Die Autarkiequote soll bei rund 38 % liegen. Durch die Stromerzeugung wird eine CO²-Reduktion in Höhe von rund 12,4 Tonnen p.a. erwartet.
Die gmmg hat eine CO²-Bilanzierung als Voraussetzung für eine IHEK-Förderung in Auftrag gegeben. Der Bericht der Energieberatung stellt die Energiebilanz im Ist-Zustand und nach geplanter Installation von Wärmepumpen und einer Photovoltaik-Anlage dar. Demnach können durch die geplanten Maßnahmen rechnerisch 31 % der Energie eingespart werden.
Es ist geplant, möglichst zertifizierte Baustoffe zu verwenden, zum Beispiel Holz aus nachhaltiger Forstwirtschaft. Je nach Marktverfügbarkeit und Preislage werden auch recycelte Materialien wie zum Beispiel Fliesen verbaut. Zudem sollen recyclingfähige Materialien bevorzugt werden.
Die Einrichtung soll in Teilen als Upcycling entstehen. So ist unter Beteiligung der Jugendlichen angedacht, ein Upcycling-Projekt für definierte Wandteilflächen auszuloben, für die unter Verwendung von nicht mehr benötigten Materialien eine gebrauchsfähige Funktionsfläche konstruiert werden soll.
So kann zum Beispiel aus alten Holz- Weinkisten ein Wandregal entstehen, verzinkte Regalböden werden zur Pin- und Magnetwand und leere Flaschen erstrahlen als Leuchtkörper. Raumteiler aus Gabionen können als "Wechselausstellung" befüllt werden mit Sammlerstücken.
Heizung Lüftung Sanitär MSR
Heizung
Die maroden Heizungsleitungen und Fußbodenheizungsverteiler werden saniert und die einzelnen Räume mit funkgesteuerten Raumthermostaten versehen.
Durch den Einbau der Hebeliftanlagen und Aufstellen neuer Wände (evtl. in Klebetechnik) ist partiell ein Anpassen der Fußbodenheizung erforderlich. Im Erdgeschoss wird der gesamte Sanitär- und Küchenbereich entkernt und mitsamt Fußbodenheizung neu aufgebaut.
Im Kellergeschoss frei unter der Decke verlegte Leitungen werden von der KMF-belasteten Wärmedämmung befreit und optisch ansprechend neu gedämmt.
Lüftung / MSR
Defekte und marode Lüftungsanlagen werden einschließlich der abgängigen Steuerung saniert und hocheffiziente Motoren eingebaut.
Schadstoffhaltige Brandschutzklappen werden ausgetauscht.
Die Anlagen zur Wärmerückgewinnung werden saniert und optimiert.
Einzelne Anlagen in Verbindung mit der zukünftigen Nutzung des Jugendpartizipationscafés werden erneuert bzw. angepasst.
Eine bedarfsgerechte Luftführung entsprechend der tatsächlichen Luftqualitäten wird hergestellt. Sanitär
Aus hygienischen Gründen wird die gesamte Trinkwasserversorgung erneuert. Dabei wird auch die KMF-belastete Wärmedämmung ausgetauscht. Alle sanitären Einrichtungen werden erneuert.
Erforderliche Installationen für die neu gestalteten Küchenbereiche werden nach Vorgabe des separaten Fachplaners ausgeführt. Die Ausstattung mit Geräten ist mit dem Nutzer abgestimmt.
Ein rollstuhlgerechtes WC wird mit einem Wickeltisch ausgestattet.
Elektrotechnik
Aufbau einer PV-Anlage auf dem Dach mit einer Leistung von ca. 40 kW peak.
Installation einer aufgeschalteten flächendeckenden Brandmeldeanlage gemäß Brandschutzkonzept.
Herstellen einer Sicherheitsbeleuchtung und Kennzeichnung der Flucht- und Rettungswege gemäß Brandschutzkonzept.
Erneuerung der gesamten Grund-Beleuchtung mittels LED-Lampen zum Teil als Lichtschienensystem für eine nutzerfreundliche da flexible Gestaltung der Ausleuchtungs-Szenerien. Zusätzlich atmosphärische Beleuchtung mittels Spots mit Direkt / Indirekt-Anteil und Pendelleuchten sowie LED-Stripes.
Im Innenhof, im Treppenbereich und auf dem Balkon im Erd- und Obergeschoss sind Leuchten mit entsprechender Schutzart vorgesehen. Diese kommen auch im "offenen Umgang mit Kunst" zum Einsatz.
Erneuerung der nicht mehr zulässigen Haupt- und Unterverteilungen sowie der Verkabelung mittels halogenfreier Leitungen.
Aufbau einer strukturierten Verkabelung für ein flächendeckendes öffentliches WLAN-Netz im Gebäude. Aufbau der erforderlichen Installationen nach Angabe des Küchenplaners.
Rückbau des kostenintensiven Notstromaggregates.
Einbau einer Aufzugsanlage und Hebelifte für Rollstuhlfahrer zur Überwindung der "Split-Levels". Der vorhandene Lastenaufzug wird zurückgebaut.
Für die erforderliche Veranstaltungstechnik im Jugendpartizipationscafé (KG) und im Veranstaltungssaal (EG) hat ein externer Fachplaner in Abstimmung mit dem Nutzer die Bedarfe geplant.
Freianlagen
Parallel zur Erstellung der Machbarkeitsstudie wurden die projektübergreifenden Planungen der Planergruppe Oberhausen hinsichtlich der Neugestaltung des Hans-Jonas-Parks fertig gestellt. Die formulierten Nutzungsanforderungen hinsichtlich der Ausgestaltung einer "Stadtoase" (Freiflächengestaltung und Spielgerät auf dem Grundstück des STEP) wurden dort planerisch wie auch kostenmäßig separat erfasst.
Durch die vorliegende Planung ist der Freiraum neben der neuen Treppen- und Aufzugsanlage so gestaltet, dass keine unerwünschten und unkontrollierten Räume entstehen.
Dies wird erreicht durch die Abtrennung des Bereiches zur Kontrolle des Zutritts und durch die unzugängliche Freiflächengestaltung mittels Bodendeckern und Hecken.
Schadstoffe
Eine orientierende Schadstoffuntersuchung hinsichtlich von Verdachtsfällen auf Asbest insbesondere im Subbereich von Putzen und Spachtelmassen, PCB, PAK und KMF hat mittels einer sachkundigen Begehung stattgefunden.
Dabei wurden von verdächtigen Bausubstanzen Materialproben entnommen und im Labor auf den jeweiligen Schadstoffverdacht analysiert.
Asbest - Bei der orientierenden Schadstoffuntersuchung wurde bei allen entnommenen Proben kein Asbest nachgewiesen. Asbestfundstellen sind die visuell eingestuften Dichtungsflansche und die Brandschutzklappen.
Alle Arbeiten an asbesthaltigen Baustoffen müssen unter Berücksichtigung der Vorgaben aus der TRGS519 durchgeführt werden. Die Schutzmaßnahmen richten sich nach den durchzuführenden Arbeiten.
Die Arbeiten an den asbesthaltigen Bauteilen dürfen nur durch fach- und sachkundige Firmen durchgeführt werden. Die personenbezogenen und die technischen Schutzmaßnahmen sind zwingend einzuhalten.
KMF - Alle im Gebäude verbauten Mineralfasern werden als alte KMF eingestuft. Alle in Punkt 5 "Erkenntnisse zum Ortstermin" beschriebenen KMF-Fundstellen und alle nicht angesprochenen Fundstellen sind bei Eingriffen wie in Punkt 9 erläutert einzuordnen und zu behandeln.
PCB - Bei der orientierenden Gebäudeuntersuchung wurden keine PCB-haltigen Materialien vorgefunden.
PAK - Bei der orientierenden Gebäudeuntersuchung wurden keine PAK-haltigen Materialien vorgefunden. Caveat - Eventuell unerkannt vorliegende Altlasten
Die mit dem Bericht beschriebenen Untersuchungen wurden sorgfältig und nach bestem Wissen und Gewissen durchgeführt. Naturgemäß können bei derartigen Begehungen aufgrund zum Teil mangelnder Demontage- und Zugangsmöglichkeit nicht immer alle schadstoffhaltigen Materialien erkannt werden.
Treten bei ASI- Arbeiten bzw. bei Demontagen Zweifel an der Unbedenklichkeit bei zu demontierenden Teilen bzw. von Baustoffen auf, so sind die Arbeiten sofort einzustellen und die infrage stehenden Teile sachverständig nachträglich weiterführend zu begutachten.
Im Gebäude sind zum Teil (SG und EG) Kassettendecken aus Stahlbeton vorhanden, deren quadratische Hohlräume ursprünglich vermutlich zur optischen Erhöhung der Räume dienten und teilweise Lampenauslässe enthalten.
Teilweise sind nach Fertigstellung des Gebäudes Hohlräume mit eingelegten Heraklith-Platten und aufgelegter KMF eingebaut worden. Da sämtliche Elektroinstallationen erneuert werden müssen, Abhangdecken aber aufgrund der Reduktion der Raumhöhen ebenso wie eine auf-Putz-Installation nicht in Frage kommen, werden die Decken in den Ursprungszustand versetzt und mit abgehängten Lichtschienensystemen versehen.
Ein Rückbau- und Entsorgungskonzept wird zur Ausführungsplanung durch einen Schadstoff-Sachverständigen erstellt.
Arbeitsschutz
Derzeit befindet sich im Kellergeschoss ein Wasch- und Putzraum sowie ein Aufenthaltsraum für das Reinigungspersonal (ca. 2 Personen).
Ein Pausenraum ist gemäß den Arbeitsstättenrichtlinien erst ab 10 Beschäftigten erforderlich. Daher wurde in der Studie auf einen entsprechenden Nachweis verzichtet.
Alle weiteren Mitarbeiter der Einrichtung werden in den Büros oder sonstigen Räumlichkeiten wie Café etc. pausieren.
Zwecks Festlegung von erforderlichen Rettungswegbreiten und der Anwendbarkeit der Versammlungsstättenverordnung sowie zur Festlegung der Anzahl von erforderlichen Sanitäranlagen ist die geplante Anzahl von Personen in den jeweiligen Bereichen nach Absprache zwischen Bauherrin und Nutzer abgestimmt worden.
Im weiteren Verlauf der Planung sind diese Annahmen laufend zu verifizieren.
Die Möblierung und Ausstattung des STEP wird für die Baumaßnahme vollständig aus den zu bearbeitenden Räumen entfernt und eingelagert oder im Interim verwendet. Möglich ist die Einlagerung in Räumen der Einrichtung, die in der Vorplanung nicht farbig bzw. nicht grau hinterlegt sind.
Unter Berücksichtigung eventueller Verkehrs- und Transportwege für die ausführenden Handwerker eignen sich dabei die an der Außenwand angeordneten Räume (v.a. KG 1.06 Übungsraum, SG 1.04 Werkraum, SG 1.03 Betreuung, SG 1.27-29 Spielgruppe und SG 1.31 Spielraum).
Sollte in diesen Räumen aufgrund von Arbeiten an den Ver- und Entsorgungssträngen Maßnahmen erforderlich sein, können diese vor der Einlagerung zeitlich vorgezogen werden.
Bezeichnung des Vorhabens:
Umbau und Sanierung Jugendzentrum STEP, teilweise Errichtung und Nutzungsänderung
Im Wesentlichen handelt es sich bei der eingereichten Genehmigungsplanung um folgende Maßnahmen:
Untergeschoss
Nutzungsänderung / Umbau:
01-KG-G0010 (derzeit ohne Nutzung) ist geplant als überdachter Treffpunkt mit Spiel und Sitzgelegenheiten
01-KG-00010 ist geplant als Jugendpartizipationscafé mit Küche (01-KG-00030), Theke, Lager (01-KG-00040), Bühne, Computerecke, Garderobe und Schließfächern (alle Räume derzeit Lagerraum)
01-KG-00050 (derzeit Lager) ist geplant als Hausmeister-Werkstatt
01-KG-00060 (derzeit Raum für Notstromaggregat) ist geplant als Raum für Elektrotechnik
01-KG-00080 (derzeit Instrumentenraum) ist geplant als Technikraum für die Lüftungsanlage und als Batteriespeicherraum für die neu geplante Photovoltaikanlage auf der Dachfläche
Errichtung:
01-KG-F0010 (derzeit überdachter Außenraum) ist geplant als neuer Entrée-Bereich mit Sauberlaufzone
01-KG-00200, 01-KG-F0030, 01-KG-00160, 01-KG-00170, 01-KG-180, 01-KG-00190 sind geplant als Behinderten-WC, Flur, Waschräume und Toilettenräume (alle Räume derzeit überdachter Außenbereich)
01-KG-00230 (derzeit überdachter Außenbereich) ist geplant als Lager für das Spielmobil
Sockelgeschoss
Umbau:
Neugestaltung des offenen Bereiches und Einbau von Prallschutzwandbelägen
01-SG-00060 Einbau eines Behinderten-WCs
Installation Hebelift für Rollstuhl und Umbau der Treppenpodest-Situation
01-SG-00010 Einbau einer Schachtwand für TGA
01-SG-00150 (derzeit Abstellraum) ist geplant für Einbau der BMZ als neuer Standort (derzeit 01- EG-00010)
Errichtung:
Überdachung der Außenterrasse als Wetterschutz
Wiederherstellung der ursprünglich vorhandenen Treppenanlage in das EG (gespiegelt)
Errichtung eines Außenaufzuges für die barrierefreie Erschließung von SG bis OG
Montage einer Zaunanlage mit Zugangstüre an der Treppenanlage
Abbruch Betonquader und Gestaltung der Freiflächen mit Bodendecker und Hecken Sanierung:
Sanierung der Sanitärräume (auch in der Hausmeisterwohnung)
Sanierung der Kassettendecken nach Rückbau- und Entsorgungskonzept
Erdgeschoss
Umbau / Sanierung:
01-EG-00010 Vergrößerung der Aktions- und Kunstraumes
Installation Hebelift für Rollstuhl und Umbau der Treppenpodeste zur barrierefreien Erschließung der Bühnenfläche
Errichtung des 2. Rettungsweges für UG und EG durch Erweiterung des Treppenraumes
Sanierung (vollständiger Rückbau) der WCs und Einbau eines Behinderten-WCs mit Wickeltisch
Ausbau und Vergrößerung der Küche (vollständiger Rückbau)
Umstrukturierung des Cafés mit Theke unter Mitnutzung des Balkons
Einbau von Schachtwänden für die TGA
Sanierung der Kassettendecken nach Rückbau- und Entsorgungskonzept
01-EG-TF010 Einbau einer neuen Türanlage zum Treppenhaus Errichtung:
01-EG-F0010 (derzeit überdachter Außenraum) ist geplant als Ausstellungs- und Foyer-Fläche
Obergeschoss
Umbau / Sanierung:
01-1O-00030 barrierefreie Erschließung der Etage über Aufzug
01-1O-00030 Montage einer Boulder-Wand mit Prallschutz
Sanierung von WCs und Umkleide, Einrichtung eines Behinderten-WCs
01-1O-TF010 Einbau einer neuen Türanlage zum Treppenhaus
Einbau von Schachtwand für TGA
01-1O-00030 Reihenbestuhlung für Veranstaltungen gemäß Bestuhlungspläne
Dachgeschoss
Nutzungsänderung / Errichtung:
01-EM-00040 (derzeit Balkon) ist geplant als abgetrennter Besprechungsraum mit Balkon Umbau / Sanierung:
 Sanierung des WC-Bereiches
 01-EM-00010 Sanierung des Medienraumes einschl. Brandschutzverglasung zum   Luftraum
 Einbau von Schachtwand für TGA
Darüber hinaus sind im Wesentlichen die folgenden Maßnahmen geplant:
Errichtung einer Photovoltaik-Anlage auf dem Dach der Einrichtung
Aufstellung von Wärmepumpen im Außenbereich
Erneuerung des Gasbrennwert-Heizkessels
Erneuerung / Sanierung der elektrischen Anlagen über alle Geschosse
Erneuerung der BMA und BMZ
Erneuerung / Sanierung der Trinkwasserleitungen und Sanitärobjekte in allen Etagen
Brandschutztechnische Sanierung gemäß Brandschutzkonzept über alle Geschosse
Erneuerung bzw. Instandsetzung der RLT-Anlagen
Stilllegung des Getränkeaufzuges von SG bis EG
Leistungsumfang dieser Ausschreibung:
Die GBA Gesellschaft für Bioanalytik mbH aus Mönchengladbach und die Z² Umwelttechnik GmbH aus Viersen haben Gebäudesubstanzuntersuchungen durchgeführt.
Die folgenden Unterlagen liegen dieser Leistungsbeschreibung bei und sind gleichermaßen Vertragsbestandteil:
Ausführungsplanung:  Umbau  und  Sanierung  STEP  Mönchengladbach,  M.  =  1 : 50, Baumschlager Eberle Pagelhenn GmbH, Stand 14.11.2024.
Gebäudeuntersuchung auf Schadstoffe, Objekt: Jugendzentrum Step, Stepgesstr. 20, Mönchengladbach,  Bericht  Nr.  20900282A.  GBA  Gesellschaft  für  Bioanalytik  mbH, 23.03.2020.
Schadstoffkataster, Stellungnahme zu den durchgeführten Gebäudesubstanzuntersuchungen. BVH: Mönchengladbach, Stepgesstraße - Jugendzentrum STEP. Projektnummer 2024-144.0, Z² Umwelttechnik GmbH, 28.02.2025.
Wesentliche Aspekte der vorgesehenen Sanierungsmaßnahmen sind:
Demontage einer asbesthaltigen Brandschutzklappe
Demontage einer asbesthaltigen Abdichtung unterhalb des Estrichs im Bereich des Kellergeschosses
Demontage von Asbestzementplatten an der Unterseite der Sitzbänke in der Kaminecke im Bereich des Erdgeschosses
Demontage der KMF-Dämmung oberhalb der Heraklith-Deckenelemente, welche im gesamten Gebäude weit verbreitet sind.
Diese sowie weitere, kleinere Demontage- und Teilabbruch-Maßnahmen sind unten sowie in den Planungsunterlagen der Baumschlager Eberle Pagelhenn GmbH detailliert aufgeführt.
Alle Abfälle aus der Schadstoffsanierung und den Demontage- bzw. Teilrückbauarbeiten sind einer externen Verwertung / Beseitigung zuzuführen.
Die Bereitstellung zur Entsorgung, Transportkosten, Kippgebühren und sonstige Neben- &amp; Verwaltungskosten der Entsorgung sind in die u.g. Positionen einzupreisen.</t>
  </si>
  <si>
    <t>178c4929-6d08-41ba-b931-135f3f96162b</t>
  </si>
  <si>
    <t>A.2 Vorbemerkungen zum Leistungsverzeichniss</t>
  </si>
  <si>
    <t>A.2 Vorbemerkungen zum Leistungsverzeichniss
Zusätzliche technische Vertragsbedingungen zur VOB, Teil C
zu § 7 Abs. (1) - (3) VOB/A und Anhang TS gemäß Abs. 1 des Abschnitts 0 der ATV DIN 18299: Die folgenden Regelungen sind bei allen Titeln des Leistungsverzeichnisses zu beachten.
Im Weiteren wird explizit auf die Ausführungen in der Leistungsbeschreibung hingewiesen.
Soweit in der Leistungsbeschreibung auf technische Spezifikationen (z. B. nationale Normen, mit denen europäische Normen umgesetzt werden, europäische technische Zulassungen, gemeinsame technische Spezifikationen, internationale Normen) Bezug genommen wird, werden auch ohne den ausdrücklichen Zusatz: "oder gleichwertig", immer gleichwertige Technische Spezifikationen in Bezug genommen.</t>
  </si>
  <si>
    <t>3c728cc0-6051-42f1-a00d-81f43397fe14</t>
  </si>
  <si>
    <t>A.3 Allgemeine Technische Vorbemerkungen</t>
  </si>
  <si>
    <t>A.3 ATV
Die laufende Nummerierung der nachfolgenden Punkte bezieht sich auf die Vorgaben der VOB/Teil C,DIN 18299.
Nachstehend sind die Angaben für alle Gewerke aufgeführt
Für die ausgeschriebenen Leistungen gelten die jeweils relevanten Aussagen
A3.1Angaben zur Baustelle
A3.1.1Lage der Baustelle, Umgebungsbedingungen, Zufahrtsmöglichkeiten und Beschaffenheit der Zufahrt sowie etwaige Einschränkungen bei ihrer Benutzung.
wie Baustelleneinrichtungsplan (des AN)
A3.1.2Besondere Belastungen aus Immissionen sowie besondere klimatische oder
              betrieblicheBedingungen.
Keine
A3.1.3Art und Lage der baulichen Anlagen, z. B.  auch Anzahl und Höhe der               Geschosse.
siehe Baubeschreibung
A3.1.4Verkehrsverhältnisse auf der Baustelle, insbesondere                  Verkehrsbeschränkungen.
keine wesentlichen Einschränkungen
A3.1.5Für den Verkehr freizuhaltende Flächen.
PKW-Stellplätze können genutzt werden
A3.1.6Art, Lage , Maße und Nutzbarkeit von Transporteinrichtungen und               Transportwegen, z. B. Montageöffnungen.
wie Baustelleneinrichtungsplan (des AN)
A3.1.7Lage, Art, Anschlusswert und Bedingungen für das Überlassen von                 Anschlüssen für Wasser, Energie und Abwasser.
wie Baustelleneinrichtungsplan (des AN)
A3.1.8Lage und Ausmaß der dem Auftragnehmer für die Ausführung seiner
              Leistungen zur Benutzung oder Mitbenutzung überlassenen Flächen,
              Räume.
wie Baustelleneinrichtungsplan (des AN)
Im Bereich der Baustelle stehen Flächen zur Verfügung
Die Zuweisung der Fläche erfolgt durch die AG-Bauleitung
A3.1.9Bodenverhältnisse, Baugrund und seine Tragfähigkeit. Ergebnisse von
              Bodenuntersuchungen.
nicht Bestandteil dieser Ausschreibung
A3.1.10Hydrologische Werte von Grundwasser und Gewässern. Art, Lage, Abfluss, Abflussvermögen und Hochwasserverhältnisse von Vorflutern. Ergebnisse
                von Wasseranalysen.
nicht Bestandteil dieser Ausschreibung
A3.1.11Besondere umweltrechtliche Vorschriften.
allgemeine und gesetzliche Anforderungen wie z.B. Lärmschutz sind einzuhalten
A3.1.12Besondere Vorgaben für die Entsorgung, z. B. besondere Beschränkungen
                für die Beseitigung von Abwasser und Abfall.
allgemeine und gesetzliche Anforderungen sind einzuhalten
A3.1.13Schutzgebiete oder Schutzzeiten im Bereich der Baustelle, z. B. wegen
               Forderungen des Gewässer-, Boden-, Natur-, Landschafts- oder
               Immissionsschutzes; vorliegende Fachgutachten oder dergleichen.
allgemeine und gesetzliche Anforderungen sind einzuhalten
A3.1.14Art und Umfang des Schutzes von Bäumen, Pflanzenbeständen,
               Vegetationsflächen, Verkehrsflächen, Bauteilen, Bauwerken, Grenzsteinen                     und dergleichen im Bereich der Baustelle.
Vegetationsflächen werden bauseits für den Baustellenbetrieb freigehalten (Vorbereitet)
andere Vegetations-Bereiche sind nach BE-Plan des AN zu schützen
A3.1.15Im Bereich der Baustelle vorhandene Anlagen, insbesondere Abwasser- und                 Versorgungsleitungen.
Siehe Lageplan zum Bestand
im Rahmen der Baustelleneinrichtungsplanung des AN
A3.1.16Bekannte oder vermutete Hindernisse im Bereich der Baustelle, z. B.
                Leitungen, Kabel, Dräne, Kanäle, Bauwerksreste und, soweit bekannt, deren                  Eigentümer.
siehe Ausführungsplanung Bestand TGA
A3.1.17Bestätigung, dass die im jeweiligen Bundesland geltenden Anforderungen zu                 Erkundungs- und gegebenenfalls Räumungsmaßnahmen hinsichtlich
                Kampfmitteln erfüllt wurden.
nicht Bestandteil dieser Ausschreibung
A3.1.18Ggf. gemäß der Baustellenverordnung getroffene Maßnahmen.
keine
A3.1.19Besondere Anordnungen, Vorschriften und Maßnahmen der Eigentümer
                (oder der anderen Weisungsberechtigten) von Leitungen, Kabeln, Dränen,
                Kanälen, Straßen, Wegen, Gewässern, Gleisen, Zäunen und dergleichen im
                Bereich der Baustelle.
keine
A3.1.20Art und Umfang von Schadstoffbelastungen, z. B. des Bodens, der
               Gewässer, der Luft, der Stoffe und Bauteile; vorliegende Fachgutachten oder
               dergleichen.
nicht Bestandteil dieser Ausschreibung
A3.1.21  Art und Zeit der vom Auftraggeber veranlassten Vorarbeiten.
keine
A3.1.22  Arbeiten anderer Unternehmer auf der Baustelle.
Gewerk TGA (ELT, Klima und Lüftung)
Gewerk Rohbau
A3.2  Angaben zur Ausführung
A3.2.1 Vorgesehene Arbeitsabschnitte, Arbeitsunterbrechungen und
                 Arbeitsbeschränkungen nach Art, Ort und Zeit sowie Abhängigkeit von                           Leistungen anderer.
siehe Leistungsbeschreibung
A3.2.2Besondere Erschwernisse während der Ausführung, z.B. Arbeiten in
               Räumen, in denen derBetrieb weiterläuft, Arbeiten im Bereich von
               Verkehrswegen, oder bei außergewöhnlichenäußeren Einflüssen.
s. Leistungsbeschreibungen
A3.2.3Besondere Anforderungen für Arbeiten für Arbeiten in kontaminierten                              Bereichen, ggf.besondere Anordnungen für Schutz- und
               Sicherheitsmaßnahmen.
s. Leistungsbeschreibungen
A3.2.4Besondere Anforderungen an die Baustelleneinrichtung und
               Entsorgungseinrichtungen,z.B. Behälter für die getrennte Erfassung.
s. Leistungsbeschreibungen
A3.2.5Besonderheiten der Regelung und Sicherung des Verkehrs, ggf. auch,                             wieweit der Auftraggeber die Durchführung der erforderlichen Maßnahmen                     übernimmt.
im Rahmen der Baustelleneinrichtung
A3.2.6Besondere Anforderungen an das Auf- und Abbauen sowie Vorhalten von                       Gerüsten.
s. Leistungsbeschreibungen
A3.2.7Mitbenutzung fremder Gerüste, Hebezeuge, Aufzüge, Aufenthalts- und
            Lagerräume, Einrichtungen und dergleichen durch den Auftragnehmer.
s. Leistungsbeschreibungen
A3.2.8Wie lange, für welche Arbeiten und ggf. für welche Beanspruchung der
            Auftragnehmer Gerüste, Hebezeuge, Aufzüge, Aufenthalts- und Lagerräume,                   Einrichtungen und dgl. für andere Unternehmer vorzuhalten hat.
s. Leistungsbeschreibungen
A3.2.9Verwendung oder Mitverwendung von wiederaufbereiteten (Recycling-)                           Stoffen.
Siehe Leistungspositionen
A3.2.10Anforderungen an wiederaufbereitete (Recycling-)Stoffe und an nicht
              genormte Stoffe und Bauteile.
Siehe Leistungspositionen
A3.2.11Besondere Anforderungen an Art, Güte und Umweltverträglichkeit der                              Stoffe und Bauteile, auch z. B. an die schnelle biologische Abbaubarkeit                          von Hilfsstoffen.
Siehe Leistungspositionen
A3.2.12Art und Umfang der vom Auftraggeber verlangten Eignungs- und
               Gütenachweise.
Siehe Leistungspositionen
A3.2.13Unter welchen Bedingungen auf der Baustelle gewonnene Baustoffe
                verwendet werden dürfen oder müssen oder einer anderen Verwertung
                zuzuführen sind.
nicht Bestandteil dieser Ausschreibung
A3.2.14Art, Zusammensetzung und Menge der aus dem Bereich des Auftraggebers
               zu entsorgenden Böden, Stoffe und Bauteile; Art der Verwertung bzw. bei                       Abfall die Entsorgungsanlage; Anforderungen an die Nachweise über
               Transporte, Entsorgung und die vom Auftraggeber zu tragenden                                       Entsorgungskosten.
nicht Bestandteil dieser Ausschreibung
A3.2.15Art, Anzahl, Menge oder Masse der Stoffe und Bauteile, die vom                                       Auftraggeber beigestellt werden sowie Art, genaue Bezeichnung des Ortes
               und Zeit ihrer Übergabe.
nicht Bestandteil dieser Ausschreibung
A3.2.16In welchen Umfang der Auftraggeber Abladen, Lagern und Transport von                       Stoffen und Bauteilen übernimmt oder dafür dem Auftragnehmer Geräte oder                 Arbeitskräfte zur Verfügung stellt.
Auftrag und Aufgabe des AN
der AG übernimmt keine Transporte
A3.2.17Leistungen für andere Unternehmer.
Siehe Leistungspositionen
A3.2.18Mitwirken beim Einstellen von Anlageteilen und bei der Inbetriebnahme von                    Anlagen im Zusammenwirken mit anderen Beteiligten, z.B. mit dem
                Auftragnehmer für die Gebäudeautomation.
Siehe Leistungspositionen
A3.2.19Benutzung von Teilen der Leistung vor der Abnahme.
Siehe Leistungspositionen
A3.2.20Übertragung der Wartung während der Dauer der Verjährungsfrist für die                        Mängelbeseitgungsansprüche für maschinelle und elektrotechnische  /
               elektronische Anlagen oder Teile davon, bei denen die Wartung Einfluss auf                   die Sicherheit und die Funktionsfähigkeit hat (vergleiche § 13 Nr. 4 Abs. 2
               VOB/B), durch einen besonderen Wartungsvertrag.
Siehe Leistungspositionen
A3.2.21Abrechnung nach bestimmten Zeichnungen oder Tabellen.
gemäß VOB Teil C DIN 18299 Kapitel 5</t>
  </si>
  <si>
    <t>749b552c-951e-434e-80fe-876f6b3741c7</t>
  </si>
  <si>
    <t>A.4 Zusätzliche Technische Vertragsbedingungen</t>
  </si>
  <si>
    <t>A.4 Zusätzliche Technische Vertragsbedingungen
Zusätzliche Technische Vertragsbedingungen unter Berücksichtigung projektspezifischer Anforderungen
1. Allgemeine Hinweise:
Für nachfolgend beschriebene Leistungen gelten die Verarbeitungsvorgaben und Einbauanweisungen der Hersteller für die eingesetzten Baustoffe, -elemente und -produkte, die Publikationen der im jeweiligen Fachbereich allgemein anerkannten Verbände und der sonstigen Herausgeber von Richtlinien, Merkblättern, Empfehlungen etc. in der zum Zeitpunkt der Ausführung gültigen Fassung als vereinbart.
Im Fall von Widersprüchen gilt die weiterreichende bzw. qualitativ höherwertige Anforderung als vereinbart.
Alle für ein Bauteil oder Bauelement erforderlichen Bestandteile sind aus dem System eines Materialherstellers zu beziehen und als durchgängige Produktlinien anzubieten.
Alle Bauteile ähnlicher Art und Lage müssen aufeinander abgestimmte Oberflächen, Farbtöne, Falzgeometrien, Kantenausbildungen, Beschläge etc. aufweisen, um eine gestalterische Durchgängigkeit zu gewährleisten.
2 Baustelleneinrichtung
2.1 Lager- und Arbeitsflächen, Aufenthaltscontainer
In diesem konkretisierten Baustelleneinrichtungsplan sind die Stellflächen für die AN-seitig gestellten Container und sonstigen Baustelleneinrichtungsteile eingetragen. Das Anlegen oder der Rückbau weiterer im Zuge der Bauausführung für den AN notwendigen befestigten Flächen für Krane, Stellplätze und Anderes, sind nach Rücksprache mit der Bauüberwachung des AG auszuführen. Nach Beendigung der Baumaßnahme hat der Auftragnehmer dem Auftraggeber diese Flächen im Urzustand wieder herzustellen und in einem ordnungsgemäßen Zustand zu übergeben, außer das LV sieht eine diesbezüglich beschriebene Bearbeitung der Flächen vor. Etwaige verbliebene Verunreinigungen werden unter den Voraussetzungen der VOB/B und des BGB gegen Inkostenstellung gegenüber dem Auftragnehmer durch den Auftraggeber beseitigt.
Die abschließende Zuweisung der Stellflächen erfolgt nach Anmeldung des Platzbedarfs durch die örtliche Bauleitung des AN in Abstimmung mit dem AG und der Bauüberwachung des AG. Dies gilt auch für die Nutzung von Lagerflächen. Der AG behält sich vor, diese Flächen auch durch andere Gewerke bis zur Erstellung der Außenanlagen zu nutzen.
Die Baustelle darf nur für Waren-, Baustoff- und Bauteiltransporte mit Lieferfahrzeugen befahren werden. Das Befahren der Baustelle darf nur über die hierfür gekennzeichneten Zufahrten erfolgen, die anderen Straßen sind vom Baustellenverkehr weitestgehend freizuhalten. Das Ab-, Auf- und Umladen von Waren, Baustoffen und Bauteilen muss an den hierfür vorgesehenen Positionen auf der Baustelle erfolgen. Verkehrs- und Rettungswege auf der Baustelle sind freizuhalten. Die im Baustelleneinrichtungsplan als Feuerwehrzufahrten markierten Flächen zu den Bestandsgebäuden  müssen auch während der Bauphase freigehalten werden. Das unmittelbare Baufeld besitzt während der Bauphase keine Flächen für Stellplätze, LKW sind sofort zu entladen und zeitnah aus dem Baufeld abzufahren.
2.2 Zusätzlicher Flächenbedarf für die Baustelleneinrichtung
Nicht erforderlich.
2.3 Wiederherstellung Baustelleneinrichtungsfläche
Der AN hat nach Beräumung die Baustelleneinrichtungsfläche wieder in den vorgefundenen Zustand zu versetzen. Leitungen, Materialien, Transporthilfen, Abfall und Fundamente des AN sind zu entfernen.
2.4 Anschlüsse für die Baustelleneinrichtung
Der AG stellt dem AN bereits am Baugrundstück vorhandene Anschlüsse kostenfrei zur Verfügung. Sind keine Anschlüsse vorhanden oder reichen deren Kapazitäten für den Baustellenbetrieb des AN nicht aus, so versorgt sich der AN im Rahmen seiner Leistungen eigenständig mit allen erforderlichen Medien, Anschlüssen und Verteilungen.
Die Anschlüsse für Medien (Strom- und Wasserversorgung, Abwasserentsorgung) sind bauseits vorhanden und können für die Baustelleneinrichtung und für den Bauablauf genutzt werden. Die Dimensionen dieser Anschlüsse sind für reguläre Nutzungen ausreichend.
2.5 Erscheinungsbild
Der AG legt großen Wert auf ein sauberes und geordnetes Erscheinungsbild der Baustelle und der Baustelleneinrichtung. Alle großflächigen oder -formatigen Bestandteile der Baustelleneinrichtung des AN sind in sauberem, ordentlichem, neuwertigem Zustand an der Baustelle aufzubauen. Dies betrifft insbesondere Container, Gerüste und Bauzäune.
Fahrzeuge des AN dürfen nur zu Anliefungszwecken kurzzeitig im Baufeld stehen. Das Parken im Baufeld oder dem Schulgelände ist ausdrücklich verboten.
2.6 Feuerwehrzufahrten/Fluchtwege
Die Feuerwehrzufahrts- und erforderlichenfalls Umfahrmöglichkeit ist vom AN über die gesamte Dauer der Bauzeit zu gewährleisten. Ebenfalls freizuhalten sind alle Flucht-/Rettungswege im und aus dem Gebäude.
2.7 Arbeitsgeräte und -gerüste
Die Wahl der zum Einsatz kommenden Geräte obliegt dem AN. Er hat sich jedoch an die geltenden Richtlinien und Bestimmungen zu halten. Hilfskonstruktionen und Abstützungen sind, soweit sie nicht ausdrücklich ausgewiesen sind, in die EP einzukalkulieren.
2.8 Sicherungs- und Schutzmaßnahmen
Der AN schützt die übrigen Bauausführenden vor allen aus seinen Tätigkeiten herrührenden Gefahren durch (Absturz-)Sicherungen, Abschrankungen, Markierungen etc. Die vom AN diesbezüglich auszuführenden Leistungen verstehen sich einschließlich Aufbau, Vorhaltung, Unterhalt, regelmäßiger Kontrolle und Instandsetzung sowie Rückbau nach Beseitigung der Gefahr bzw. nach Aufforderung durch den AG.
Die Absturzsicherungen sind durch die Gewerke im Bauablauf nach montagebedingten Demontagen unverzüglich wieder herzustellen.
2.9 Bauzwischen- und Montagezustände
Alle für den AN zum Angebotsabgabezeitpunkt erkennbaren Leistungen für Provisorien, Bauzwischenzustände und Montagezustande, die er zur Erbringung seiner Leistungen benötigt, sind Bestandteil der Leistungen des AN. Hierzu zählen neben Hilfsmitteln und -gerüsten auch Verstärkungen und Dimensionierungen von Bauteilen für Belastungen während des Transports oder der Montage.
3. Vorleistungen des AG
Der AN erhält zur Ausführung seiner Leistungen Pläne gem. Anlagenverzeichnis als Download im PDF-Format. Papierausgaben werden nicht zur Verfügung gestellt.
Dem AN obliegt jegliche über die den Vergabeunterlagen beigefügten Planungen und Berechnungen hinausgehende Leistung in nachfolgend beschriebenem Umfang.
Mögliche produktionstechnische Änderungen sind vom Auftragnehmer zu planen und mit dem Auftraggeber abzustimmen.
Der AN fertigt vor Ausführung seiner Arbeiten zunächst eine Planlieferliste und einen Planungsablaufplan und sodann mittels CAD eine prüfbare Werkstatt- und Montageplanung/ Zeichnungen an, die die zu erbringenden Leistungen insbesondere in Bezug auf folgende Inhalte umfänglich darstellen:
Baustelleneinrichtungsplan
Rückbaukonzept
Terminplan (mit Fortschreibungen)
Für die Gerüstbauarbeiten erstellt der AN eine prüffähige Ausführungsstatik und einen Ankerplan (Befestigungen in der Fassade) sowie ein Konzept für das Verschließen von Öffnungen der Anker (nach Demontage).
Die Werk- und Montageplanung der tragenden Bauteile ist abschnittsweise dem Prüfingenieur zur Prüfung und dem Tragwerksplaner zur Sichtung vorzulegen.
Entsprechende Vorlauffristen zur Produktion sind einzukalkulieren.
Der AN ist für die korrekte Dimensionierung der Bauteile allein verantwortlich. Eventuell vom AG in den Ausschreibungsunterlagen oder Plänen getätigte Bemessungen oder Querschnittsangaben verstehen sich nur als Kalkulationshilfe und sind vom AN alleinverantwortlich zu verifizieren.
Die Anfertigungen werden im Format PDF an den AG durch Upload in den Internet-Projektraum zur Sichtung übergeben.
Mit den Dokumenten sind dem AG die bauaufsichtlichen Prüfzeugnisse und -zulassungen aller Produkte, die solche Zulassungen benötigen, zu übergeben.
Nach Abschluss der Arbeiten sind die Revisionsunterlagen, Revisionspläne bzw. -zeichnungen/Skizzen im PDF-Format an den AG zu übergeben.
Der AN erstellt örtliche Aufmaße als Grundlage seiner Planungen, Bestellungen, Fertigungen und Montagen.
Der AG behält sich vor, jegliche vom AN erstellte Planung innerhalb von 10 Werktagen nach Zugang zu sichten und Prüfanmerkungen in der Planung des AN zu tätigen.
Der AN ist verpflichtet, die Prüfanmerkungen des AG innerhalb von 5 Werktagen in seine Planung einzuarbeiten.
Der AN erstellt seine Planung daher so frühzeitig, dass er eventuelle Prüfanmerkungen des AG rechtzeitig vor Materialdisposition und Ausführungsbeginn noch in seine Planungen einarbeiten kann.
Soweit der AN der Auffassung ist, dass die Umsetzung der Prüfanmerkungen des AG nicht seinem vertraglich geschuldeten Leistungssoll entspricht oder Bedenken gegen den Planungswillen des AG sprechen, zeigt der AN dem AG dies innerhalb von 5 Werktagen nach Zugang der Prüfanmerkungen schriftlich an.
Eine freigegebene Planung (Konzept etc.) entbindet den AN aber nicht von seiner eigenen Prüfungs- und Hinweispflicht und von seiner Verantwortung. Diese bleibt unberührt.
4 Prüfungen, Abnahmen, Gebühren
4.1 Prüfungen und Abnahmen
Der AN veranlasst und koordiniert sämtliche noch nicht erfolgten bzw. noch ausstehenden behördlich oder öffentlich-rechtlich geforderten Nachweise, Prüfungen und Abnahmen für die von ihm erbrachten Bauleistungen. Alle hierbei entstehenden Aufwendungen für Prüfgebühren, Prüfkörper, Laborversuche etc. sind vom AN zu tragen. Der AN ist für die Rechtzeitigkeit der Veranlassung der Prüfungen verantwortlich.
4.2 Zustimmungen im Einzelfall (ZiE)
Der AN verwendet ausschließlich bauaufsichtlich zugelassene (ABZ) oder bauaufsichtlich geprüfte (ABP) Baustoffe und -elemente oder solche mit CE-Konformitätserklärung des Herstellers. Sind solche Baustoffe oder -elemente in Ausnahmefällen nicht verfügbar, so ist der AN für den Nachweis der Rechtmäßigkeit der Ausführung verantwortlich. Soweit hierfür eine Zustimmung im Einzelfall (ZiE) erforderlich ist, besorgt der AN diese. In diesem Fall ist es Sache des AN, die ZiE terminlich zu koordinieren und alle entstehenden Kosten und Gebühren für Versuche, Berechnungen, Gutachten, Prüfungen/Versuche und Genehmigungen zu tragen.
5 Dokumentation
Der AN erstellt als Fortschreibung der Planung in Bezug auf alle vom AN tatsächlich ausgeführten Leistungen eine Dokumentation. Der AN übergibt unaufgefordert vor Montagebeginn Quellennachweise der eingebauten Produkte (Lieferscheine, Produktdatenblätter etc.) an den AG, gegliedert nach Verwendungszweck bzw. -ort, Fabrikat, Hersteller und Chargennummer wegen eventueller Nachbestellungen.
Die Herkunft (z. B. von Steinen, Ziegeln etc.) ist auf Verlangen nachzuweisen.
Der AN übergibt dem AG unaufgefordert vor Inbetriebnahme seiner Werkleistung (z. B. Mauerwerke, Betonbauteile etc.).
Der AN übergibt dem AG im Rahmen der Dokumentation alle erforderlichen Übereinstimmungsnachweise für Bauprodukte und Bauarten.
6 Sauberhaltung, Reinigung
Der AN hat für Ordnung und Sauberkeit auf der Baustelle und im Gebäude zu sorgen und seine Arbeitskräfte in diesem Sinne besonders zu ermahnen.
Er richtet seine Arbeiten so ein, dass keine Verschmutzung eintritt, die die im Rahmen der Leistungserbringung für gewöhnlich zu erwartende Verschmutzung übersteigt, und die Leistungen anderer nicht beschädigt oder zerstört werden.
Er kalkuliert alle Aufwendungen in seine Preise ein, die für die regelmäßige und ausreichende Reinigung sowie fachgerechte Abfallbeseitigung (Entsorgung) aus seinen Leistungen, wie z. B. Beseitigung von Verpackungsgut, Sondermüll usw. entstehen.
Der im gesamten Baustellenbereich vom AN verursachte Schutt und Abfall ist sortenrein zu sammeln und umgehend (arbeitstäglich) abzufahren.
Der AN wird am Ende jedes Arbeitstages seinen Arbeitsbereich in besenreinen Zustand versetzen.
Bau- und Hilfsmaterialien wie z.B. Schalung, Rohre und dergl. sind jederzeit in sauber gestapelten Gebinden auf der Baustelle zu lagern und unverzüglich nach Ende des Einsatzes wieder abzufahren. Das Baufeld ist jederzeit von ungenutzt herumliegenden Baumaterialien und Schmutz freizuhalten. Verschmutzungen auf Zufahrtstraßen und Wegen sind durch den AN unverzüglich, bei Schlämmen etc. mindestens werktäglich zu entfernen. Alle evtl. erstellten Bauhilfsmaßnahmen für die Baustelleneinrichtung müssen am Ende der Bauzeit, nach Rücksprache mit dem AG zu Beginn der Arbeiten an den Außenanlagen beseitigt werden. Materialabfälle, Schutt u. Ä. dürfen in keinem Fall in die Kanalisation gelangen oder im Erdreich verbleiben. Zur Einlagerung von Materialien, die noch zum Einbau vorgesehen sind, werden ggf. auch innerhalb der Gebäudefläche den Gewerken Flächen zugewiesen.
7 Bauausführung/Leistungsumfang
7.1 Schnittstellen
Jegliche Bauleistungen, -stoffe und -elemente des AN, die als Vorleistung oder Einbausituation für Leistungen anderer (Nach-) Unternehmer dienen, sind rechtzeitig vor Ausführung in Bezug auf die Herstellung der zugelassenen Einbaubedingungen vom AN zu prüfen.
Soweit der AN Leistungen erbringt, an die erkennbar Leistungen anderer (Nach-) Unternehmer angearbeitet werden sollen und die hierfür nicht geeignet sind, trägt der AN unter den Voraussetzungen der VOB/B und des BGB die Aufwendungen zur - auch nachträglichen - Herstellung der zulassungskonformen Einbaubedingungen.
7.2 Vorleistungen
Soweit Vorleistungen zur beschriebenen Leistung angegeben sind, gelten diese als bauseitige Schnittstelle zur zu erbringenden Leistung des AN.
7.3 Anpassungen
Der AN erbringt sämtliche Anpassungen für Schräganschnitte, schiefwinklige Ausführungen, nicht rechtwinklige Konstruktionen usw. als Bestandteil seiner Leistung, soweit diese aus den Ausschreibungsunterlagen erkennbar sind oder solche Leistungen in der Beschreibung erwähnt werden. Gleichfalls sind sämtliche Bestandskonstruktionen, auch solche mit unregelmäßigem Verlauf, anzuarbeiten.
7.4 Aufmaß und Maßabweichungen
Grundsatz der Aufmaßerstellung und der Aufmaßprüfung ist, dass die Aufmaße - auch von nicht mit dem Projekt befassten Dritten - einwandfrei nachvollzogen werden können. Auf den Aufmaßblättern ist jeweils das Gewerk,  die Beschreibung der Leistung (Kurztext), der Einbauort (Raum, Anlage, ggf. Betriebsmittelkennzeichnung oder AKZ-Nr.) und die dort eingebaute Stückzahl aufzuführen; spätestens mit Übergabe des Aufmaßes zur Rechnung ist die LV-/ bzw. Nachtragsposition aufzuführen. Bei Massenpositionen (z. B. kg, lfdm, m²) sind die Einzelbauteile / Einzelelemente / Einzelstrecken aufzuführen. Bei Luftkanälen sind die EDV-Oberflächenberechnungen auf Basis DIN 18 379 mit den Kanalpositionen und Aufmaß(Montage)-zeichnungen mit ebendiesen Kanalpositionen beizufügen; Kanaldämmungen sind den Kanalpositionen entsprechend zuzuordnen. Längen (z. B. Kabel, Rohre, Umfang-Brandschotts, Dämmungen) sind als Einzellänge ab/bis zur nächsten Richtungsänderung aufzulisten. Bei Aufmaß nach Gewicht (z. B. Schlitzschienensystem, Profilstahl) sind die Gewichtstabellen mitzuliefern. Alle Aufmaßblätter sind über die gesamte Ausführungsphase hinweg fortlaufend durchzunummerieren; keine doppelten Aufmaßblattnummern! Dem AG sind spätestens mit der jeweiligen Rechnung (auch für Teil-/Abschlagsrechnungen) alle zugehörigen Aufmaßunterlagen im Original zu übergeben. Allen Rechnungen müssen kumulierte Aufmaßzusammenstellungen mit Angabe von mindestens der Positionsnummer, dem Positionskurztext, der Einzel- und Gesamtmassen je Aufmaßblatt und der aufgemessenen Gesamtmasse beiliegen.
Das Aufmaß wird von dem AN angefertigt. Die Kosten des Aufmaßes sind durch den AN zu tragen.
Alle Aufmaßunterlagen (Listen, Berechnungen, Zusammenstellungen, Skizzen, Zeichnungen etc.) müssen einzeln vom Auftragnehmer mit Firmenstempel, Datum und Unterschrift versehen sein. Diese Unterlagen werden vom AG oder der Bauüberwachung des AG im Zuge der Rechnungsprüfung gegengezeichnet. Zusätzlich zur Unterschrift muss der Name des jeweils Unterschreibenden in Druckschrift ergänzt werden.
7.5 Demontagen/Erneuerung
Sind Leistungen als Demontageleistung oder als Erneuerung bereits bestehender Bauteile oder -leistungen beschrieben, so ist der Aufwand für eine geordnete, weitestgehend zerstörungsfreie Demontage und Entsorgung Bestandteil der Leistungen des AN.
8 Bautagesbericht
Der AN hat täglich Bautagesberichte zu führen und dem AG wöchentlich abgestimmt zu übergeben (z. B. VHB Formblatt 411) .
Sie müssen alle Angaben enthalten, die für die Ausführung, die Abrechnung und die terminlichen Auswirkungen des Auftrages von Bedeutung sein können. Über besondere Vorkommnisse ist der AG zusätzlich täglich zu informieren.
9 Stundenlohnarbeiten
9.1 Abforderung von Stundenlohnarbeiten
Stundenlohnarbeiten sind nur auf Anweisung des AG auszuführen.
Sollten Stundenlohnarbeiten erforderlich sein, sind diese vom AN vor Ausführung schriftlich durch Vorlage eines Stundenzettels mit Beschreibung der Maßnahmen und Schätzung des Umfangs dem AG zur Freigabe vorzulegen.
Spätestens am folgenden Arbeitstag nach Ausführung sind die vollständigen Stundenzettel 2-fach, unter Angabe des Namens und Berufsbezeichnung des Arbeiters, der ausgeführten Arbeiten und Materialaufstellung, der Bauleitung vorzulegen.
Die Nachweise über Stundenlohnarbeiten müssen enthalten:
Name, Beruf und tägliche Stundenleistung der im Tagelohn beschäftigten Personen,
Aufstellung über die Verwendung der besonders zu vergütenden Materialien und Baustoffe,
Aufstellung und Beschreibung der ausgeführten Leistungen.
Die Stundenlohnleistungen sind im Bautagebuch einzutragen. Eine Abzeichnung des Bautagebuches bedeutet keine Anerkennung der Stunden. Nicht fristgemäß vorgelegte Stundenzettel werden nicht anerkannt.
Die Originale der Stundenlohnzettel behält der Auftraggeber, die bescheinigten Durchschriften erhält der Auftragnehmer.
9.2 Später verdeckte oder untergegangene Leistungen
Werden Leistungen in Form von Stundenlohnarbeiten erbracht, die später nicht mehr nachvollziehbar sind (Abbruchleistungen, später überdeckte Leistungen), so sind vom AN geeignete Maßnahmen zur Dokumentation der erbrachten Leistung zu ergreifen, beispielsweise eine Fotodokumentation mit Handykamera.
9.3 Vergütung von Stundenlohnaufwendungen
Nicht vergütet werden
minus; Aufsichtsstunden (Bauleiter, Polier o. ä.),
minus; Überstundenzuschläge,
minus; Anmarsch, Materialbesorgung,
minus; Materialtransport, Gerätetransport (sofern Bestandteil der Hauptleistung),
minus; sonstige Vorbereitungsarbeiten, wie Werkzeuge herrichten u. ä.
Vergütet werden die tatsächlich am Arbeitsplatz anfallende Arbeitszeit, verwendetes Material für diese Leistungen (nach LV oder nachrangig Tagespreis des Baustoffhandels).
Der Verrechnungssatz für die jeweilige Arbeitskraft umfasst sämtliche Aufwendungen, insbesondere den tatsächlichen Lohn einschließlich:
Lohn- und Gehaltskosten,
alle Sozialkosten,
Erschwernis- und sonstige Zuschläge,
Lohnnebenkosten (Auslösungen, Wegegelder, Unterkunfts- und Übernachtungsgelder usw.),
Wagnis und Gewinn.
Eine Einrechnung der Stundenlohnarbeiten in die LV-Summe (Angebot bzw. Auftrag) berechtigt nicht zur Ausführung dieser Arbeiten.
10. Baufristenplan
Der Auftragnehmer hat einen detaillierten Baufristenplan als Balkenplan über seine vertraglichen Leistungen zu erstellen, anhand dessen die Einhaltung der Vertragsfristen nachgewiesen und überwacht werden kann. Die Vertragsfristen ergeben sich aus den "Besonderen Vertragsbedingungen". Die Festlegungen des Auftraggebers, z.B. zur baufachlichen oder terminlichen Koordinierung mit den übrigen Leistungsbereichen, sind zu berücksichtigen.
Bei Änderungen der Vertragsfristen oder bei erheblichen Abweichungen von sonstigen Festlegungen ist der Plan durch den Auftragnehmer unverzüglich zu überarbeiten. Der Plan ist dem Auftraggeber 15 Werktage nach Auftragserteilung, bei Überarbeitungen unverzüglich jeweils in 1-facher Papier-Ausfertigung, in .pdf-Datei und als offener Datensatz zu übergeben.
11. Lärm-und Staubschutz
Es ist der Lärm-, Staub- und Vibrationseintrag zu begrenzen und hierzu mit dem AG rechtzeitig vorab abzustimmen. Die Ausführung ist erschütterungsarm gem. DIN 4150, lärmarm gem. Bundes- und Landes-Immissionsschutzgesetzen und AVV Baulärm und staubarm gem. TRGS 559 durchzuführen. Besonders Immissionsintensive Arbeiten sind dem AG mind. 3 Werktage vorab anzukündigen und schriftlich zu begründen.
12. Fachbauleiter
Der Auftragnehmer (AN) hat spätestens 10 Kalendertage nach Auftragserteilung und vor Leistungsbeginn einen verantwortlichen Fachbauleiter unter Angabe seiner fachlichen Qualifikation zu benennen. Dieser muss während der gesamten Bauzeit erreichbar, auf Anforderung zur Verfügung des Auftraggebers bzw. der Bauüberwachung des AG stehen und deutschsprachig sein.
13. Einweisung und Koordination
Vor Beginn der Arbeiten vor Ort wird vom AG eine Unterweisung des verantwortlichen Personals des AN (Gewerk-Kick-Off) durchgeführt. Der AN ist verpflichtet das seinerseits für das Bauvorhaben vorgesehene Personal sowie eigene Nachunternehmer entsprechend einzuweisen. Weitere Koordinationsgespräche und Baubegehungen finden nach Erfordernis und auf Anordnung des AG statt.
14. Baustellenbesprechungen
Regelmäßige Besprechungen und Baustellenbegehungen finden jeweils 1x wöchentlich, in Abstimmung mit dem AG, ohne besondere Einladung statt. Der Auftragnehmer ist verpflichtet, an diesen vom Auftraggeber festgesetzten Besprechungen durch einen geeigneten, bevollmächtigten Vertreter teilzunehmen, der zu rechtsverbindlichen Vereinbarungen bevollmächtigt ist.
15. Auftraggeberaufgaben nach Baustellenverordnung
Für die Baustelle gilt die Verordnung über Sicherheit und Gesundheitsschutz auf Baustellen (Baustellenverordnung). Die Anweisungen des vom Auftraggeber beauftragten Sicherheits- und Gesundheitsschutzkoordinators (SiGeKo) sind zu befolgen und unverzüglich umzusetzen, der SiGePlan ist einzuhalten. Der Auftragnehmer hat dem SiGeKo vor Beginn seiner Leistungen eine Gefährdungsbeurteilung für seinen Leistungsbereich vorzulegen.
15.1 Zusammenfassende Angaben für die Erarbeitung des Sicherheits- und Gesundheitsschutzplanes (SiGe-Plan)
Die für die Aufstellung des Sicherheits- und Gesundheitsschutzplanes nach der Baustellenverordnung (BaustellV) erforderlichen Gefährdungsbeurteilungen (§ 6 des Arbeitsschutzgesetztes) und Ablaufpläne (ohne Anfangs- und Endtermin) für die Arbeiten aller beteiligten Unternehmen sind vor Beginn der jeweiligen Teilleistung dem Koordinator vorzulegen. Die Aufnahme von Arbeiten, die nicht in diesen Unterlagen erfasst sind, wird grundsätzlich nicht zugelassen. Verzögerungen, die sich aus nicht termingerechter Übergabe der Gefährdungsbeurteilungen und Ablaufplänen ergeben, können nicht geltend gemacht werden.
Die Maßnahme unterliegt der Baustellenverordnung (BaustellV) vom 10. Juni 1998, BGBl. I 1998, S. 1283. Der Auftraggeber bestellt für die Baustelle einen Sicherheits- und Gesundheitskoordinator (SiGe-Koordinator) im Sinne der Baustellenverordnung (BaustellV) . Der AN verpflichtet sich zur Zusammenarbeit mit dem SiGe-Koordinator des AG.
Werden vom SiGe-Koordinator darüber hinaus Unterlagen angefordert, sind diese zur Verfügung zu stellen. Die Kosten hierfür werden nicht gesondert vergütet.
15.2 Bestandsaufnahme zum Bauvorhaben
Die Bestandsdaten wurden vorab ermittelt und daraufhin die Planung abgestimmt. Die zu erbringenden notwendigen sicherheits- und gesundheitsschutzrelevanten Leistungen wurden vom SiGe-Koordinator analysiert und in den Ausschreibungsunterlagen berücksichtigt.
15.3 Erfassen aller Tätigkeiten entsprechend dem Bauablauf
Der SiGe-Koordinator stellt den SiGe-Plan auf und passt ihn bei erheblichen Änderungen an die Bauausführung an. Für die Anpassung des SiGe-Planes hat der AN dem AG zusammen mit dem Bauzeitenplan ggf. auch ein Baustelleneinrichtungsplan mit Erläuterungen des Bauablaufes zu übergeben. Der AG leitet die Unterlagen an den SiGe-Koordinator weiter.
Die Vorankündigung wird an das zuständige Gewerbeaufsichtsamt durch den vom AG beauftragten Koordinator fristgerecht versendet. Eine ggf. erforderliche Anpassung der Vorankündigung wird durch den Koordinator veranlasst.
Nach Auftragsvergabe hat der AN unverzüglich den SiGe-Fragebogen auszufüllen, die Ersthelfer zu benennen, die Gefährdungsbeurteilung sowie eventuelle Demontage- und Montageanweisungen zu erstellen und an den SiGe-Koordinator zu übergeben.
Diese Leistungen werden nicht gesondert vergütet.
Verzögerungen oder Forderungen anderer Art, die sich aus der Zusammenarbeit mit dem SiGe-Koordinator ergeben, können nicht geltend gemacht werden. Eine gesonderte Vergütung für die Zusammenarbeit des AN mit dem SiGe-Koordinator zur Umsetzung der Baustellenverordnung erfolgt nicht.
15.4 Maßnahmen für "besonders gefährliche Arbeiten"
Beim Umgang mit gefährlichen Substanzen sind die entsprechenden Betriebsanweisungen zu beachten. Der Umgang mit solchen Substanzen darf nur mit geschulten oder entsprechend eingewiesenem Personal durchgeführt werden.
15.5 Gegenseitige Gefährdungen
Gegenseitige Gefährdungen können in allen gemeinsam genutzten Einrichtungen stattfinden. Insbesondere bei den Zuwegungen, Lagerflächen und Baustelleneinrichtungsflächen. Erhöhte Aufmerksamkeit ist besonders beim Maschinenan- und -abtransport sowie beim Einsatz von Baumaschinen geboten. Rückwärtsfahrten sind nur mit Einweiser erlaubt. Bei Tätigkeiten mit Emissionen sind entsprechende PSA anzulegen und ausreichende Sicherheitsabstände einzuhalten.
15.6 Festlegungen baustellenspezifischer Maßnahmen
Der AN erhält vom SiGe-Koordinator die Baustellenverordnung mit Alarm- und Notrufplan sowie den SiGe-Plan. Jede Kolonne muss über eine Kopie des Alarm- und Notrufplans verfügen sowie über ein Funktelefon. Die Ersthelfer sind dem SiGe-Koordinator vor Baubeginn zu benennen. Wechsel der Ersthelfer sind rechtzeitig vom AG anzuzeigen.
15.7 Gemeinsam genutzte Einrichtungen
Werden Einrichtungen gemeinsam genutzt wie z.B. Lagerflächen, Baustelleneinrichtungsflächen, Zuwegungen, Treppen, Stege, Gerüste, Sozialräume oder dgl., so sind diese entsprechend den gültigen Vorschriften herzustellen. Die regelmäßige Wartung und Unterhaltung obliegt dem AN oder einer vom AN bestellten 3. Person. Die Einrichtungen sind auf die örtlichen Gegebenheiten und Bedürfnisse entsprechend den zuständigen Bestimmungen und Verordnungen abzustimmen und auszulegen.
15.8 Anzuwendende Arbeitsschutzbestimmungen
Es werden folgende Bestimmungen zugrunde gelegt:
95 / 57 / EWG  Sicherheit- und Gesundheitsschutz auf Baustellen
Baustellenverordnung  BaustellV
Arbeitsstättenverordnung  ArbStättV
Gefahrstoffverordnung  GefstoffV
alle gültigen UVV´en, Technische Regeln und DIN-Normen</t>
  </si>
  <si>
    <t>b4dfbb48-e429-4b9b-923e-aee4ebad50ca</t>
  </si>
  <si>
    <t>A.5 Bauschild</t>
  </si>
  <si>
    <t>A.5 Bauschild
Ein separates Bauschild mit Werbetafeln der Auftragnehmer ist nicht vorgesehen. Stattdessen wird auf der straßenseitigen Fassade bauseits ein Projektschild angebracht, das Informationen über den Auftraggeber sowie die Projektbeteiligten enthält.
Dieses Schild bleibt für die Dauer der Baumaßnahme befestigt.</t>
  </si>
  <si>
    <t>fac04996-cab4-4fdb-a661-a245163d9235</t>
  </si>
  <si>
    <t>A.6 Allgemeine Hinweise zur Preisbildung</t>
  </si>
  <si>
    <t>A.6 Allgemeine Hinweise zur Preisbildung
Bei der Preisbildung der Einheitspreise ist davon auszugehen, dass es sich bei den LV Massen in jeder Position um Gesamtmassen handelt, die sich aus mehreren Einzelflächen bzw. -Massen, verteilt über den jeweiligen Abrechnungs - abschnitt zusammensetzen.
Vor Bestellung von Baustoffen und Hilfsmaterialien hat der AN die tatsächlich erforderlichen Mengen verbindlich zu ermitteln.
Soweit in den einzelnen LV Positionen nicht gesondert angegeben ist, dass der AG einzelne Stoffe liefert, hat der AN bei allen Positionen sämtliche Baustoffe zu liefern, auch wenn dies nicht ausdrücklich angegeben ist.
In einzelnen Positionslangtexten enthaltener Wortlaut "nach Unterlagen des AG" bezieht sich immer nur auf die Planunterlagen des  AG, welche der Ausschreibung für die Einheitspreisbildung beigefügt sind.
Die exakten örtlichen Bedingungen und der Leistungsumfang sind jeweils vor Beginn der einzelnen Arbeitstätigkeiten gemeinsam mit örtlicher Bauüberwachung und dem AG vor Ort festzulegen.
Einrichten, Vorhalten und Räumen der Baustelleneinrichtung sind nach VOB Teil C, DIN 18299, Punkt 4.1 Nebenleistungen, die in die Einheitspreise einzurechnen sind.
Sich aus den o.g. Angaben ergebende Mehrkosten sind in die jeweiligen Einheitspreise einzurechnen und werden nicht gesondert vergütet.</t>
  </si>
  <si>
    <t>902aff23-3b4b-44f0-bfc8-632400b6364d</t>
  </si>
  <si>
    <t>A.7 Ausführungsunterlagen</t>
  </si>
  <si>
    <t>A.7 Ausführungsunterlagen
A.10.1 Vom AG zur Verfügung gestellte Ausführungsunterlagen
Alle Ausführungsunterlagen sind aus dem Anlagenverzeichnis (Teil B) ersichtlich.
A.10.2 Vom AN zu erstellende/zu beschaffende Ausführungsunterlagen
Der AN hat alle entsprechend den Dokumentationsrichtlinien des AG erforderlichen Unterlagen zu erbringen.
Der AN hat Bautagesberichte zu führen und dem AG täglich zu übergeben. Sie müssen alle Angaben enthalten, die für die Ausführung und Abrechnung des Auftrages von Bedeutung sind.
Für sämtliche statisch relevanten Elemente sind vom AN entsprechende statische Berechnungen zu erstellen.
Für die Erstellung von Ausführungsunterlagen bzw. Werkstattzeichnungen durch den AN bzw. bei Änderungen gegenüber der vom Prüfingenieur freigegebenen Planung sind die entsprechenden Zeit-Vorläufe für die baustatische Prüfung zu kalkulieren.
Kosten für Zusatzaufwand des Prüfingenieurs aufgrund Änderungen der freigegebenen Planung durch den AN sind Seitens des AN zu tragen.</t>
  </si>
  <si>
    <t>7f6261e5-efc7-40a5-9a88-a46ddffbff06</t>
  </si>
  <si>
    <t>A.8 ZTV SiGeKo</t>
  </si>
  <si>
    <t>A. 8 ZTV SiGeKo
Zusätzliche Technische Vertragsbedingungen zur VOB/C.
Sicherheit und Gesundheitsschutz auf Baustellen
A.8.1
Der Auftragnehmer verpflichtet sich, die zur Regelung des Arbeitsschutzes auf der Baustelle geltenden Gesetze, Verordnungen sowie die Berufsgenossenschaftlichen Vorschriften und Regeln zu beachten.
A.8.2
Der Auftragnehmer hat vor Beginn der Arbeiten eine Gefährdungsbeurteilung und deren Dokumentation (§§ 5,6 Arbeitsschutzgesetz) dem Bauherrn vorzulegen. Weiterhin hat der Auftragnehmer den von ihm bestellten Betriebsarzt und die Fachkraft für Arbeitssicherheit bzw. den mit diesen Leistungen beauftragten externen Dienst dem Auftraggeber schriftlich mitzuteilen.
A.8.3
Entsprechend der Verordnung über Sicherheit und Gesundheitsschutz auf Baustellen (BauStellV vom 10.06.98) ist für die Planung der Ausführung und die Ausführungsphase vom Bauherrn ein Koordinator bestellt. Dieser erstellt den gemäß BauStellV für o.g. Bauvorhaben erforderlichen Sicherheits- und Gesundheitsschutzplan, koordiniert dessen Umsetzung während der Ausführung und veranlaßt die ordnungsgemäße Anwendung der Arbeitsverfahren. Den Anweisungen des Koordinators zu Sicherheits- und Gesundheitsschutzmaßnahmen ist Folge zu leisten.
A.8.4
Jedem Auftragnehmer wird die Baustellensicherheitsordnung ausgehändigt. Diese enthält u.a. allgemeine Hinweise zur Arbeitssicherheit, Ersten Hilfe Leistungen, Brandschutz und zusätzlichen Maßnahmen. Jeder Hauptauftragnehmer wird vor Beginn der Arbeiten durch den SiGeKo in den Sicherheits- und Gesundheitsschutzplan  und die Baustellensicherheitsordnung eingewiesen und verpflichtet sich durch Unterschrift, die in diesen Richtlinien aufgeführten Regelungen und Hinweise während der gesamten Baumaßnahme konsequent zu beachten.
Weiter haben die Hauptauftragnehmer o.g. Leistungen für Ihre ggf. eingesetzten Nachunternehmer sicherzustellen.
A.8.5
Widersprüche gegen die aus dem Sicherheits- und Gesundheitsschutzplan und die Baustellensicherheitsordnung ergebenden Maßnahmen sind unverzüglich (schriftlich formlos) unter Darstellung einer gleichwertigen Sicherheit gewährleistenden Ersatzmaßnahme anzuzeigen.
A.8.6
Unabhängig von Pkt. 1  4 hat jeder Auftragnehmer das Vorschriften und Regelwerk der für ihn zuständigen Berufsgenossenschaft zu berücksichtigen.
A.8.7
Vom Auftragnehmer ist ein für den Arbeitschutz in seinem Bereich verantwortlicher Bauleiter zu benennen. Dieser ist für die Einhaltung der Arbeitschutzvorschriften durch die ihm unterstellten Arbeitskräfte (einschließlich der Arbeitskräfte seiner Nachunternehmer) zuständig.
Er steht weiterhin dem Koordinator (nach BauStellV) als Ansprechpartner zur Verfügung, setzt dessen Forderungen nach Verbesserung von Sicherheit und Gesundheit der Beschäftigten um und nimmt an den vom Koordinator einberufenen Sicherheitsbesprechungen teil. Für den Verhinderungsfall muß ein Vertreter benannt werden.</t>
  </si>
  <si>
    <t>84c5a1ae-423c-4497-8d72-5fc4e4ece69b</t>
  </si>
  <si>
    <t>A.9 Materialökologie</t>
  </si>
  <si>
    <t>A.9 Materialökologie
Es wird eindringlich auf die Einhaltung aller nachfolgenden städtischen und gesetzlichen Vorgaben zur Materialökologie hingewiesen. Sollten Verstöße festgestellt werden, sind alle vertragswidrig verbauten Stoffe und Materialien oder verwendete Reinigungsmittel auf Kosten des AN zu entfernen und mit zugelassenen Produkten zu ersetzen. Kontrollen erfolgen durch den AG und dessen Erfüllungsgehilfen, die Bauleitungen vor Ort und den SiGeKo.
Allgemeine Anforderungen (gilt grundsätzlich für alle materialökologischen Anforderungen):
Nachweise: Die geforderte Qualität der Baustoffe und Bauprodukte ist rechtzeitig vor Ausführung bzw. Bestellung durch Sicherheitsdatenblätter, Prüfzeugnisse oder sonstige geeignete Nachweise zu belegen. Die Verantwortung der Produkteinhaltung liegt allein beim AN.
Aktualität der Nachweise: Nachweise wie Sicherheitsdatenblätter, Umweltzeichen - Zertifikate, Datenblätter oder Emissionsprüfberichte müssen aktuell sein. Bei Umweltzeichen gilt die jeweils aktuellste Version. Ist die Gültigkeitsfrist z.B. einer zugrundeliegenden "Blauer Engel"- Version abgelaufen, werden die Zertifikate nicht akzeptiert. Im Fall der Überschneidung von zwei Versionen (Übergangsfrist) ist möglichst die aktuellste Version vorzulegen.
Produktänderungen: Notwendige Produktänderungen während der Ausführung sind unverzüglich mit dem AG abzustimmen, es sind alle vorgenannten Nachweise neu vorzulegen und neu vom AG freizugeben.
Originalgebinde auf der Baustelle: Es sind alle Produkte auf der Baustelle im Originalgebinde zu verwenden, eine Anlieferung bereits vorgemischter Produkte in Fremd- oder Neutralgebinden ist untersagt.
Feinstaub/ Gesundheitsgefährlicher Staub
Die Staubentwicklung ist, soweit technisch möglich, zu vermeiden.
Beim Maschineneinsatz sind staubarme, abgestimmte Bearbeitungssysteme (Maschine und Mobilentstauber) zu verwenden, die den allgemeinen Staubgrenzwert von 1,25 mg/m³ für die alveolengängige (A-) Fraktion sowie 10 mg/m³ für die einatembare (E-) Fraktion einhalten. Die BG BAU führt Positivlisten staubarmer Bearbeitungssysteme und staubarmer Produkte.
Werden gesundheitsgefährliche mineralische Stäube oder andere Gefahrstoffe freigesetzt, sind die notwendigen Maßnahmen entsprechend der jeweiligen Technischen Regel Gefahrstoffe (TRGS 505, 519, 521, 559, 900 u.a.) und der Gefahrstoffverordnung zu ergreifen.
Beim Bearbeiten von Bestandsbauteilen mit bleiweißhaltigen Anstrichen sind die Handlungsanleitungen der BG BAU zu beachten.
     Stoffe mit besonders besorgniserregenden Eigenschaften
Alle verwendeten Bauprodukte dürfen keine Stoffe mit folgenden Eigenschaften als konstitutionelle Bestandteile (d.h. Stoffe, die im Endprodukt verbleiben und in diesem eine Funktion erfüllen) enthalten:
Stoffe, die unter der Chemikalienverordnung REACH als besonders besorgniserregend identifiziert und in die gemäß REACH Artikel 59 Absatz 1 erstellte Liste (sogenannte "Kandidatenliste") aufgenommen wurden (SVHC). Es gilt die jeweils aktuelle Fassung der Kandidatenliste.
Stoffe, die in ihrem Sicherheitsdatenblatt mit Eigenschaften gekennzeichnet sind, die zur Aufnahme in die Kandidatenliste führen können (REACH Art. 57). Dies umfasst folgende Stoffe:
-erwiesenermaßen krebserzeugende, erbgutverändernde oder fortpflanzungsgefährdende Stoffe ("KMR-Stoffe" der Kat. 1A und 1B) und Stoffe, die gemäß den Kriterien der EG-Verordnung 1272/2008 (oder der Richtlinie 67/548/EWG) mit den im Folgenden genannten H-Sätzen bzw. RSätzen eingestuft sind als: - karzinogen (krebserzeugend) der Kategorie Carc. 1A / Carc. 1B H350: Kann Krebs erzeugen.
H350i: Kann bei Einatmen Krebs erzeugen.- keimzellmutagen (erbgutverändernd) der Kategorie Muta. 1A / Muta. 1B H340: Kann genetische Defekte verursachen.- reproduktionstoxisch (fortpflanzungsgefährdend) der Kategorie Repr. 1A, Repr. 1B H360F, R60: Kann die Fruchtbarkeit beeinträchtigen.
H360D, R61: Kann das Kind im Mutterleib schädigen.
H360FD, R60/61: Kann die Fruchtbarkeit beeinträchtigen. Kann das Kind im Mutterleib schädigen.
H360Fd, R60/63: Kann die Fruchtbarkeit beeinträchtigen. Kann vermutlich das Kind im Mutterleib schädigen.
H360Df, R61/62: Kann das Kind im Mutterleib schädigen. Kann vermutlich die Fruchtbarkeit beeinträchtigen.
Stoffe mit PBT- (persistent, bioakkumulierend und toxisch) oder vPvB- (sehr persistent und sehr bioakkumulierend) Eigenschaften.
Für bestimmte Stoffe (z.B. Formaldehyd) gelten besondere Regeln. Diese sind über die Anforderungen des Blauen Engels bzw. über die in den nachfolgenden Absätzen explizit aufgeführten Anforderungen geregelt.
Biozide
Der Einsatz von Bioziden gemäß Biozidverordnung ist nicht zulässig. Hiervon ausgenommen sind Biozide, die allein zur Topfkonservierung in wässrigen Beschichtungsstoffen und Leimen eingesetzt werden. Hier gelten ggf. Einschränkungen und Vorgaben der Umweltzeichen (z.B. "Blauer Engel"), die in den jeweiligen produktgruppenspezifischen Anforderungen genannt sind. Ebenfalls ausgenommen sind ggf. erforderliche Durchwurzelungshemmer in der Dachabdichtungsbahn bei Dachbegrünungen.
Polyvinylchlorid (PVC) / Chlorchemische Produkte
Der Einsatz von chlorchemischen Produkten ist ausgeschlossen (z.B. bei Fußbodenbelägen, Sanitärleitungen, Elektroinstallation, Abdeck-/ Trennfolien, Dichtungsbahnen). Ausnahmen sind zulässig für Anwendungsbereiche ohne vertretbare Alternativen (Fenster, Türen).
Spritz- und Montageschäume
Die Verwendung von Montageschäumen und sonstigen Ortschäumen ist ausgeschlossen. Dies gilt nicht für die Verwendung bei Wärmedämmverbundsystemen zum Schließen von Fugen zwischen Dämmstoffplatten gemäß den Hersteller-Verarbeitungsrichtlinien.
Dichtungen und Abdichtungen
Zur Vermeidung der Innenraumluftbelastung sind bei den Kleb- und Dichtstoffen in Innenräumen amin- oder oximvernetzende bzw. -haltige Produkte ausgeschlossen.
Es dürfen nur Produkte mit den Umweltzeichen "Emicode" EC1plus oder RAL-UZ 123 (Blauer Engel) verwendet werden.
Abweichungen, z.B. "Emicode" EC1, sind in (technisch) begründeten Ausnahmefällen bzw. in Bereichen mit sicherheitsrelevanten bauaufsichtlichen Anforderungen in Abstimmung mit dem AG möglich.
Kann auf lösemittelhaltige Produkte an der Baustelle nicht verzichtet werden, muss bis zum Abklingen der VOC-Emissionen eine ausreichende Ablüftung (ggf. mit mechanischer Lüftung) durch den AN gesichert sein.
Für Flüssigabdichtungen in Innenräumen dürfen nur Produkte mit dem "Emicode" EC1 oder EC1plus verwendet werden.
Als kalt verarbeitete Bitumenbeschichtungen/ bituminöse Voranstriche dürfen nur Produkte mit "Giscode" BBP 10 verwendet werden.
Dichtungs-/ Dachbahnen und Dampfsperren aus PVC sind ausgeschlossen.
Holz, Holzwerkstoffe
Der Einsatz von Tropenholz bei Bau und Ausstattung ist ausgeschlossen.
Terpenhaltige Holzarten sind zur Minimierung von bicyclischen Terpenen zu vermeiden. In Aufenthaltsräumen sind harzarme Holzarten zu verwenden. Stark harzhaltige Nadelhölzer - insbesondere Kiefernholz- (z.B. verarbeitet als Fensterprofile, "Seekiefer"-, OSB- u.ä. Platten) dürfen nicht verwendet werden.
Formaldehydhaltige Verleimungen und Beschichtungen
Holzwerkstoffe müssen mindestens den Anforderungen des Umweltzeichens RAL UZ 76 (Blauer Engel, Ausgabe Februar 2016 oder neuer) oder des "natureplus"-Umweltgütesiegels der Gruppe RL0200 (mit etwas anderen Prüfbedingungen) entsprechen.
Liegt kein Nachweis vor, muss vom Hersteller ein Prüfbericht (z.B. für Boulder- oder Prallwände aus Phenol-Formaldehydharz (PF) verleimten Multiplexplatten) vorgelegt werden (s.u.).
Bei akustisch wirksamen (gelochten) Platten ist für das fertige Endprodukt (gelochte Platte mit oder ohne Beschichtung) vom AN ein Prüfbericht einer Prüfkammer-Messung vorzulegen (s.u.).
Bei konstruktiven Holzbauteilen (z.B. Brettschichtholz) sind ausschließlich formaldehydfrei verleimte Produkte erlaubt oder es ist auf alternative Bauarten oder Baustoffe auszuweichen.
Produkte mit formaldehydhaltigen Beschichtungen sind ausgeschlossen.
Hinweis: Bei großflächigem Einbau von Holzwerkstoffen in Wand, Boden und/oder Decke ist das Auftreten von Formaldehyd-Emissionen besonders sensibel zu betrachten. Als großflächig gilt bereits eine Wandfläche, eine Bodenfläche oder eine Deckenfläche.
Prüfkammer-Messung: Holzwerkstoffplatten dürfen bei der Messung in der Prüfkammer in Anlehnung an die vom Ausschuss zur gesundheitlichen Bewertung von Bauprodukten (AgBB) erarbeitete "Vorgehensweise bei der gesundheitlichen Bewertung der Emissionen von flüchtigen organischen
Verbindungen (VOC und SVOC) aus Bauprodukten" folgende Emissionswerte nicht überschreiten.
Die Messung der Emissionen erfolgt gemäß CEN/TS 16516.15. Die Beladung der Prüfkammer beträgt einheitlich 1,4m²/m³:
Summe flüchtiger organischer Verbindungen, Retentionsbereich C6 - C16 (TVOC): maximal 1 mg/ m³ nach 3 Tagen maximal 0,8 mg/ m³ nach 28 Tagen Summe schwer flüchtiger organischer Verbindungen, Retentionsbereich &gt; C16 - C26 (TSVOC): maximal 0,1 mg/ m³ nach 28 Tagen
krebserzeugende Stoffe (K1 und 2 nach Richtlinie 67/548/EWG bzw. Klassen 1A und 1B nach CLPVerordnung 1272/2008): maximal 0,01 mg/ m³ nach 3 Tagen, maximal 0,001 mg/ m³ nach 28 Tagen
Summe aller VOC ohne NIK: maximal 0,1 mg/ m³ nach 28 Tagen R-Wert: maximal 1 nach 28 Tagen
Formaldehyd: maximal 0,08 mg/ m³ nach 28 Tagen
Formaldehyd darf auch weiterhin nach der EN 717-1 gemessen werden. Wird nach der EN 717-1 gemessen, ist ein Wert von 0,03 ppm (0,0375 mg/ m³) einzuhalten (in Anlehnung an das WKIRechenmodell für Formaldehyd).
Holzschutz
Im Holzbau sind Konstruktionen zu wählen, bei denen nach DIN 68 800 chemischer Holzschutz entbehrlich ist. In Aufenthaltsräumen dürfen keine chemischen Holzschutzmittel eingesetzt werden.
Sofern chemischer Holzschutz produktionsbedingt (z.B. bei Holzfenstern) erforderlich ist, dürfen nur Produkte mit BAuA-Zulassung verwendet werden. Gemäß BiozidVO sind die verwendeten bioziden Wirkstoffe zu deklarieren und zu dokumentieren. Es muss - bei gleicher Eignung - das jeweils umweltverträglichste Produkt und Verfahren verwendet werden. Dabei ist die Einstufung entsprechend dem Produkt-Code der Bauberufsgenossenschaft zu Grunde zu legen.
Holzschutzmittel für nichttragende Bauteile müssen das RAL-Prüfzeichen RAL-GZ 830 der Gütegemeinschaft Holzschutzmittel e.V., für tragende Bauteile das Prüfzeichen des Deutschen Instituts für Bautechnik aufweisen.
Behandlungen mit Holzschutzmitteln sind im Produktionsbetrieb des AN vorzunehmen. Auf der Baustelle sind sie nur im Ausnahmefall nach vorheriger Zustimmung des Auftraggebers erlaubt.
Beschichtungen von Holzoberflächen
- siehe Oberflächenbeschichtungen
Kleb- und Verlegewerkstoffe
Grundsätzlich dürfen nur lösemittelfreie Verlegewerkstoffe (Voranstriche, Leime, Kleber, Spachtel etc.) gemäß Giscode-Einstufung der Bauberufsgenossenschaft und den Technischen Regeln für Gefahrstoffe TRGS 610 verwendet werden. Ausnahmen sind nur nach vorheriger Zustimmung des AG erlaubt.
Zur Vermeidung der Innenraumluftbelastung sind amin- oder oximvernetzende bzw. -haltige Klebund Dichtstoffe (Verfugungen, punkt- und linienförmige Verklebungen) ausgeschlossen. Es dürfen nur Produkte mit den Umweltzeichen "Emicode" EC1plus oder RAL-UZ 123 (Blauer Engel) verwendet werden.
Als Verlegewerkstoffe für Boden- und Wandbeläge dürfen nur Produkte entsprechend der Umweltzeichen RAL-UZ 113 (Blauer Engel) oder "Emicode" EC1plus verwendet werden.
Für Fliesen und Platten sind mineralische Fliesenkleber zu verwenden.
Trennmittel
Es dürfen nur Trennmittel verwendet werden, die biologisch schnell abbaubar sind und dem Umweltzeichen RAL-UZ 178 entsprechen. Auf technisch notwendige Ausnahmen ist die Bauleitung hinzuweisen.
Recyclingprodukte zum Bauteilschutz
Bei Maßnahmen zum Schutz von Bauteilen oder der Ausstattung sind Produkte aus Recyclingmaterial (Altpapier, Alttextilien, PE-Regenerat) zu verwenden.</t>
  </si>
  <si>
    <t>9a253783-fb44-4426-9f61-9522c0cda9d8</t>
  </si>
  <si>
    <t>A.10 zusätzliche ATV</t>
  </si>
  <si>
    <t>A.10 zusätzliche ATV
Zusätzliche allgemeine Technische Vorbemerkungen
Die Abgabe des Angebots erfolgt ohne Kosten oder sonstige Verbindlichkeiten für den Auftraggeber.
Sämtliche Preise verstehen sich soweit im LV nicht anders angegeben - einschließlich aller notwendigen Nebenleistungen und aller Lieferungen von Materialien, um die Leistung ausführen zu können.
Die neuesten Richtlinien, Regeln, VOB, DIN-Vorschriften sowie die aktuelle GeG (ehemals EnEV) sind einzuhalten bzw. zu beachten. Die jeweiligen Herstellervorschriften der im LV beschriebenen, bzw. angebotenen Materialien und Produkte sowie die dazugehörigen technischen Merkblätter und Sicherheitsdatenblätter sind zu beachten.
Die Einzelpositionen verstehen sich inklusive Lieferung, Materialkosten und Einbau, soweit nichts anderes beschrieben.
Ferner sind einzukalkulieren:
Leistungen und Nebenleistungen die sich für eine Pos. zwangsläufig ergeben z.B. erforderliche zusätzliche Maßnahmen bei Gefahr, etc., falls nicht gesondert ausgeschrieben.
Schützen vorhandener, sichtbarer Bauteile
Kontinuierliches Sauberhalten der Baustelle
Für Befestigungsmittel, die der Witterung ausgesetzt sind, müssen korrosionsbeständige Werkstoffe verwendet werden
Für Bauteile bzw. Gegenstände die vom rechten Winkel abweichen ( z.B. Schrägschnitte ) gibt es nur Zuschläge, wenn diese in den Positionen ausdrücklich erwähnt sind - ansonsten ist eine solche Zulage in die Pos. einzukalkulieren - oder vom AN ergänzend aufzuführen
Maßkontrollen am Bau sind durchzuführen. Auf evtl. Differenzen oder planerische Abweichungen ist der Architekt/Fachplaner und die AG-Bauleitung/BÜ sofort aufmerksam zu machen.
Massenänderungen und voraussichtliche Mehrkosten sind der AG-Bauleitung umgehend vor Ausführung schriftlich per Mail anzuzeigen.
Der Auftragnehmer hat arbeitstäglich Bautagesberichte mit folgenden Angaben (vgl. V 411.H
Richtlinien zur Führung eines Bautagebuches) zu führen:
Zahl der am Tag anwesenden Mitarbeiter ( Berufsbezeichnung und Namen z.B. Facharbeiter Müller)
am Tag ausgeführte Arbeiten
am Tag eingebautes/ verwendetes Material
Angaben zum Terminplan
Angaben zum Wetter ( z.B. Regen, Frost etc.)
Die Berichte sind regelmäßig der Bauleitung arbeitstäglich spätestens wöchentlich zu übergeben.
Bei Nichteinhaltung werden strittige Punkte zu Gunsten des AG entschieden.
Stundenlohnarbeiten, siehe besondere Hinweise im Titel Stundenlohnarbeiten in dieser Ausschreibung. Stundenlohnarbeiten (Regiestunden) sind im Vorfeld der AG-Bauleitung zur Weiterreichung und Entscheidung an den AG, anzumelden. Ansonsten erfolgt keine Vergütung.
Der Auftragnehmer hat die Durchführung seiner Arbeiten nach Terminplan so vorzunehmen, dass ein reibungsloser Ablauf der Arbeiten gewährleistet ist.
Abweichungen vom Terminplan sind der AG-Bauleitung und der BÜ sofort schriftlich mitzuteilen.
Anmelden von Bedenken:
Der Auftragnehmer hat vor Beginn seiner Arbeiten zu prüfen, ob die vorgesehene Ausführung sich für die Durchführung seiner Leistung eignet. In diesem Zuge ist auch die Eignung des Bestandes bzw. die Leistung der Vorgewerke zu prüfen. Bedenken sind dem Auftragnehmer unverzüglich schriftlich mitzuteilen.
Der Auftragnehmer hat dafür Sorge zu tragen, dass während der Ausführung seiner Leistungen immer mindestens ein fließend deutsch sprechender Mitarbeiter seiner Firma pro Gewerk auf der Baustelle anwesend ist.
Zu den auf der Baustelle vorzuhaltenden Ausführungsunterlagen zählt neben den Ausführungsplänen auch eine Ausfertigung dieser Leistungsbeschreibung.
Die vom Auftragnehmer verwendeten Ausführungsunterlagen müssen den Freigabevermerk des Auftraggebers oder des Architekten tragen. Durch Übergabe neuer Unterlagen ungültig gewordene Unterlagen sind vom Auftragnehmer entsprechend zu kennzeichnen und aufzubewahren. Nicht freigegebene Unterlagen dürfen nicht verwendet werden.
Hinweis zur Beachtung für alle Gewerke:
Sämtliche Positionen, die nicht im Nachhinein nachvollzogen, oder nicht den vorliegenden Planunterlagen entnommen werden können, müssen vor Ausführung mit der AG-Bauleitung aufgemessen (und dokumentiert) werden.
Ansonsten erfolgt keine Vergütung.
Die im Leistungsverzeichnis angegebenen Angaben sind nur Richtwerte und als Annahmen hinreichend für Übersichten.</t>
  </si>
  <si>
    <t>355f66e5-4efb-4453-b5c8-837c77f602fb</t>
  </si>
  <si>
    <t>A.11 zusätzliche Technische Vorbemerkung</t>
  </si>
  <si>
    <t>A.11 zusätzliche Technische Vorbemerkung
Sämtliche aufgeführten Leistungen sind unter Beachtung der Gefahrstoffverordnung und der Technischen Regeln für Gefahrstoffe - Asbest-, Abbruch-, Sanierungs- oder Instandhaltungsarbeiten (TRGS 519) und TRGS 521 (KMF) sowie Schutzmaßnahmen bei Tätigkeiten in kontaminierten Bereichen (TRGS524 bzw. DGUV-101-004)  auszuführen.
Zusätzlich sind im Falle von Sanierung schwachgebundener Asbestprodukten die Richtlinien für die Bewertung und Sanierung schwachgebundener Asbestprodukte in Gebäuden (Asbest-Richtlinien) einzuhalten.
Grundsätzlich sind bei den Entsorgungsleistungen die Verpackung, Verladung, die Containergestellung, die Transporte und die Deponiegebühren einzurechnen.
Falls für die Demontage- oder Rückbauarbeiten erforderlich, sind entsprechende Hilfsmittel wie Hubsteiger, Rollgerüste, Gerüste etc. mit einzukalkulieren.
Die Versorgung mit Baustrom und Bauwasser sowie ein Sanitärcontainer wird bauseits gestellt.</t>
  </si>
  <si>
    <t>f99bd81c-5e5a-4a4a-a804-ebe97061a478</t>
  </si>
  <si>
    <t>A.12 Aufstellung beigelegter Anlagen</t>
  </si>
  <si>
    <t>A.12 Aufstellung beigelegter Anlagen
Dem Leistungsverzeichnis werden nachfolgende Unterlagen zur Angebotserstellung beigelegt (Anlagen zum LV). Objektplanung Ausführungsplanung gem. gewerkespezifischer Planliste:
BE-Planung und Lageplan, Objektplanung
Stand Ausführungsplanung
Plannummer           Format Planungsphase / Inhalt     Maßstab Datum      I Indexdatum
                            Ausführungsplanung
Grundrisse
01_5_A_KG_01         DIN A0 Kellergeschoss             1/50    27.02.2025 D 24.09.2025
01_5_A_SG_01         DIN A0 Sockelgeschoss             1/50    27.02.2025 D 24.09.2025
01_5_A_EG_01         DIN A0 Erdgeschoss                1/50    27.02.2025 D 24.09.2025
01_5_A_OG_01         DIN A0 Obergeschoss               1/50    27.02.2025 D 24.09.2025
01_5_A_DG_01         DIN A0 Dachgeschoss               1/50    27.02.2025 D 24.09.2025
Schnitte / Ansichten
01_5_A_ÜS_01         DIN A0 Übersicht Schnitte         1/100   03.07.2025
Übersichtspläne
Abbruch_01_5_A_KG_01 DIN A0 Abbruchplan Kellergeschoss 1/50    27.02.2025 D 08.07.2025
Abbruch_01_5_A_SG_01 DIN A0 Abbruchplan Sockelgeschoss 1/50    27.02.2025 D 08.07.2025
Abbruch_01_5_A_EG_01 DIN A0 Abbruchplan Erdgeschoss    1/50    27.02.2025 D 08.07.2025
Abbruch_01_5_A_OG_01 DIN A0 Abbruchplan Obergeschoss   1/50    27.02.2025 D 08.07.2025
Abbruch_01_5_A_DG_01 DIN A0 Abbruchplan Dachgeschoss   1/50    27.02.2025 D 08.07.2025
01_5_A_SG-OG_DS01    DIN A2 Übersicht Abhangdecken     1/50    27.02.2024 A 03.07.2025
01_5_A_Ü_D01         DIN A0 Übersicht Rauchschutztüren 1/20    27.02.2024 B 02.07.2025
01_5_A_Ü_WS01        DIN A3 Übersicht Wandaufbauten    1/10    27.02.2024 B 30.06.2025
01_5_A_Ü_BS01        DIN A3 Übersicht Bodenaufbauten   1/10    27.02.2024
01_5_A_LPB_01        DIN A2 Baustelleneinrichtungsplan 1/250   02.06.2025
01_5_A_KG_TB01       DIN A0 Übersicht Trockenbau       1/50    07.10.2025
01_5_A_SG_TB01       DIN A0 Übersicht Trockenbau       1/50    07.10.2025
01_5_A_EG_TB01       DIN A0 Übersicht Trockenbau       1/50    07.10.2025
01_5_A_OG_TB01       DIN A0 Übersicht Trockenbau       1/50    07.10.2025
01_5_A_DG_TB01       DIN A0 Übersicht Trockenbau       1/50    07.10.2025
Details
01_5_A_SG_D03        DIN A2 Prallwand                  1/50    03.07.2025
Sonstiges
                            Fenster- und Türenliste            27.02.2025 E 30.09.2025</t>
  </si>
  <si>
    <t>1ac08b35-3924-4c25-83ef-d56c631e7212</t>
  </si>
  <si>
    <t>A.13 ATV für Bauleistungen</t>
  </si>
  <si>
    <t>A.13 Allgemeinen Technischen Vertragsbedingungen für Bauleistungen
Die Allgemeinen Technischen Vertragsbedingungen für Bauleistungen - ATV - VOB/C und die weiteren in den Vergabeunterlagen genannten DIN-Normen gelten in der bei Abschluss des Vertrages geltenden Fassung.
Soweit sich die DIN-Normen bis zur Auftragserteilung ändern, wird als Stichtag das Datum der Auftragserteilung festgesetzt. Alle bis zu diesem Zeitpunkt verbindlich verankerten und lt. Normenausschuss festgelegten Bedingungen und Vorschriften werden automatisch Grundlage der Ausführung. Grundlage der Leistungen ist stets die diesbezüglich aktuelle DIN-Norm, für andere technische Regelwerke gilt entsprechendes.
Für die rechtsgeschäftliche Abnahme ist die im Zeitpunkt der Abnahme gültige Fassung maßgeblich.</t>
  </si>
  <si>
    <t>7b540181-eae4-46ae-a3a4-802e56b3431e</t>
  </si>
  <si>
    <t>A.14 Hinweis Positionsbeschreibung</t>
  </si>
  <si>
    <t>A.14 Hinweis Positionsbeschreibung
Stoffe und Bauteile der Baustelleneinrichtung, die der AN vorzuhalten hat, können gebraucht sein. Für die Ausführung der Leistungen gilt der vom AN aufzustellende und vom AG genehmigte Baustelleneinrichtungsplan. Der Baustelleneinrichtungsplan wird nicht gesondert vergütet. Eine Koordinierung der nachfolgend beschriebenen Leistungen mit anderen Gewerken ist erforderlich.
Hinweis Positionsbeschreibung
Alle in den Leistungspositionen für Herstellung und/oder Einbau vorgesehenen Materialien verstehen sich jeweils einschließlich Lieferung frei Baustelle, Einbau und ggfs. der Vorhaltung der Bauhilfsmaterialien.
In den Leistungspositionen der Vorhaltung ist mit der Vorhaltung neben der Bereitstellung der Leistung auch die regelmäßige Kontrolle und ggf. Mängelbeseitigung entsprechend den Eigenarten der Leistung, den Vorschriften, Festlegungen der Planung und des Vertrages durchzuführen.
Erhält der AN von dem AG oder Dritten die Mitteilung, dass Vorhalteleistungen nicht im ordnungsgemäßen Zustand sind, ist er verpflichtet diese umgehend nachzubessern. Dies gilt insbesondere für sicherheitsrelevante Einrichtungen.
Die in dem Leistungsverzeichnis dargestellten Merkmale hinsichtlich Qualität, konstruktivem Aufbau und Werkstoffen werden zwingend gefordert.
Die Angaben in diesem Leistungsverzeichnis dienen ausschließlich der Orientierung für die Werkplanung des AN. Festlegungen der Ausführungen nur nach Bemusterung und Freigabe durch den AG bzw. durch die AG-Bauleitung.
Die Vorgaben und Vorbemerkungen des Auftraggebers zu Verträgen, Rechnungsstellung etc. haben Vorrang vor den Vorbemerkungen dieser Ausschreibung.
Hinweis Allgemeines
Alle Ausführungen im mehrschichtigen Bauablauf (alle Ausführungen und alle Bereiche)
Die Arbeitszeit ist wie üblich von 07.00 - 17:00 Uhr, oder individuell nach Rücksprache mit der AG-Bauleitung.
Es besteht ein striktes Alkoholverbot.
Das Rauchen im Gebäude und im Gelände ist ebenfalls verboten.
Türen zu dem Gelände sind immer geschlossen zu halten
Leiteraufgänge der Rüstung sind zu sichern und gegen die Nutzung von Unbefugten zu sichern.
Entstehende Baureststoffe sind, wenn nicht anders beschrieben zu entfernen und fachgerecht zu entsorgen.
Nach Auftragserteilung erhält der AN über die Bauüberwachung (BÜ) einen Zugang zur Plattform Capmo - einem digitalen Tool für kollaboratives Bauprojektmanagement.           Capmo verknüpft Daten, Werkzeuge und Prozesse nahtlos miteinander. Durch die intelligente Integration von Terminplänen, Aufgaben, Nachträgen und Mängelmanagement werden Abläufe effizienter gestaltet und die Projektdokumentation zentral gebündelt.
COPYRIGHT:
Die in diesen Unterlagen gezeigten Inhalte unterliegen dem deutschen Urheber- und Leistungsschutzrecht.
Jede vom deutschen Urheber und Leistungsschutzrecht nicht zugelassene Verwertung bedarf der vorherigen schriftlichen Zustimmung durch den Verfasser.
Dies gilt insbesondere für Vervielfältigungen, Bearbeitung, Einspeicherung, Verarbeitung bzw. Wiedergabe von Inhalten in Datenbanken oder anderen elektronischen Medien und Systemen.
Auftraggeber dürfen die Unterlagen einschließlich der EDV-Unterlagen nurfür das nach dem Vertrag vereinbarte Bauvorhaben verwenden.
Im Übrigen verbleiben die Nutzungs- und Urheberrechte bei dem Verfasser.</t>
  </si>
  <si>
    <t>9b52ab61-51ea-4f62-94cb-1fcf5d4e6e2e</t>
  </si>
  <si>
    <t>Gruppe</t>
  </si>
  <si>
    <t>00.</t>
  </si>
  <si>
    <t>Technische Vorbemerkungen</t>
  </si>
  <si>
    <t>ATV</t>
  </si>
  <si>
    <t>ALLGEMEINE TECHNISCHE VORBEMERKUNGEN
Die neuesten Richtlinien, Regeln, VOB, DIN-Vorschriften sowie das aktuelle GeG (Gebäude Energie Gesetz) sind einzuhalten bzw. zu beachten. Die jeweiligen Herstellervorschriften der im LV beschriebenen, bzw. angebotenen Materialien und Produkte sowie die dazugehörigen technischen Merkblätter und Sicherheitsdatenblätter sind zu beachten.
Die Einzelpositionen verstehen sich inklusive Lieferung, Materialkosten und Einbau, soweit nichts anderes beschrieben.
Für Befestigungsmittel, die der Witterung ausgesetzt sind, müssen korrosionsbeständige Werkstoffe verwendet werden.
Für Bauteile bzw. Gegenstände die vom rechten Winkel abweichen ( z.B. Schrägschnitte ) gibt es nur Zuschläge, wenn diese in den Positionen ausdrücklich erwähnt sind - ansonsten ist eine solche Zulage in die Pos. einzukalkulieren - oder vom AN ergänzend aufzuführen.
Maßkontrollen am Bau sind durchzuführen. Auf evtl. Differenzen oder planerische Abweichungen ist der Auftraggeber sofort aufmerksam zu machen.
Massenänderungen und voraussichtliche Mehrkosten sind der Bauleitung umgehend vor Ausführung schriftlich per Mail oder Fax anzuzeigen.
Der Auftragnehmer hat arbeitstäglich Bautagesberichte (nach dem Vordruck CertiForm KEV 320 Bautagberichte) mit folgenden Angaben zu führen (siehe auch CertiForm KEV 116.1, Punkt 1.3):
Zahl der am Tag anwesenden Mitarbeiter ( Berufsbezeichnung und Namen z.B. Facharbeiter Müller).
am Tag ausgeführte Arbeiten
am Tag eingebautes/ verwendetes Material
Angaben zum Terminplan
Angaben zum Wetter ( z.B. Regen, Frost etc.)
Die Berichte sind der Bauleitung arbeitstäglich spätestens wöchentlich zu übergeben.
Bei Nichteinhaltung werden strittige Punkte zu Gunsten des AG entschieden.
Stundenlohnarbeiten, siehe besondere Hinweise am Ende der LVs. Stundenlohnarbeiten sind im Vorfeld anzumelden, ansonsten erfolgt keine Vergütung.
Der Auftragnehmer hat die Durchführung seiner Arbeiten nach Terminplan so vorzunehmen, dass ein reibungsloser Ablauf der Arbeiten gewährleistet ist.
Abweichungen vom Terminplan sind der Bauleitung sofort schriftlich mitzuteilen.
Anmelden von Bedenken:
Der Auftragnehmer hat vor Beginn seiner Arbeiten zu prüfen, ob die vorgesehene Ausführung sich für die Durchführung seiner Leistung eignet. In diesem Zuge ist auch die Eignung des Bestandes bzw. die Leistung der Vorgewerke zu prüfen. Bedenken sind dem Auftragnehmer unverzüglich schriftlich mitzuteilen.
Der Auftragnehmer hat dafür Sorge zu tragen, dass während der Ausführung seiner Leistungen immer mindestens ein fließend deutsch sprechender Mitarbeiter seiner Firma pro Gewerk auf der Baustelle anwesend ist.
Zu den auf der Baustelle vorzuhaltenden Ausführungsunterlagen zählt neben den Ausführungsplänen auch eine Ausfertigung dieser Leistungsbeschreibung.
Die vom Auftragnehmer verwendeten Ausführungsunterlagen müssen den Freigabevermerk des Auftraggebers oder des Architekten tragen. Durch Übergabe neuer Unterlagen ungültig gewordene Unterlagen sind vom Auftragnehmer entsprechend zu kennzeichnen und aufzubewahren. Nicht freigegebene Unterlagen dürfen nicht verwendet werden.
HINWEIS zur Beachtung für alle Gewerke:
Sämtliche Positionen, die nicht im Nachhinein nachvollzogen, oder nicht den vorliegenden Planunterlagen entnommen werden können, müssen vor Ausführung mit dem Bauleiter aufgemessen werden.
Ansonsten erfolgt keine Vergütung.</t>
  </si>
  <si>
    <t>98f9e017-c5af-4af4-a788-f5455c0e126a</t>
  </si>
  <si>
    <t>ZTV Trockenbau</t>
  </si>
  <si>
    <t>TECHNISCHE VORBEMERKUNGEN
TROCKENBAUARBEITEN
Mitgeltende Normen und Regeln
Allgemeines
Es gelten jeweils die Normen und Regeln in der zum Vertragsschluss gültigen Fassung einschließlich der Änderungen, Berichtigungen und Beiblätter.
Soweit in der Leistungsbeschreibung auf Technische Spezifikationen, z. B. nationale Normen, mit denen Europäische Normen umgesetzt werden, europäische technische Zulassungen, gemeinsame technische Spezifikationen, internationale Normen, Bezug genommen wird, werden auch ohne den ausdrücklichen Zusatz: "oder gleichwertig", immer gleichwertige Technische Spezifikationen in Bezug genommen.
(Erläuterung: "Gilt nur für öffentliche Bauvorhaben: Dieser Hinweis soll gemäß ATV DIN 18299 grundsätzlich in die Vorbemerkungen aufgenommen werden, sobald in der Leistungsbeschreibung auf technische Spezifikationen Bezug genommen wird.")
DIN 18100
Türen; Wandöffnungen für Türen; Maße entsprechend DIN 4172
DIN 55634
Beschichtungsstoffe und Überzüge - Korrosionsschutz von tragenden dünnwandigen Bauteilen aus Stahl
DIN EN 13170
Wärmedämmstoffe für Gebäude - Werkmäßig hergestellte Produkte aus expandiertem Kork (ICB) - Spezifikation
VDI 3762
Schalldämmung von Doppel- und Hohlraumböden
AGI-A20
Doppelbodensysteme: Anforderungen, Ausführungsgrundsätze
Herausgeber: Arbeitsgemeinschaft Industriebau e.V. (AGI)
BG Bau Fachinfo Prävention
Umgang mit Mineralwolle-Dämmstoffen
IVD-Merkblatt Nr. 16
Anschlussfugen im Trockenbau
Herausgeber: Industrieverband Dichtstoffe e.V. (IVD)
IVD-Merkblatt Nr. 19-2
Abdichtungen von Fugen und Anschlüssen im Dachbereich - Teil 2 Luftdichte Ebene
Herausgeber: Industrieverband Dichtstoffe e.V. (IVD)
IVD-Merkblatt Nr. 20
Fugenabdichtung an Holzbauteilen und Holzwerkstoffen
Herausgeber: Industrieverband Dichtstoffe e.V. (IVD)
Merkblatt Nr. 1
Baustellenbedingungen für Trockenbauarbeiten mit Gipsplatten-Systemen
Herausgeber: Bundesverband der Gipsindustrie e.V., Industriegruppe Gipsplatten
Merkblatt Nr. 3
Gipsplattenkonstruktionen - Fugen und Anschlüsse
Herausgeber: Bundesverband der Gipsindustrie e.V., Industriegruppe Gipsplatten
Merkblatt Nr. 4
Regeldetails zum Wärmeschutz gemäß EnEV 2009 Modernisierung mit Trockenbausystemen
Herausgeber: Bundesverband der Gipsindustrie e.V., Industriegruppe Gipsplatten
Merkblatt Nr. 4 Anhang
Regeldetails zum Wärmeschutz gemäß EnEV 2009 Modernisierung mit Trockenbausystemen
Herausgeber: Bundesverband der Gipsindustrie e.V., Industriegruppe Gipsplatten
Merkblatt Nr. 5
Bäder und Feuchträume im Holzbau und Trockenbau
Herausgeber: Bundesverband der Gipsindustrie e.V., Industriegruppe Gipsplatten
Merkblatt Nr. 6
Vorbehandlung von Trockenbauflächen aus Gipsplatten zur weitergehenden Oberflächenbeschichtung bzw. -bekleidung
Herausgeber: Bundesverband der Gipsindustrie e.V., Industriegruppe Gipsplatten
Merkblatt Nr. 8
Wandhöhen leichter Trennwände
Herausgeber: Bundesverband der Gipsindustrie e.V., Industriegruppe Gipsplatten
RAL-GZ 531
Trockenbau - Gütesicherung
Richtlinie
Anwendungsrichtlinie zur DIN EN 12825 Doppelböden
Herausgeber: Bundesverband Systemböden e.V.
Richtlinie
Anwendungsrichtlinie zur DIN EN 13213 Hohlböden
Herausgeber: Bundesverband Systemböden e.V.
Angaben zu Stoffen und Bauteilen
Bei brandschutztechnischen Anforderungen sind die amtlichen Nachweise (Prüfzeugnis oder Prüfbescheid oder allgemeine bauaufsichtliche Zulassung) der Bauleitung zu übergeben.
Bei nicht genormten Stoffen und Bauteilen sind, soweit erforderlich, die bauaufsichtlichen Zulassungen der Bauleitung zu übergeben.
Bei brandschutztechnischen Anforderungen an Doppel- und Hohlböden sind die betreffenden Allgemeinen Bauaufsichtlichen Prüfzeugnisse (ABP), die zugehörigen Übereinstimmungserklärungen der Hersteller und der Nachweis über den Einbau schwerentflammbarer Dichtungen rechtzeitig zur Abnahme vorzulegen.
Klebstoffe müssen so beschaffen sein, dass durch sie eine feste und dauerhafte Verbindung erreicht wird. Sie dürfen die zu klebenden Materialien nicht negativ beeinflussen und nach der Verarbeitung keine Belästigung durch Geruch hervorrufen.
Angaben zur Ausführung
Allgemeines
Vor Ausführungsbeginn hat der Auftragnehmer mit dem Auftraggeber festzulegen, wo das zu verwendende Material auf der Baustelle gelagert werden kann, um gegenseitige Störungen der am Bau beteiligten Handwerker während der Bauausführung zu vermeiden.
Vor der Durchführung von Stemm-, Bohr- und Einsetzarbeiten an Estrichen sowie geputzten Wänden und Decken sind Leitungen mit einem Suchgerät zu orten.
Späne vom Bohren und Fräsen sowie Reste von Schleifstaub sind sofort von den bearbeiteten Teilen zu entfernen.
Der Auftragnehmer hat sich beim Befestigen von Bauteilen an Vorsatzschalen zu vergewissern, dass durch die Befestigungsmittel keine Beschädigungen nicht sichtbarer Leitungen und Rohre entstehen.
Säulen von Schwenkarmaufzügen dürfen nicht zwischen Balkonen oder Kragplatten eingespannt werden; beim Einspannen in Mauerwerksöffnungen sind diese vor Beschädigungen zu schützen, nach Möglichkeit sind Fensterwinkel zu verwenden.
Alle Maße sind vor der Ausführung am Bau zu überprüfen, sofern keine Detailzeichnungen mit verbindlichen Maßangaben vorliegen.
Vor Beginn der Arbeiten sind die tatsächlichen Einbauhöhen bezogen auf das gesamte Ausbausystem mit der Bauleitung abzustimmen, wenn unzulässige Toleranzen oder Änderungen des geplanten Fußbodenaufbaus festgestellt oder vermutet werden.
Bei Schleifarbeiten im Trockenverfahren sind Absauggeräte zu verwenden.
Beschädigungen an Dampfsperr- oder Dampfbremsschichten oder an luftdichten Schichten sind, wenn diese Schichten zum Leistungsumfang des Auftragnehmers zählen, vor dem Abdecken mit nachfolgenden Bauteilen
dauerhaft und materialgerecht zu schließen.
Beschädigungen an Dampfsperr- oder Dampfbremsschichten oder an luftdichten Schichten sind, wenn diese Schichten zum Leistungsumfang des Auftragnehmers zählen, vor dem Abdecken mit nachfolgenden Bauteilen dauerhaft und materialgerecht zu schließen. Wenn diese Schichten zum Leistungsumfang eines anderen Auftragnehmers zählen, ist mit der Bauleitung zu klären, wer die Schäden beseitigen soll. In beiden Fällen ist vor dem Abdecken mit nachfolgenden Bauteilen der Bauleitung die Überprüfung der Schadensbehebung zu ermöglichen.
Bei brandschutztechnischen Anforderungen an Wände und Decken ist die Muster-Richtlinie über brandschutztechnische Anforderungen an Leitungsanlagen (Muster-Leitungsanlagen-Richtlinie - MLAR) zu beachten.
Die Verarbeitungsvorschriften und -richtlinien der Hersteller der Trockenbausysteme sind zu beachten.
Dem Auftraggeber ist auf Verlangen Einsicht in diese zu gewähren. Das gilt besonders für Anzahl und Anordnung der Befestigungspunkte sowie die Fugenausbildung.
Die nach ATV DIN 18340 Abschnitt 3.7.2 erforderlichen Maßnahmen bei Türöffnungen sind in die Leistungen für das Anlegen der Türöffnungen einzurechnen.
Offen bleibende Schnittkanten imprägnierter Platten, z.B. an Außenecken, sind nachzuimprägnieren.
Die Verarbeitungsvorschriften und -richtlinien der Hersteller der Trockenbausysteme sind zu beachten. Dem Auftraggeber ist auf Verlangen Einsicht in diese zu gewähren. Das gilt besonders für Anzahl und Anordnung der Befestigungspunkte sowie die Fugenausbildung.
Die nach ATV DIN 18340 Abschnitt 3.7.2 erforderlichen Maßnahmen bei Türöffnungen sind in die Leistungen für das Anlegen der Türöffnungen einzurechnen.
Offen bleibende Schnittkanten imprägnierter Platten, z.B. an Außenecken, sind nachzuimprägnieren.
Brandschutzkleber oder Brandschutzspachtelmassen sind so zu verarbeiten, dass überstehendes Material abgestrichen wird; ein großflächiges Verspachteln ist zu vermeiden.
Dämmungen
Bei der Ausführung von Bauteilen und Anschlüssen, die der Herstellung der Luftdichtheit des Gebäudes dienen, ist davon auszugehen, dass vor oder bei der Abnahme der Leistungen durch den Auftraggeber oder eine von ihm beauftragte Fachkraft eine Prüfung der Luftdichtheit durch einen Blowerdoor-Test durchgeführt wird.
Trockenbauoberflächen
Sofern bei der Beschreibung der Leistung nichts anderes angegeben ist, sind die Oberflächen von Innenputzen in der Qualitätsstufe Q2, laut der Regelausführung nach ATV DIN 18340, auszuführen.</t>
  </si>
  <si>
    <t>8f270fb6-cd3e-4ee8-aa0f-f64c9967067a</t>
  </si>
  <si>
    <t>TV</t>
  </si>
  <si>
    <t>Technische Vorbemerkung
Für die vom Bieter anzubietenden Materialien, Ausführungen und Leistungen gelten die nachfolgend genannten Normen verbindlich:
DIN-EN 13964 "Unterdecken - Anforderungen und Prüfverfahren".
EN 13168 "Wärmedämmstoffe für Gebäude - Werksmäßig hergestellte Produkte aus
Holzwolle (WW) - Spezifikation" Die Montagerichtlinien der Herstellerfirmen der verwendeten Materialien sind zu beachten.
Nachweis der Gleichwertigkeit von Produkten
Sollte von Seite des Anbieters ein alternatives, bzw. gleichwertiges Produkt angeboten werden, so sind die Produktkennwerte durch ein aktuelles Prüfzeugnis zu belegen, bzw. die Gleichwertigkeit über die im EC-Konformitätszertifikat deklarierten Werte nachzuweisen, insbesondere die Produkttoleranzen und Brennbarkeitsklasse.
Als Nachweis dafür, dass das Produkt baubiologisch gleichwertig und einwandfrei ist, gilt das Zertifikat "Der Blaue Engel". Alle erforderlichen Nachweise für die Gleichwertigkeit bzw. Eignung der Produkte sind durch den Auftragnehmer (AN) zu erbringen.
Der Korrosionsschutz aller Metallteile muss auf die am Einbauort herrschenden Bedingungen abgestimmt werden.
Sichtbare Kanten, nachträglich hergestellte Fasen und Plattenschnittkanten, sowie Schraubenköpfe, Faserausbrüche etc. müssen farbig mit der vom Hersteller auf Anfrage mitgelieferten oder einer gleichwertigen Farbe nachbehandelt werden.
Doppeleinfärbungen im Bereich der Schraubenköpfe sind zu vermeiden.</t>
  </si>
  <si>
    <t>65d6fb9c-fc61-4580-a5ed-75d597d0854b</t>
  </si>
  <si>
    <t>Anforderungen</t>
  </si>
  <si>
    <t>Befestigungen an Böden, Wände und an Decken
1. Untergründe / Materialien:
Böden aus Betonwerkstoff
Spannbetonhohlplattendecken (Betonwerkstoff) oder Kassettendecken (Fertigbetonelemente)
Stahlbetonverbundträger (Unterzüge)
Wände aus Beton mit Armierung (Stahlbeton) oder Mauerwerk
2. Böden:
teilweise Fußbodenheizung!
Bohrung nur nach Wärmebildüberprüfungvor Außerbetriebnahme der Heizungsanlage!
Befestigungen im Bodenbereich durch Abdichtung:
Abdichtung der Schrauben mit Flüssigkunststoff (Ausführung nur, wenn Befestigungen durch die Abdichtung eingebaut werden müssen)
3. Wände:
konventionelle Dübelbefestigungen möglich
4. Decken:
Befestigung allgemein (Boden und Decke)
ober- u. unterseitig in Hohlkammerspannbetondielen mit Setzbolzen mit seitlichem Abstand mind. 5 cm zu Spannlitze
unterseitig Teilbereiche unter StB-Verbundträger
Befestigung an der Decke (Einteilung nach Zeichnung und Details)
starrer Deckenanschluss an Hohlkammerspannbetondielen Kurzstrecken unterhalb StB-Verbundträger
starrer Deckenanschluss an Hohlkammerspannbetondielen Kurzstrecken unterhalb StB-Verbundträger mit Brandschutzanforderung
starrer Deckenanschluss an StB-Verbundträger (werksseitig vorgerüstet)
starrer Deckenanschluss an StB-Verbundträger (werksseitig vorgerüstet) mit Brandschutzanforderung
in Ortbetondecken konventionelle Dübelbefestigungen
ober- u. unterseitig in Hohlkammerspannbetondielen mit Setzbolzen mit seitlichem Abstand mind. 5 cm zu Spannlitze
unterseitig Teilbereiche unter StB-Verbundträger
wenn nicht anders in den Leistungsbeschreibungen erwähnt, sind die Trennwände bis an die Rohdecke zu führen
5. Anforderungen Befestigungen:
Befestigung mit bauaufsichtlich zugelassenen Befestigungsmitteln
6. Anforderungen Fugen und Anschlüsse:
starrer angespachtelter Anschluss:
in Verbindung mit Trennstreifen an Massivbauteile
geringe Verformung der Anschlussteile (z.B. Durchbiegung)
zulässig; "kontrollierte" gerade Haarfuge im Nutzungszustand
mit Trennstreifen (nach ATV DIN 18340)
"kontrollierte" gerade Haarfuge im Nutzungszustand
mit Trennstreifen mit / ohne Profilhinterlegung; Tragprofil
im Anschlussprofil aufliegend (bei Brandschutzanforderungen mit Profilhinterlegung ausführen)
Hinweis:
Deckentragprofile bei tragenden Anschlussprofilen mindestens 25 mm auflegen
mit Trennstreifen ohne Profilhinterlegung bei freien Gipsplattenenden von circa 100 mm angeputzter Anschluss
starrer angespachtelter / stumpfer Anschluss zwischen
Trockenbaukonstruktionen:
spezielle Anschlüsse für Trockenbaukonstruktionen
untereinander
mit stumpf gestoßenem Bewehrungsstreifen am Anschlussbauteil
alternativ ohne Bewehrungsstreifen mit geeignetem Fugenspachtel möglich
mit eingespachteltem Papierfugen-Bewehrungsstreifen über Eck (nur für Gipsplatten)
Bei Gipsplatten und Gipsfaserplatten mit Stumpf gestoßenem Bewehrungsstreifen an Anschlussbauteil bzw. ohne Bewehrungsstreifen mit geeignetem Fugenspachtel möglich
bei Gipsplatten alternativ mit über Eck eingespachtelten Papierfugen- Bewehrungsstreifen möglich
Insbesondere bei Brandschutzanforderungen, sonst alternativ ohne Verschraubung der Platten zulässig
Stumpf angearbeiteter Anschluss zwischen
Trockenbaukonstruktionen
stumpf gestoßene Gipsplatte/ Gipsfaserplatte
Gipsplatte stumpf anarbeiten ohne anspachteln nach ATV DIN 18340 Nr. 3.1.8
eventuell zusätzliche Anforderungen an Schall- und Brandschutz sind zu berücksichtigen
Anschlussfuge mit Dichtstoff
Aufnahme von Schwindverformungen lediglich von 0,1 - 1 mm (ca. 10 - 15% der Fugenbreite)
Dieser Anschluss ist nur geeignet bei Beschichtungen mit Putz einer Körnung = 2 mm
in Anstrichen, Tapeten u. a. können Risse und Falten auftreten
hinterlegter Trennstreifen zur Vermeidung von Dreiflankenhaftung des Dichtstoffes
Dichtstoff sollte regelmäßig gewartet werden, (vgl. IVD Merkblatt 16)
offene Anschlussfuge (Schattenfuge)
(Schattenfuge) mögliche Rissbildungen werden optisch verdeckt
mit hinterlegtem Plattenstreifen
mit versetzter 2. Plattenlage
eventuell zusätzliche Anforderungen an Schall- und Brandschutz sind zu berücksichtigen
offene Feldfuge (Fuge in der Bekleidung der Konstruktion)
offene Feldfuge
Trennung der Beplankung
zu dekorativen Zwecken und zur Reduzierung von Spannungen
für Untergliederung von Flächen und Einschnürungen
mit sichtbarer Unterkonstruktion
offene Feldfuge
Trennung der Beplankung: zur Reduzierung von Spannungen und zu dekorativen Zwecken
auch für Flächengliederung und Vermeidung von Einschnürungen
mit hinterlegtem Plattenstreifen
gleitende Feldfuge (Bewegungsfuge; konstruktive Trennung)
Trennung der gesamten Konstruktion
geeignet als Dehnfuge nach DIN 18 183
Anordnung bei Überbrückung von konstruktiven Fugen des Baukörpers bzw. wenn die Wandlänge eine Unterteilung in Abschnitte erfordert.
mit Fugenprofil
eventuell zusätzliche Anforderungen an Schall- und Brandschutz sind zu berücksichtigen
Dehnungsfuge in Montagewänden nach DIN 18183 mit Plattenhinterlegung bei Wänden mit Brandschutzanforderung
Die Hinweise aus dem Merkblatt 3 (Fugen und Anschlüsse bei Gipsplatten- und Gipsfaserplattenkonstruktionen) von dem Bundesverband der Gipsplattenindustrie e.V. sind zu beachten.
wenn nicht anders in den Leistungsbeschreibungen erwähnt, sind die Fugen und Anschlüsse nach den vorstehenden Hinweisen auszuführen
Die Grundrisse, Schnitte und Details sind zwingend zu beachten.</t>
  </si>
  <si>
    <t>69e91a59-2ed2-4cc1-bb7f-0c9333d2fc92</t>
  </si>
  <si>
    <t>Summe Gruppe</t>
  </si>
  <si>
    <t>6dc70e31-e96c-4610-bf73-f2ab9e6f1e90</t>
  </si>
  <si>
    <t>65ff528d-fd75-41e8-8799-c493e17362ef</t>
  </si>
  <si>
    <t>01.</t>
  </si>
  <si>
    <t>Planung, Prüfung und Bemusterung</t>
  </si>
  <si>
    <t>Position</t>
  </si>
  <si>
    <t>01.010.</t>
  </si>
  <si>
    <t>Bauablaufplan</t>
  </si>
  <si>
    <t>Bauablaufplan fachgerecht erstellen.
Umfang:
Projektablaufplan auf Grundlage der Architektenplanung fachgerecht erstellen
Bauablaufplan nur für die eigenen Leistungen (nicht für andere Gewerke)
einschließlich Fortschreibung jede zweite Woche
Anforderungen:
Bauzeitenplan (Projektablaufplan) muss mindestens enthalten:
Detaillierungsgrad als Koordinations- und Steuerungsplan
Darstellung der Zeitskala in Wochen
Darstellung von Verknüpfungen der Einzelgewerke
Darstellung von Meilensteinen, z. B. Vertragsfristen
Schnittstellentermin zu anderen Baumaßnahmen
Darstellung der Mannmonatskurve
Darstellung des kritischen Weges
Darstellung der Pufferzeiten
Darstellung von Sperrzeiten für Straßen- und Betriebsflächen
Darstellungsart Balkendiagramm (Gantt chart) - Excelformat
Bevorzugt: digital erstellt mit MS Project oder gleichwertig
einschließlich regelmäßiges Fortschreiben (jede zweite Woche) der Dokumentation (Terminplanung/Bauzeitenplan) für die Gesamtdauer der eigenen Leistungen (Ausführungen), inklusive mit Übergabe (unaufgefordert) an die AG-Bauleitung</t>
  </si>
  <si>
    <t>psch</t>
  </si>
  <si>
    <t>bc507428-c757-4ddf-97ea-138662557598</t>
  </si>
  <si>
    <t>7ccdf301-9e8c-42ee-a19e-ff46167299d2</t>
  </si>
  <si>
    <t>01.020.</t>
  </si>
  <si>
    <t>Materialmuster</t>
  </si>
  <si>
    <t>Bemusterung der zu liefernden und einzubauenden Materialien durchführen.
Umfang:
Bemusterung der zu liefernden und einzubauenden Materialien müssen spätestens vier Wochen nach der Beauftragung (Bauvertrag) mit dem AG, der AG-Bauleitung und den Architekten durchgeführt werden
Materialmuster für alle einzubauenden Materialien (Bauelemente), zur Abstimmung und Festlegungen der Detailausführungen von Farben, Oberflächen, Materialbeschaffungen u.a. liefern, vorlegen und vorhalten
Handmuster
Profilabschnitte mindestens 30 cm lang
Muster der Unterkonstruktionen und Plattenbeläge
Befestigungs- und Verbindungstypen
Abdichtungen
Vorlage der technischen Datenblätter zur Bemusterung ausreichend
Aufstellung nicht abschließend
Originalbauteile, die vom AN hergestellt und auf der Baustelle montiert werden, müssen uneingeschränkt den vom AN vorgelegten und vom AG genehmigten Handmustern entsprechen.
Sämtliche Muster sind durch den AN bis zur Abnahme vorzuhalten und dauerhaft mit Angaben zum Bauvorhaben und allen wesentlichen Eigenschaften eindeutig zu kennzeichnen.
Wenn im LV nicht anders beschrieben, sind die Muster nach erfolgter Abnahme der gesamten Bauleistung durch den AN zu entsorgen.
Die Probenahmen für Eignungs- und Kontrollprüfungen sind grundsätzlich im Beisein eines verantwortlichen Vertreters des AG durchzuführen.
Sämtliche Materialien sind vor ihrer Verwendung rechtzeitig der Bauleitung zur Genehmigung vorzulegen (Bemusterung).
Werden nicht genehmigte Materialien, Geräte oder Bauteile eingebaut, gehen alle dadurch entstehenden Kosten zu Lasten des AN.
Verspätete Bemusterungsvorlagen durch den AN, die zu Terminverzögerungen führen, hat der AN zu verantworten.
Kommen Materialien oder Einbaugeräte zur Anwendung, für die amtliche oder bauaufsichtliche Zulassungen erforderlich sind, so sind diese Zulassungsbescheide mit Prüfberichten der Bemusterung beizufügen.</t>
  </si>
  <si>
    <t>945cb808-0199-4af7-b122-3856e8760f8b</t>
  </si>
  <si>
    <t>02.</t>
  </si>
  <si>
    <t>Baustelleneinrichtung</t>
  </si>
  <si>
    <t>02.010.</t>
  </si>
  <si>
    <t>Mobiles Arbeitsgerüst H= 4,00 m</t>
  </si>
  <si>
    <t>Mobiles Arbeitsgerüst (Rollrüstung) liefern, aufbauen und für die Dauer von vier Wochen vorhalten.
Umfang:
mobiles Arbeitsgerüst
Anforderungen:
Abmessung circa 2,00*2,00*6,00 m (L*B*H)
Belastbarkeit gemäß Lastklasse 3 beträgt 200 kg/m²
fahrbares Gerüst DIN 4420-3
Systemgerüst DIN EN 12810-1
entsprechend der Gerüstordnung DIN 4420 sowie den Vorschriften der Bauberufsgenossenschaft und den Bestimmungen der Bauaufsichtsbehörde, einschließlich An- und Abtransport und aller Nebenarbeiten
als Modulgerüst
Höhenabstand der Gerüstlagen 2,00 m
zwei genutzte Gerüstlagen
Höhe der obersten Gerüstlage circa 6 m
im Gebäude bzw. Innen und Außen
Gerüstlagen mit allseitigem Seitenschutz
Um- und Abbaukosten der Rollrüstung sind in den Einheitspreis mit einzurechnen
Mit dem Einheitspreis ist die Gebrauchsüberlassung der Rollrüstung für die Dauer von vier Wochen abgegolten</t>
  </si>
  <si>
    <t>St</t>
  </si>
  <si>
    <t>dfe80876-8bad-418f-a63f-44afb52d5adf</t>
  </si>
  <si>
    <t>adefa4e9-16c8-4d34-bdf8-c2734fb5652f</t>
  </si>
  <si>
    <t>02.020.</t>
  </si>
  <si>
    <t>mobile Rollrüstung H= 6,00 m vorhalten</t>
  </si>
  <si>
    <t>Verlängerte Vorhaltung  mobile Rollrüstung (Vorposition).
Umfang:
Verlängerte Vorhaltung mobile Rollrüstung (Vorposition) über die vereinbarte Leistungszeit  (Grundhaltezeit) hinaus vorhalten.
Einschließlich Instandhaltung, Wartung und ggf. ersetzten bei Beschädigungen für die Dauer der vertraglichen Leistung des Auftragnehmers.
Anforderungen:
Vorhaltemenge 1 Stück
Vorhaltungsdauer 6 Wochen
Abrechnung: Stück*Woche</t>
  </si>
  <si>
    <t>StWo</t>
  </si>
  <si>
    <t>0c4be034-a50b-47c6-a7bc-2d6a908ec285</t>
  </si>
  <si>
    <t>03.</t>
  </si>
  <si>
    <t>Kellergeschoss</t>
  </si>
  <si>
    <t>03.001.</t>
  </si>
  <si>
    <t>Wände</t>
  </si>
  <si>
    <t>03.001.010.</t>
  </si>
  <si>
    <t>Aktionsbereich A</t>
  </si>
  <si>
    <t>Trockenbauwand liefern und fachgerecht einbauen.
Umfang:
Trockenbauwand aus Ständerwerk
mit beidseitiger doppelter Beplankung
beidseitig Wasserschutzklasse W1
Oberflächen ohne Fliesenbelag
Ausführung nach Zeichnungen und Details (u.a. W112.de)
Anforderungen: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150 mm
beidseitige Beplankung nach DIN 18180
jeweils zweilagig
Plattendicke 2*12,5 mm pro Seite
Metallständer CW 100
Ständerachsabstand ≤ 625 mm
Boden und Deckenanschlüsse mit Randprofilen UW 100/40/06
Befestigung mit bauaufsichtlich zugelassenen Befestigungsmitteln
Dämmschicht aus Mineralwolle nach DIN EN 13162:
Dämmschicht aus Mineralwolle nach DIN EN 13162
Baustoffklasse A1, nichtbrennbar nach DIN 4102 und EN 13501-1
Dämmschicht Dicke mindestens 100 mm
Wärmeleitfähigkeit λ ≤ 0,040 W/(mK)
längenbezogener Strömungswiderstand nach DIN EN 29053: r ≥ 5 kPa·s/m²
Rw = 58,4 dB
Dämmschicht einlagig, dicht stoßen, abrutschsicher verlegen
beidseitige zweilagige Beplankung mit GKBI-H2 DIN 18180 bzw. Typ H2 EN 520:
1. Seite:
Beplankung aus Gipsplatten GKBI DIN 18180 bzw. Typ H2 EN 520
zweilagig
Plattendicke 2*12,5 mm
2. Seite:
Beplankung aus Gipsplatten GKBI DIN 18180 bzw. Typ H2 EN 520
zweilagig
Plattendicke 2*12,5 mm
Abmessungen:
in circa (L*H)
A=(3,21+3,59+1,48)*2,55 m
A= 22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A (Kellergeschoss)</t>
  </si>
  <si>
    <t>m²</t>
  </si>
  <si>
    <t>cdefce3d-812d-44a1-b101-3ab0820f44aa</t>
  </si>
  <si>
    <t>10ec5a3f-f376-4ad9-a6de-a333f9b43eb2</t>
  </si>
  <si>
    <t>03.001.020.</t>
  </si>
  <si>
    <t>Aktionsbereich B</t>
  </si>
  <si>
    <t>Trockenbauwand liefern und fachgerecht einbauen.
Umfang:
Ausführung wie Vorposition, jedoch
1. Seite Wasserschutzklasse W1
2. Seite Wasserschutzklasse W0
Ausführung nach Zeichnungen und Details (u.a. W112.de)
Anforderungen:
Dämmschicht aus Mineralwolle nach DIN EN 13162:
Dämmschicht Dicke mindestens 100 mm
Dämmschicht einlagig, dicht stoßen, abrutschsicher verlegen
beidseitige zweilagige Beplankung:
1. Seite:
Beplankung aus Gipsplatten GKBI DIN 18180 bzw. Typ H2 EN 520
zweilagig
Plattendicke 2*12,5 mm
2. Seite:
Beplankung aus Gipsplatten GKB-A DIN 18180 bzw. Typ A EN 520
zweilagig
Plattendicke 2*12,5 mm
Abmessungen:
in circa (L*H)
A=(2,82+3,79)*3,10 m
A= 20,49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B (Kellergeschoss)</t>
  </si>
  <si>
    <t>84200507-b6b2-4f9d-8914-9a6f0bdf1b97</t>
  </si>
  <si>
    <t>03.001.030.</t>
  </si>
  <si>
    <t>Aktionsbereich C</t>
  </si>
  <si>
    <t>Trockenbauwand liefern und fachgerecht einbauen.
Umfang:
Ausführung wie Vorposition, jedoch
1. Seite Wasserschutzklasse W1
2. Seite Wasserschutzklasse W0
Ausführung nach Zeichnungen und Details (u.a. W112.de)
Anforderungen:
Wanddicke 100 mm
Metallständer CW 50
Ständerachsabstand ≤ 625 mm
Boden und Deckenanschlüsse mit Randprofilen UW 50/40/06
Dämmschicht aus Mineralwolle nach DIN EN 13162:
Dämmschicht Dicke mindestens 50 mm
Dämmschicht einlagig, dicht stoßen, abrutschsicher verlegen
beidseitige zweilagige Beplankung mit GKBI-H2 DIN 18180 bzw. Typ H2 EN 520:
1. Seite:
Beplankung aus Gipsplatten GKBI DIN 18180 bzw. Typ H2 EN 520
zweilagig
Plattendicke 2*12,5 mm
2. Seite:
Beplankung aus Gipsplatten GKBI DIN 18180 bzw. Typ H2 EN 520
zweilagig
Plattendicke 2*12,5 mm
Abmessungen:
in circa (L*H)
A=3,06*3,10 m
A= 9,49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C (Kellergeschoss)</t>
  </si>
  <si>
    <t>bd8fb39a-1de0-4300-986b-b7074cdd7971</t>
  </si>
  <si>
    <t>03.001.040.</t>
  </si>
  <si>
    <t>Aktionsbereich C1</t>
  </si>
  <si>
    <t>Trockenbauwand liefern und fachgerecht einbauen.
Umfang:
Ausführung wie Vorposition, jedoch
Wasserschutzklasse W1
einseitig einfach beplankt
Ausführung nach Zeichnungen und Details (u.a. W112.de)
Anforderungen:
Wanddicke 100 mm
Metallständer CW 75
Ständerachsabstand ≤ 625 mm
Boden und Deckenanschlüsse mit Randprofilen UW 50/40/06
Dämmschicht aus Mineralwolle nach DIN EN 13162:
Dämmschicht Dicke mindestens 60 mm
Dämmschicht einlagig, dicht stoßen, abrutschsicher verlegen
einseitige einfache Beplankung nach DIN 18180:
Seite:
Beplankung aus Gipsplatten GKBI DIN 18180 bzw. Typ H2 EN 520
einlagig
Plattendicke 1*12,5 mm
Abmessungen:
in circa (L*H)
A=2,30*3,10 m
A= 7,13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C1 (Kellergeschoss)</t>
  </si>
  <si>
    <t>e596475c-cf3f-4b69-9cd7-8f69cf8ea219</t>
  </si>
  <si>
    <t>03.001.050.</t>
  </si>
  <si>
    <t>Aktionsbereich D</t>
  </si>
  <si>
    <t>Trockenbauwand liefern und fachgerecht einbauen.
Umfang:
Im Bereich der geplanten neuen Trennwände ist der vorhandene Estrichboden mit Trennlagen und Trittschalldämmung fachgerecht zu öffnen.
Die Estrichkonstruktion ist entlang der geplanten Wandachsen zu schlitzen und aufzunehmen.
Dabei sind sämtliche Schichten (Estrich, Trennlage, Trittschalldämmung) bis zur Rohdecke zu entfernen.
Rückbau Estrich mit Unterbauten bis OK Betonrohboden.
Abbruchstoffe fachgerecht als Bauabfall entsorgen
Trockenbauwand aus Ständerwerk
mit beidseitiger doppelter Beplankung
Küchenseitig Wasserschutzklasse W3
Cafeseitig Wasserschutzklasse W0
Ausführung nach Zeichnungen und Details (u.a. W112.de bzw. K913.de)
Anforderungen:
Ausführungshinweise Rückbau Estrich, Trennlagen und Trittschalldämmung:
Die Schnittführung erfolgt gemäß den Ausführungsplänen der neuen Trennwände
Die Arbeiten sind staubarm und erschütterungsfrei durchzuführen, um angrenzende Bauteile nicht zu beeinträchtigen
Die aufgenommenen Materialien sind sortenrein zu trennen und gemäß den geltenden Vorschriften als Bauabfälle zu entsorgen
Nach dem Rückbau ist die Fläche für die Montage der Trennwände vorzubereiten (z. B. Reinigung, ggf. Grundierung)
Besondere Anforderungen:
Berücksichtigung von Schallschutzmaßnahmen: Die Trittschalldämmung darf nicht unkontrolliert unterbrochen werden.
Trockenbauwand: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125 mm
beidseitige Beplankung nach DIN 18180
jeweils zweilagig
Plattendicke 2*12,5 mm pro Seite
Metallständer CW 75 C3
Ständerachsabstand ≤ 625 mm
Boden und Deckenanschlüsse mit Randprofilen UW 75/40/06
Befestigung mit bauaufsichtlich zugelassenen Befestigungsmitteln
Dämmschicht aus Mineralwolle nach DIN EN 13162:
Dämmschicht aus Mineralwolle nach DIN EN 13162
Baustoffklasse A1, nichtbrennbar nach DIN 4102 und EN 13501-1
Dämmschicht Dicke mindestens 60 mm
Wärmeleitfähigkeit λ ≤ 0,040 W/(mK)
längenbezogener Strömungswiderstand nach DIN EN 29053: r ≥ 5 kPa·s/m²
Rw = 58,4 dB
Dämmschicht einlagig, dicht stoßen, abrutschsicher verlegen
beidseitige zweilagige Beplankung nach DIN 18180:
1. Seite:
Beplankung aus Gipsplatten GKB-A DIN 18180 bzw. Typ A EN 520
zweilagig
Plattendicke 2*12,5 mm
2. Seite:
Beplankung aus Zementbauplatten DIN EN 12467 bzw. Indoor 12,5 LEF DE
zweilagig
Plattendicke 2*12,5 mm
Abmessungen:
in circa (L*H)
A=5,81*3,10 m
A= 18,01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D (Kellergeschoss)</t>
  </si>
  <si>
    <t>c205085d-32b9-4f1c-bb7b-de2f5ee04af0</t>
  </si>
  <si>
    <t>03.001.060.</t>
  </si>
  <si>
    <t>Aktionsbereich E</t>
  </si>
  <si>
    <t>Trockenbauwand liefern und fachgerecht einbauen.
Umfang:
Im Bereich der geplanten neuen Trennwände ist der vorhandene Estrichboden mit Trennlagen und Trittschalldämmung fachgerecht zu öffnen.
Die Estrichkonstruktion ist entlang der geplanten Wandachsen zu schlitzen und aufzunehmen.
Dabei sind sämtliche Schichten (Estrich, Trennlage, Trittschalldämmung) bis zur Rohdecke zu entfernen.
Rückbau Estrich mit Unterbauten bis OK Betonrohboden.
Abbruchstoffe fachgerecht als Bauabfall entsorgen
Trockenbauwand aus Ständerwerk
mit einseitiger doppelter Beplankung
Wasserschutzklasse W0
Ausführung nach Zeichnungen und Details (u.a. W112.de)
Anforderungen: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100 mm
einseitige Beplankung nach DIN 18180
zweilagig
Plattendicke 2*12,5 mm
Metallständer CW 50
Ständerachsabstand ≤ 625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einseitige zweilagige Beplankung nachDIN 18180:
Seite:
Beplankung aus Gipsplatten GKB-A DIN 18180 bzw. Typ A EN 520
zweilagig
Plattendicke 2*12,5 mm
Abmessungen:
in circa (L*H)
A=1,80*3,10 m
A= 5,58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E (Kellergeschoss)</t>
  </si>
  <si>
    <t>9956e1be-1b5c-427d-a468-32d860756c1d</t>
  </si>
  <si>
    <t>03.001.070.</t>
  </si>
  <si>
    <t>Aktionsbereich F</t>
  </si>
  <si>
    <t>Trockenbauwand liefern und fachgerecht einbauen.
Umfang:
Im Bereich der geplanten neuen Trennwände ist der vorhandene Estrichboden mit Trennlagen und Trittschalldämmung fachgerecht zu öffnen.
Die Estrichkonstruktion ist entlang der geplanten Wandachsen zu schlitzen und aufzunehmen.
Dabei sind sämtliche Schichten (Estrich, Trennlage, Trittschalldämmung) bis zur Rohdecke zu entfernen.
Rückbau Estrich mit Unterbauten bis OK Betonrohboden.
Abbruchstoffe fachgerecht als Bauabfall entsorgen
Trockenbauwand aus Ständerwerk
mit beidseitiger doppelter Beplankung
beidseitig Wasserschutzklasse W0
Oberflächen ohne Fliesenbelag
Ausführung nach Zeichnungen und Details (u.a. W112.de)
Anforderungen:
Ausführungshinweise Rückbau Estrich, Trennlagen und Trittschalldämmung:
Die Schnittführung erfolgt gemäß den Ausführungsplänen der neuen Trennwände
Die Arbeiten sind staubarm und erschütterungsfrei durchzuführen, um angrenzende Bauteile nicht zu beeinträchtigen
Die aufgenommenen Materialien sind sortenrein zu trennen und gemäß den geltenden Vorschriften als Bauabfälle zu entsorgen
Nach dem Rückbau ist die Fläche für die Montage der Trennwände vorzubereiten (z. B. Reinigung, ggf. Grundierung)
Besondere Anforderungen:
Berücksichtigung von Schallschutzmaßnahmen: Die Trittschalldämmung darf nicht unkontrolliert unterbrochen werden.
Trockenbauwand: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150 mm
beidseitige Beplankung nach DIN 18180
jeweils zweilagig
Plattendicke 2*12,5 mm pro Seite
Metallständer CW 100
Ständerachsabstand ≤ 625 mm
Boden und Deckenanschlüsse mit Randprofilen UW 100/40/06
Befestigung mit bauaufsichtlich zugelassenen Befestigungsmitteln
Dämmschicht aus Mineralwolle nach DIN EN 13162:
Dämmschicht aus Mineralwolle nach DIN EN 13162
Baustoffklasse A1, nichtbrennbar nach DIN 4102 und EN 13501-1
Dämmschicht Dicke mindestens 100 mm
Wärmeleitfähigkeit λ ≤ 0,040 W/(mK)
längenbezogener Strömungswiderstand nach DIN EN 29053: r ≥ 5 kPa·s/m²
Rw = 58,4 dB
Dämmschicht einlagig, dicht stoßen, abrutschsicher verlegen
beidseitige zweilagige Beplankung nach DIN 18180:
1. Seite:
Beplankung aus Gipsplatten GKB-A DIN 18180 bzw. Typ A EN 520
zweilagig
Plattendicke 2*12,5 mm
2. Seite:
Beplankung aus Gipsplatten GKB-A DIN 18180 bzw. Typ A EN 520
zweilagig
Plattendicke 2*12,5 mm
Abmessungen:
in circa (L*H)
A=3,42*3,10 m
A= 10,60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F (Kellergeschoss)</t>
  </si>
  <si>
    <t>a10204d4-4a88-4c32-9963-e04579e48a01</t>
  </si>
  <si>
    <t>03.001.080.</t>
  </si>
  <si>
    <t>Aktionsbereich G</t>
  </si>
  <si>
    <t>Trennwand aus GK-Fireboardplatten fachgerecht herstellen.
Umfang:
Im Bereich der geplanten neuen Trennwände ist der vorhandene Estrichboden mit Trennlagen und Trittschalldämmung fachgerecht zu öffnen.
Die Estrichkonstruktion ist entlang der geplanten Wandachsen zu schlitzen und aufzunehmen.
Dabei sind sämtliche Schichten (Estrich, Trennlage, Trittschalldämmung) bis zur Rohdecke zu entfernen.
Rückbau Estrich mit Unterbauten bis OK Betonrohboden.
Abbruchstoffe fachgerecht als Bauabfall entsorgen
Trennwand aus mit GK-Fireboardplatten beplanktem Metallständerwerk einschließlich integrierter Dämmung, fachgerecht herstellen und einbauen.
beidseitig dreifache Beplankung mit Einlage
Ausführung nach den Vorbemerkungen, Zeichnung und Details (u.a. W133.de)
Anforderungen:
Ausführungshinweise Rückbau Estrich, Trennlagen und Trittschalldämmung:
Die Schnittführung erfolgt gemäß den Ausführungsplänen der neuen Trennwände
Die Arbeiten sind staubarm und erschütterungsfrei durchzuführen, um angrenzende Bauteile nicht zu beeinträchtigen
Die aufgenommenen Materialien sind sortenrein zu trennen und gemäß den geltenden Vorschriften als Bauabfälle zu entsorgen
Nach dem Rückbau ist die Fläche für die Montage der Trennwände vorzubereiten (z. B. Reinigung, ggf. Grundierung)
Besondere Anforderungen:
Berücksichtigung von Schallschutzmaßnahmen: Die Trittschalldämmung darf nicht unkontrolliert unterbrochen werden.
Trockenbauwand:
Nichttragende innere Trennwand nach DIN 4103-1
Brandschutztechnische Anforderungen an die Bekleidung
Feuerwiderstandsklasse 90 Minuten nach DIN 4102-2
Bewertetes Schalldämm-Maß Rw = 71,6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100 mm
beidseitige Beplankung nach DIN 18180
jeweils zweilagig
Plattendicke 2*12,5 mm pro Seite
Metallständer CW 50
Ständerachsabstand ≤ 312,5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R´w,R = 50,7 dB  = erf. R´w = Rw = 71,6 dB
Dämmschicht einlagig, dicht stoßen, abrutschsicher verlegen
Beplankung beidseitig, zweilagig nach DIN 18180:
1. Seite:
Beplankung aus GKBF DIN 18180 bzw. Typ DFH2IR EN 520
zweilagig
Plattendicke 2*12,5 mm
2. Seite:
Beplankung aus GKBF DIN 18180 bzw. Typ DFH2IR EN 520
zweilagig
Plattendicke 2*12,5 mm
Abmessungen:
in circa (L*H)
A=1,47*3,10 m
A= 4,56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einschließlich sämtlicher Nebenleistungen (Behelfe, Aufstiegshilfen, Befestigungen, Trennstreifen, Versiegelungen etc.)
Abrechnung nach vollständiger Leistung nach Aufmaß in [m²]
Hinweis:
Die Ausführung ist eine Erweiterung zum Verwendbarkeitsnachweis Brandschutz
Ausführungsort:
Aktionsbereich G (Kellergeschoss - vgl. Lageplan/Grundriss)</t>
  </si>
  <si>
    <t>60636e53-7d28-4d41-9caa-5957fa8041a6</t>
  </si>
  <si>
    <t>03.001.090.</t>
  </si>
  <si>
    <t>Aktionsbereich H</t>
  </si>
  <si>
    <t>Schachtwand liefern und fachgerecht einbauen.
Umfang:
Schachtwand als Trockenbauwand
Trockenbauwand aus Ständerwerk
Raumhoch
mit einseitiger doppelter Beplankung
Wasserschutzklasse W0
Ausführung nach Zeichnungen und Details (u.a. W628B)
Anforderungen:
Nichttragende innere Schachtwand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75 mm
einseitige Beplankung nach DIN 18180
zweilagig
Plattendicke 2*12,5 mm
Metallständer CW 50
Ständerachsabstand ≤ 625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einseitige zweilagige Beplankung nach DIN 18180:
Seite:
Beplankung aus Gipsplatten GKB-A DIN 18180 bzw. Typ A EN 520
zweilagig
Plattendicke 2*12,5 mm
Abmessungen:
Schachtwand/Abkofferung Raumhoch
in circa (L+B*H)
A=((0,61+1,51)*3,10)+((0,35+0,34+0,35)*3,10)+((0,18+0,35+0,18)*3,10)
A= 12 m²
Verschraubung mit Schraubentyp XTN
Verarbeitung gemäß DIN 18181
Verspachtelung der Gipsplatten gemäß Merkblatt Nr. 2 des Bundesverbandes der Gipsindustrie e.V. Qualitätsstufe Q3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H (Kellergeschoss)</t>
  </si>
  <si>
    <t>d497bd42-f8ef-44b6-b477-df0e20aad0ed</t>
  </si>
  <si>
    <t>569847cc-caa6-419e-a984-b7ebaa522b0b</t>
  </si>
  <si>
    <t>03.002.</t>
  </si>
  <si>
    <t>Böden</t>
  </si>
  <si>
    <t>03.002.010.</t>
  </si>
  <si>
    <t>Untergründe reinigen</t>
  </si>
  <si>
    <t>Untergrund aus Beton für weitere Maßnahmen fachgerecht reinigen.
Umfang:
Oberflächen Betonböden fachgerecht reinigen.
Anforderungen:
Reinigen des Untergrundes von haftungsmindernden Stoffen
nach TRGS 559 ist trockenes Kehren von mineralischen Untergründen nicht zulässig
gründliches Absaugen der Untergründe mit einem Industriestaubsauger
lose Materialien aufnehmen und entsorgen
Abfallstoffe und abgetragendes Gut fachgerecht als Bauschutt entsorgen
Abfall ist nicht gefährlich und nicht schadstoffbelastet
Abgerechnet nach vollständiger Ausführung und nach Aufmaß in [m²]
Ausführungsort:
Kellergeschoss 01-KG-00200
Kellergeschoss 01-KG-00170
Kellergeschoss 01-KG-00160
Kellergeschoss 01-KG-F0030
Kellergeschoss 01-KG-00190
Kellergeschoss 01-KG-00180
Kellergeschoss 01-KG-00230</t>
  </si>
  <si>
    <t>2bebe10b-a0bc-4d8a-ba3b-b747a44fe147</t>
  </si>
  <si>
    <t>371e100f-4c16-45f3-9720-1478b296e1a9</t>
  </si>
  <si>
    <t>03.002.020.</t>
  </si>
  <si>
    <t>DAE-EPS 20 mm</t>
  </si>
  <si>
    <t>Ausgleichschicht liefern und fachgerecht einbauen.
Umfang:
Ausgleichschicht aus EPS liefern und vollflächig auslegen
nicht unterbrochene Lage unter schwimmenden Estrich
einlagig einbauen
Ausführung nach Zeichnung und Detail
Anforderungen:
Dämmplatten als Ausgleichsdämmung
aus Polystyrol-Hartschaum
Expandiertes Polystyrol (EPS)
gemäß DIN 18560 verlegen und einbauen
Wasserdampfdiffusion /μ-Wert (DIN EN 13163) 20/40
druckbelastbare Polystyrol-Hartschaum-Dämmplatte nach EN 13163
Dämmplatten EPS 040 DEO dh
für Nutzlasten bis 5,0 KPa
Anwendungstyp nach DIN 4108-10: DEO dh
Druckfestigkeit 200 kPa bei 10% Stauchung
Druckspannung bei 10% Stauchung &gt; 200 kPa
Druckspannung bei 2% Stauchung &gt; 60 kPa
dynamische Steifigkeit ≤ 10 MN/m³ (dickenabhängig)
Brandverhalten Euroklasse: RtF - E
CP-Wert 2 g
emissionsgeprüfte EPS Wärme-Dämmplatte nach AgBB-Richtlinie
Dämmstoffdicke 20 mm
Einbauort:
Kellergeschoss 01-KG-00200
Kellergeschoss 01-KG-00170
Kellergeschoss 01-KG-00160
Kellergeschoss 01-KG-F0030
Kellergeschoss 01-KG-00190
Kellergeschoss 01-KG-00180
Kellergeschoss 01-KG-00230</t>
  </si>
  <si>
    <t>6493fa65-1f70-400e-8ff2-f038ae98ac7f</t>
  </si>
  <si>
    <t>03.002.030.</t>
  </si>
  <si>
    <t>TSD-EPS 30 mm</t>
  </si>
  <si>
    <t>Trittschalldämmung liefern und fachgerecht einbauen.
Umfang:
Trittschalldämmung vollflächig auslegen
nicht unterbrochene Lage unter schwimmenden Estrich
einlagig einbauen
Ausführung nach Zeichnung und Detail
Anforderungen:
Dämmplatten als Ausgleichsdämmung und als Trittschalldämmung
aus Polystyrol-Hartschaum
Expandiertes Polystyrol (EPS)
gemäß DIN 18560 verlegen und einbauen
Wasserdampfdiffusion /μ-Wert (DIN EN 13163) 20/40
druckbelastbare Polystyrol-Hartschaum-Dämmplatte nach EN 13163
Dämmplatten EPS 045 DES sg 20 - 2
für Nutzlasten bis 5,0 KPa
Anwendungstyp nach DIN 4108-10: DES sg
Druckfestigkeit 200 kPa bei 10% Stauchung
Druckspannung bei 10% Stauchung &gt; 200 kPa
Druckspannung bei 2% Stauchung &gt; 60 kPa
dynamische Steifigkeit ≤ 10 MN/m³ (dickenabhängig)
Brandverhalten Euroklasse: RtF - E
CP-Wert 2 g
emissionsgeprüfte EPS Wärme-Dämmplatte nach AgBB-Richtlinie
Dämmstoffdicke 30 mm
Einbauort:
Kellergeschoss 01-KG-00200
Kellergeschoss 01-KG-00170
Kellergeschoss 01-KG-00160
Kellergeschoss 01-KG-F0030
Kellergeschoss 01-KG-00190
Kellergeschoss 01-KG-00180
Kellergeschoss 01-KG-00230</t>
  </si>
  <si>
    <t>bbc99fae-e8a9-4682-85c2-e335422894a1</t>
  </si>
  <si>
    <t>03.002.040.</t>
  </si>
  <si>
    <t>Zementestrich CT-C35-F5-S65</t>
  </si>
  <si>
    <t>Zementestrich liefern und fachgerecht einbauen.
Umfang:
Liefern und Einbau von Zementestrich als schwimmender Estrich
auf Trennlage mit Dämmschicht
zur Aufnahme von Belägen und oder Beschichtungen
Oberfläche zur Aufnahme von Bodenbelag sauber verreiben
Anforderungen:
Estrich aus Werktrockenmörtel gemäß DIN 18560 der Festigkeitsklasse CT-C35-F5-S65
Estrichdicke 65 mm
schwund- und spannungsarm
Emissionsarm EMICODE EC 1 Plus
aus ternärem Werktrockenmörtel
gemäß den Technischen Richtlinien des Herstellers
sorgfältig und homogen verdichten
in richtiger Höhenlage ebenflächig nach den Anforderungen gemäß DIN 18202 Tab. 3, Zeile 3
Inklusive Oberfläche abreiben und glätten (egalisieren)
einschließlich sämtlicher Nebenleistungen
Ausführung nach Zeichnung und Detail
Hinweis:
Estrichmaterial muss außerhalb der Aktionsbereiche angemischt werden (im Bereich der Baustelleneinrichtung)
Estrichmaterial muss händisch (Eimer etc.) in den Aktionsbereich eingebracht und eingebaut werden
Einsatz von Estrichpumpen ist nicht vorgesehen
Transportwege sind für den Transport der Baumaterialien temporär zu schützen (Nebenleistungen)
Bodenbeläge in angrenzenden Bereichen dürfen nicht beschädigt und oder verschmutzt werden.
Ausführungsort:
Kellergeschoss 01-KG-00200
Kellergeschoss 01-KG-00170
Kellergeschoss 01-KG-00160
Kellergeschoss 01-KG-F0030
Kellergeschoss 01-KG-00190
Kellergeschoss 01-KG-00180
Kellergeschoss 01-KG-00230</t>
  </si>
  <si>
    <t>6e4c59c1-03e5-477a-a20a-e0755363495a</t>
  </si>
  <si>
    <t>03.002.050.</t>
  </si>
  <si>
    <t>Estrichzusatzmittel</t>
  </si>
  <si>
    <t>Estrichzusatzmittel liefern und als Schnellhärter zu Zementestrich beigeben.
Umfang:
Estrichzusatzmittel als Schnellhärter
Anforderungen:
Vergütung zur Reduzierung Anmachwasserbedarf
für Verbesserung der Verarbeitbarkeit, Verdichtungswilligkeit, Homogenität und Wärmedurchgang bei Warmwasserfußbodenheizungen
Reduktion der Lunkerbildung, Spannungen im ausgehärteten Estrich und Rissbildung
plastifizierende Wirkung
für früher Begehbarkeit und früher Anfangsfestigkeit auf Dämmschicht, auf Trennschicht und im Verbund und Heizestrich
nach ca. 24 Stunden verlegereif für Fliesen, Naturwerkstein und Betonwerksteinplatten
nach ca. 3 Tagen verlegereif für elastische und textile Beläge
Erfüllt die Anforderungen der DIN 18560 und EN 13813 (Festigkeitsklasse CT-C35-F5)
Ausführungsort:
Kellergeschoss 01-KG-00200
Kellergeschoss 01-KG-00170
Kellergeschoss 01-KG-00160
Kellergeschoss 01-KG-F0030
Kellergeschoss 01-KG-00190
Kellergeschoss 01-KG-00180
Kellergeschoss 01-KG-00230</t>
  </si>
  <si>
    <t>647c62e9-eead-478d-9e72-8c171bd17838</t>
  </si>
  <si>
    <t>03.002.060.</t>
  </si>
  <si>
    <t>Trennlage</t>
  </si>
  <si>
    <t>Trennlage liefern und fachgerecht einbauen.
Umfang:
Abdeckung von Dämmungen unter Estrich (Trennlage)
Anfordernungen:
PE-Folie
Regenerat-Folie aus Niederdruck-Polyethylen (LDPE)
dampfdiffusionsoffen
Dichte ca. 0,92 g/cm³
Zugfestigkeit ca. 10-25 N/mm²
E-Modul ca. 150-250 N/mm²
Diffusionsäquivalente Luft- 0,10 mm Dicke = &gt; 50 m schichtdicke (SD-Wert):  0,15 mm Dicke = &gt; 75 m
0,20 mm Dicke = &gt; 100 m
Schmelzpunkt ca. 110°C
Temperaturbeständigkeit ca. -40°C - +80°C
Ausführungsort:
Kellergeschoss 01-KG-00200
Kellergeschoss 01-KG-00170
Kellergeschoss 01-KG-00160
Kellergeschoss 01-KG-F0030
Kellergeschoss 01-KG-00190
Kellergeschoss 01-KG-00180
Kellergeschoss 01-KG-00230</t>
  </si>
  <si>
    <t>42008c5c-f24b-464f-a0fe-11f0e4490527</t>
  </si>
  <si>
    <t>03.002.070.</t>
  </si>
  <si>
    <t>Randdämmstreifen</t>
  </si>
  <si>
    <t>Randdämmstreifen liefern und fachgerecht einbauen.
Umfang:
Randdämmstreifen liefern und entlang aller aufgehenden Bauteile zur Ausbildung ordnungsgemäßer Randfugen und zur Vermeidung von Schallbrücken, fachgerecht einbauen.
Randdämmstreifen zur Schallentkopplung an aufgehenden Bauteilen wie z. B. Wänden, Säulen
Anforderungen:
selbstklebenden PE Randstreifen (mit angeklebter Folie)
nach Herstellerangaben sach- und fachgerecht verlegen
die Technischen Richtlinien des Herstellers sind zu beachten
standfest
mit kaschiertem Folienstreifen für einen dichten Anschluss der Trennschicht ohne Hohlkehle
Randdämmstreifen FE 10/180
befestigung aufsteigenden Bauteilen
Randstreifen über die Estrichoberkante
lückenlose Verlegung
Stoßstellen im Randdämmstreifen müssen abgeklebt werden, um keine Mörtelbrücken zu erzeugen (Schallbrücke!)
Ausführungsort:
Kellergeschoss 01-KG-00200
Kellergeschoss 01-KG-00170
Kellergeschoss 01-KG-00160
Kellergeschoss 01-KG-F0030
Kellergeschoss 01-KG-00190
Kellergeschoss 01-KG-00180
Kellergeschoss 01-KG-00230</t>
  </si>
  <si>
    <t>m</t>
  </si>
  <si>
    <t>a39a6e3b-adf0-497a-b067-759ee0bd62a9</t>
  </si>
  <si>
    <t>03.002.080.</t>
  </si>
  <si>
    <t>Bewegungsfuge 10/65</t>
  </si>
  <si>
    <t>Bewegungsfugenband liefern und fachgerecht in Estrich einbauen.
Umfang:
Fugenband für Bewegungsfugen in Estrichen aus Einzelteilen liefern und einbauen
Bewegungsfugenband zur Erstellung einer Bewegungsfuge aus Einzelteilen.
Bewegungsfugen einbauen, um Bewegungen und Verformungen durch Schwinden und Temperatureinwirkung aufzunehmen, um Höhenunterschiede im Estrich auszugleichen und um Bauwerksfugen aus dem Untergrund zu übernehmen.
Ausführung nach Zeichnung und Detail
Ausführungsort:
Kellergeschoss 01-KG-00200
Kellergeschoss 01-KG-00170
Kellergeschoss 01-KG-00160
Kellergeschoss 01-KG-F0030
Kellergeschoss 01-KG-00190
Kellergeschoss 01-KG-00180
Kellergeschoss 01-KG-00230</t>
  </si>
  <si>
    <t>9ef56687-dcfe-4c97-9aaa-a21d42482ff1</t>
  </si>
  <si>
    <t>03.002.090.</t>
  </si>
  <si>
    <t>Scheinfugen</t>
  </si>
  <si>
    <t>Scheinfugen fachgerecht einbauen.
Umfang:
Scheinfungen (Sollreißfugen) als Sollbruchstelle in den Estrichböden einbauen
Kellenschnitte an Einschnürungen
Anforderungen:
Scheinfugen (Sollbruchstellen) herstellen, die eine kontrollierte Rissbildung beim Verkürzen des Bauteils infolge des Schwindens einleiten.
Tiefe bis zur Hälfte des Estrichdicke
einschließlich dem kraftschlüssigen Verschluss der Scheinfungen nach Austrocknung bis zur Belegreife mit einem Reaktionsharz.
Ausführungsort:
Kellergeschoss 01-KG-00200
Kellergeschoss 01-KG-00170
Kellergeschoss 01-KG-00160
Kellergeschoss 01-KG-F0030
Kellergeschoss 01-KG-00190
Kellergeschoss 01-KG-00180
Kellergeschoss 01-KG-00230</t>
  </si>
  <si>
    <t>e5d8450d-c588-4d43-926e-2c7c06e8e467</t>
  </si>
  <si>
    <t>03.002.100.</t>
  </si>
  <si>
    <t>Estrich abstellen</t>
  </si>
  <si>
    <t>Estrich fachgerecht abstellen.
Umfang:
Estrichboden z.B. für den Einbau von Duschelementen und für den Einbau von Ablaufrinnen abstellen
Anforderungen:
Abstellung im Estrichboden herstellen und einbauen
einschließlich Schalungs- und Befestigungsmaterialien sowie sämtlichen Nebenleistungen
Abstellung muss vor der Ausführung mit der AG-Bauleitung und der TGA abgestimmt werden
in Schichtstärken Estrichboden bis 70 mm 2
Ausführung nach Zeichnung und Detail
Abrechnung nach Aufmaß in [m]
Ausführungsort:
Kellergeschoss 01-KG-00200
Kellergeschoss 01-KG-00170
Kellergeschoss 01-KG-00160
Kellergeschoss 01-KG-F0030
Kellergeschoss 01-KG-00190
Kellergeschoss 01-KG-00180
Kellergeschoss 01-KG-00230</t>
  </si>
  <si>
    <t>17afce97-f366-4c5a-be60-505b5aa2813a</t>
  </si>
  <si>
    <t>03.002.110.</t>
  </si>
  <si>
    <t>Bodenöffnungen schließen (Estrichboden entfernen -</t>
  </si>
  <si>
    <t>Bodenöffnungen schließen (aus Leistungspositionen Estrichboden für den Einbau der Trennwände entfernen)
Umfang:
Untergründe reinigen (saugen)
Trennlagen und Trittschalldämmungen ergänzen
Randdämmstreifen liefern und einbauen
inklusive Scheinfugen (sofern erforderlich - nur in Abstimmung mit der AG-Bauleitung)
Estrich einbauen und am Bestand anpassen (angleichen)
Oberfläche abreiben und glätten (egalisieren)
Anforderungen:
Reinigung in den Arbeitsbereichen nur saugen
Trennlagen
PE-Folie
Regenerat-Folie aus Niederdruck-Polyethylen (LDPE)
dampfdiffusionsoffen
Diffusionsäquivalente Luft- 0,10 mm Dicke = &gt; 50 m schichtdicke (SD-Wert):  0,15 mm Dicke = &gt; 75 m
0,20 mm Dicke = &gt; 100 m
Dämmplatten als Ausgleichsdämmung
aus Polystyrol-Hartschaum
Expandiertes Polystyrol (EPS)
Dämmplatten EPS 040 DEO dh
Druckfestigkeit 200 kPa bei 10% Stauchung
Dämmstoffdicke 20 mm
einschließlich Anschluss am Bestand
Dämmplatten als Ausgleichsdämmung und als Trittschalldämmung
aus Polystyrol-Hartschaum
Expandiertes Polystyrol (EPS)
Dämmplatten EPS 045 DES sg 20 - 2
Druckfestigkeit 200 kPa bei 10% Stauchung
Dämmstoffdicke 30 mm
einschließlich Anschluss am Bestand
Randdämmstreifen
selbstklebenden PE Randstreifen (mit angeklebter Folie)
mit kaschiertem Folienstreifen für einen dichten Anschluss der Trennschicht ohne Hohlkehle
Randdämmstrefen FE 10/180
Estrich
Estrich aus Werktrockenmörtel gemäß DIN 18560 der Festigkeitsklasse CT-C35-F5-S65
Estrichdicke 65 mm
schwund- und spannungsarm
gemäß den Technischen Richtlinien des Herstellers
sorgfältig und homogen verdichten
in richtiger Höhenlage ebenflächig nach den Anforderungen gemäß DIN 18202 Tab. 3, Zeile 3
Inklusive Oberfläche abreiben und glätten (egalisieren)
einschließlich sämtlicher Nebenleistungen (Behelfe, Befestigungen, Verschnitt, Abdichtungen etc.)
Ausführungsort:
Kellergeschoss 01-KG-00200
Kellergeschoss 01-KG-00170
Kellergeschoss 01-KG-00160
Kellergeschoss 01-KG-F0030
Kellergeschoss 01-KG-00190
Kellergeschoss 01-KG-00180
Kellergeschoss 01-KG-00230</t>
  </si>
  <si>
    <t>85b0ad22-2a76-4074-9c69-94a8fec9d1f7</t>
  </si>
  <si>
    <t>03.002.120.</t>
  </si>
  <si>
    <t>Bautrockner</t>
  </si>
  <si>
    <t>Bautrockner liefern und fachgerecht aufbauen.
Umfang:
Bautrockner liefern, fachgerecht aufbauen, in Betrieb nehmen und für die Dauer von 10 Tagen vorhalten.
Einschließlich Wartung und Pflege (regelmäßiges Leeren, Beseitigung Kondensatwasser, Prüfen Filter etc.) und mehrfaches umstellen innerhalb des Gebäudes, je nach Anforderung und in Abstimmung mit der AG-Bauleitung.
Anforderungen:
Gerätetyp Bautrockner zur Miete
Kondensationstrockner mit Energierückgewinnung
Vibrationsfrei
Abtauung automatisch, thermostatgesteuert (Heißgasabtauung)
Kondensatabführung integrierter Auffangbehälter (überlaufgesichert, mit Kontrolllampe)
Steuerung vollautomatisch, Bedien- und Kontrollfeld, Betriebsstundenzähler
Anschlussart 1,8 m Netzkabel, gummiummantelt, mit Schuko-Stecker
Entfeuchtungsleistung bei + 20 °C / 80 % rF: 32 Liter/Tag Kondensatbehältergröße 11 Liter
Arbeitsbereich von + 3 °C bis + 30 °C / von 35 % rF bis 100 % rF Luftmenge 850 m³/Std.
Versorgungsspannung 230 V / 50 Hz / 10 A Leistungsaufnahme (max.) 1.070 W
einschließlich sämtlicher Nebenleistungen und inklusive rückstandsfreier Rückbau nach Nutzung
Ausführungsort:
Kellergeschoss 01-KG-00200
Kellergeschoss 01-KG-00170
Kellergeschoss 01-KG-00160
Kellergeschoss 01-KG-F0030
Kellergeschoss 01-KG-00190
Kellergeschoss 01-KG-00180
Kellergeschoss 01-KG-00230</t>
  </si>
  <si>
    <t>8f82b797-376f-48e2-8ae8-c2364b148599</t>
  </si>
  <si>
    <t>03.002.130.</t>
  </si>
  <si>
    <t>Adsorptionsentfeuchter</t>
  </si>
  <si>
    <t>Adsorptionstrockner liefern und fachgerecht aufbauen.
Umfang:
Adsorptionstrockner (Luftentfeuchter) liefern, fachgerecht aufbauen, in Betrieb nehmen und für die Dauer von 8 Tagen vorhalten.
Einschließlich Wartung und Pflege (regelmäßiges Leeren, Beseitigung Kondensatwasser, Prüfen Filter etc.) und mehrfaches umstellen innerhalb des Gebäudes, je nach Anforderung und in Abstimmung mit der AG-Bauleitung.
Anforderungen:
Gerätetyp Adsorptionstrockner zur Miete
Kondensatabführung über Abluftschlauch
Vibrationsfrei
Anschlussart Netzkabel, gummiummantelt, mit Schuko-Stecker
Entfeuchtungsleistung bei + 20 °C / 60 % rF: 38,4 Liter/Tag
Arbeitsbereich von - 20 °C bis + 35 °C
Druckerhöhung 350 Pa
Trockenluftvolumenstrom 310 m³/Std.
Feuchtluftvolumenstrom 110 m³/Std.
Versorgungsspannung 230 V / 50 Hz / 10 A
Leistungsaufnahme (max.) 2.160 W
einschließlich sämtlicher Nebenleistungen und inklusive rückstandsfreier Rückbau nach Nutzung
Ausführungsort:
Kellergeschoss 01-KG-00200
Kellergeschoss 01-KG-00170
Kellergeschoss 01-KG-00160
Kellergeschoss 01-KG-F0030
Kellergeschoss 01-KG-00190
Kellergeschoss 01-KG-00180
Kellergeschoss 01-KG-00230</t>
  </si>
  <si>
    <t>89ff103d-14dc-460e-abd5-33f35afbac46</t>
  </si>
  <si>
    <t>04.</t>
  </si>
  <si>
    <t>Sockelgeschoss</t>
  </si>
  <si>
    <t>04.001.</t>
  </si>
  <si>
    <t>04.001.010.</t>
  </si>
  <si>
    <t>Trennwand aus GK-Fireboardplatten fachgerecht herstellen.
Umfang:
Im Bereich der geplanten neuen Trennwände ist der vorhandene Estrichboden mit Trennlagen und Trittschalldämmung fachgerecht zu öffnen.
Die Estrichkonstruktion ist entlang der geplanten Wandachsen zu schlitzen und aufzunehmen.
Dabei sind sämtliche Schichten (Estrich, Trennlage, Trittschalldämmung) bis zur Rohdecke zu entfernen.
Rückbau Estrich mit Unterbauten bis OK Betonrohboden.
Abbruchstoffe fachgerecht als Bauabfall entsorgen
Trennwand aus mit GK-Fireboardplatten beplanktem Metallständerwerk einschließlich integrierter Dämmung, fachgerecht herstellen und einbauen.
beidseitig dreifache Beplankung mit Einlage
Ausführung nach den Vorbemerkungen, Zeichnung und Details (u.a. W133.de)
Anforderungen:
Ausführungshinweise Rückbau Estrich, Trennlagen und Trittschalldämmung:
Die Schnittführung erfolgt gemäß den Ausführungsplänen der neuen Trennwände
Die Arbeiten sind staubarm und erschütterungsfrei durchzuführen, um angrenzende Bauteile nicht zu beeinträchtigen
Die aufgenommenen Materialien sind sortenrein zu trennen und gemäß den geltenden Vorschriften als Bauabfälle zu entsorgen
Nach dem Rückbau ist die Fläche für die Montage der Trennwände vorzubereiten (z. B. Reinigung, ggf. Grundierung)
Besondere Anforderungen:
Berücksichtigung von Schallschutzmaßnahmen: Die Trittschalldämmung darf nicht unkontrolliert unterbrochen werden.
Trockenbauwand:
Nichttragende innere Trennwand nach DIN 4103-1
Brandschutztechnische Anforderungen an die Bekleidung
Feuerwiderstandsklasse 90 Minuten nach DIN 4102-2
Bewertetes Schalldämm-Maß Rw = 71,6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150 mm
beidseitige Beplankung nach DIN 18180
jeweils dreilagig
Plattendicke 3*12,5 mm pro Seite
Metallständer CW 75
Ständerachsabstand ≤ 312,5 mm
Boden und Deckenanschlüsse mit Randprofilen UW 75/40/06
Befestigung mit bauaufsichtlich zugelassenen Befestigungsmitteln
Dämmschicht aus Mineralwolle nach DIN EN 13162:
Dämmschicht aus Mineralwolle nach DIN EN 13162
Baustoffklasse A1, nichtbrennbar nach DIN 4102 und EN 13501-1
Dämmschicht Dicke mindestens 60 mm
Wärmeleitfähigkeit λ ≤ 0,040 W/(mK)
längenbezogener Strömungswiderstand nach DIN EN 29053: r ≥ 5 kPa·s/m²
R´w,R = 50,7 dB  = erf. R´w = Rw = 71,6 dB
Dämmschicht einlagig, dicht stoßen, abrutschsicher verlegen
Beplankung beidseitig, dreilagig aus Gipsplatten GKF DIN 18180:
1. Seite:
1. (untere) und 2. (mittlere) Lage
Beplankung aus Silentboard GKBF DIN 18180 bzw. Typ DF EN 520
zweilagig
Plattendicke 2*12,5 mm
Stahlblecheinlage je Wandseite
Verzinktes Stahlblech als Platten oder Rollenware
Stahlblechgüte DC01+ZE
Materialstärke 0,5 mm
Horizontale Verlegung mit Stoßüberlappung 100 mm
Vertikale Stöße auf Ständern anordnen
Verschraubung mit Schnellbauschrauben (nur zur   Fixierung)
3. (obere) Lage
Beplankung aus GKBF DIN 18180
Typ DFH2IR EN 520 (oder gleichwertig)
einlagig
Plattendicke 12,5 mm
2. Seite:
1. (untere) und 2. (mittlere) Lage
Beplankung aus Silentboard GKBF DIN 18180 bzw. Typ DF EN 520
zweilagig
Plattendicke 2*12,5 mm
Stahlblecheinlage je Wandseite
Verzinktes Stahlblech als Platten oder Rollenware
Stahlblechgüte DC01+ZE
Materialstärke 0,5 mm
Horizontale Verlegung mit Stoßüberlappung 100 mm
Vertikale Stöße auf Ständern anordnen
Verschraubung mit Schnellbauschrauben (nur zur   Fixierung)
3. (obere) Lage
Beplankung aus GKBF DIN 18180
Typ DFH2IR EN 520 (oder gleichwertig)
einlagig
Plattendicke 12,5 mm
Abmessungen:
in circa (L*H)
A=(1,10+0,97+1,46)*3,10 m
A= 10,94 m²
Verschraubung mit Schraubentyp XTN
Verarbeitung gemäß DIN 18181
Verspachtelung der Gipsplatten gemäß Merkblatt Nr. 2 des Bundesverbandes der Gipsindustrie e.V. Qualitätsstufe Q3
Ausführung erfolgt unter Verwendung von DIN EN 13963, Spachtelmaterial Typ 4B oder alternativ Fügenfüller Typ 3B
einschließlich sämtlicher Nebenleistungen (Behelfe, Aufstiegshilfen, Befestigungen, Trennstreifen, Verschnitt, Versiegelungen etc.)
Abrechnung nach vollständiger Leistung nach Aufmaß in [m²]
Hinweis:
Die Ausführung ist eine Erweiterung zum Verwendbarkeitsnachweis Brandschutz
Ausführungsort:
Aktionsbereich A (Sockelgeschoss - vgl. Lageplan/Grundriss)</t>
  </si>
  <si>
    <t>73968f31-f719-4329-9ed9-50bbeafa2c92</t>
  </si>
  <si>
    <t>11933314-4b4e-4ecd-bc4b-67969df163d6</t>
  </si>
  <si>
    <t>04.001.020.</t>
  </si>
  <si>
    <t>Trockenbauwand liefern und fachgerecht einbauen.
Umfang:
Trockenbauwand aus Ständerwerk
mit beidseitiger doppelter Beplankung
1. Seite Wasserschutzklasse W1
2. Seite Wasserschutzklasse W0
Oberflächen teilweise mit Fliesenbelag circa bis h=1,20 m
Ausführung nach Zeichnungen und Details (u.a. W112.de)
Anforderungen: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150 mm
beidseitige Beplankung nach DIN 18180
jeweils zweilagig
Plattendicke 2*12,5 mm pro Seite
Metallständer CW 100
Ständerachsabstand ≤ 625 mm
Boden und Deckenanschlüsse mit Randprofilen UW 100/40/06
Befestigung mit bauaufsichtlich zugelassenen Befestigungsmitteln
Dämmschicht aus Mineralwolle nach DIN EN 13162:
Dämmschicht aus Mineralwolle nach DIN EN 13162
Baustoffklasse A1, nichtbrennbar nach DIN 4102 und EN 13501-1
Dämmschicht Dicke mindestens 100 mm
Wärmeleitfähigkeit λ ≤ 0,040 W/(mK)
längenbezogener Strömungswiderstand nach DIN EN 29053: r ≥ 5 kPa·s/m²
Rw = 58,4 dB
Dämmschicht einlagig, dicht stoßen, abrutschsicher verlegen
beidseitige zweilagige Beplankung nachDIN 18180:
1. Seite:
Beplankung aus Gipsplatten GKB-A DIN 18180 bzw. Typ A EN 520
zweilagig
Plattendicke 2*12,5 mm
2. Seite:
Beplankung aus Gipsplatten GKBI DIN 18180 bzw. Typ H2 EN 520
zweilagig
Plattendicke 2*12,5 mm
Abmessungen:
in circa (L*H)
A=2,88*3,10 m
A= 8,93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Hinweis zur Trennwandmontage:
Die Montage der Trennwand erfolgt direkt auf dem vorhandenen Estrichboden.
Unterhalb des Estrichs befinden sich Trittschalldämmung und eine Fußbodenheizung (Bestandskonstruktion).
Aufgrund der baulichen Gegebenheiten wurde durch den Bauherrn eine Ausnahmegenehmigung für die direkte Montage auf dem Estrich erteilt.
Zur Vermeidung von Schäden an der Fußbodenheizung ist vorab eine thermografische Untersuchung mittels Wärmebildkamera vorgesehen.
Ausführung der thermografischen Untersuchung durch das Gewerk TGA
Die ermittelten Montagepunkte werden entsprechend von dem Gewerk TGA markiert - und sind bei der Ausführung zu berücksichtigen.
Abstimmung vor den Ausführungen mit dem Gewerk TGA zwingend erforderlich
Ausführungsort:
Aktionsbereich B (Sockelgeschoss - vgl. Lageplan/Grundriss)</t>
  </si>
  <si>
    <t>f091b026-1b99-487e-826e-1d480798b295</t>
  </si>
  <si>
    <t>04.001.030.</t>
  </si>
  <si>
    <t>Aktionsbereich B1</t>
  </si>
  <si>
    <t>Trockenbauwand liefern und fachgerecht einbauen.
Umfang:
Trockenbauwand aus Ständerwerk
mit einseitiger doppelter Beplankung
Wasserschutzklasse W0
Ausführung nach Zeichnungen und Details (u.a. W112.de)
Anforderungen: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150 mm
beidseitige Beplankung nach DIN 18180
zweilagig
Plattendicke 2*12,5 mm
Metallständer CW 100
Ständerachsabstand ≤ 625 mm
Boden und Deckenanschlüsse mit Randprofilen UW 100/40/06
Befestigung mit bauaufsichtlich zugelassenen Befestigungsmitteln
Dämmschicht aus Mineralwolle nach DIN EN 13162:
Dämmschicht aus Mineralwolle nach DIN EN 13162
Baustoffklasse A1, nichtbrennbar nach DIN 4102 und EN 13501-1
Dämmschicht Dicke mindestens 100 mm
Wärmeleitfähigkeit λ ≤ 0,040 W/(mK)
längenbezogener Strömungswiderstand nach DIN EN 29053: r ≥ 5 kPa·s/m²
Rw = 58,4 dB
Dämmschicht einlagig, dicht stoßen, abrutschsicher verlegen
einseitige zweilagige Beplankung nachDIN 18180:
Seite:
Beplankung aus Gipsplatten GKB-A DIN 18180 bzw. Typ A EN 520
zweilagig
Plattendicke 2*12,5 mm
Abmessungen:
in circa (L*H)
A=2,88*3,10 m
A= 8,93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Hinweis zur Trennwandmontage:
Die Montage der Trennwand erfolgt direkt auf dem vorhandenen Estrichboden.
Unterhalb des Estrichs befinden sich Trittschalldämmung und eine Fußbodenheizung (Bestandskonstruktion).
Aufgrund der baulichen Gegebenheiten wurde durch den Bauherrn eine Ausnahmegenehmigung für die direkte Montage auf dem Estrich erteilt.
Zur Vermeidung von Schäden an der Fußbodenheizung ist vorab eine thermografische Untersuchung mittels Wärmebildkamera vorgesehen.
Ausführung der thermografischen Untersuchung durch das Gewerk TGA
Die ermittelten Montagepunkte werden entsprechend von dem Gewerk TGA markiert - und sind bei der Ausführung zu berücksichtigen.
Abstimmung vor den Ausführungen mit dem Gewerk TGA zwingend erforderlich
Ausführungsort:
Aktionsbereich B1 (Sockelgeschoss - vgl. Lageplan/Grundriss)</t>
  </si>
  <si>
    <t>0b164384-8800-4672-b426-05cb1a9dbbe6</t>
  </si>
  <si>
    <t>04.001.040.</t>
  </si>
  <si>
    <t>Aktionsbereich B2</t>
  </si>
  <si>
    <t>Trockenbauwand liefern und fachgerecht einbauen.
Umfang:
Ausführung wie Vorposition, jedoch
mit einseitiger doppelter Beplankung
Wasserschutzklasse W1
Ausführung nach Zeichnungen und Details (u.a. W112.de)
Anforderungen:
Wanddicke 150 mm
beidseitige Beplankung nach DIN 18180
zweilagig
Plattendicke 2*12,5 mm
Metallständer CW 100
Ständerachsabstand ≤ 625 mm
Boden und Deckenanschlüsse mit Randprofilen UW 100/40/06
Befestigung mit bauaufsichtlich zugelassenen Befestigungsmitteln
Dämmschicht aus Mineralwolle nach DIN EN 13162:
Dämmschicht aus Mineralwolle nach DIN EN 13162
Baustoffklasse A1, nichtbrennbar nach DIN 4102 und EN 13501-1
Dämmschicht Dicke mindestens 100 mm
Wärmeleitfähigkeit λ ≤ 0,040 W/(mK)
längenbezogener Strömungswiderstand nach DIN EN 29053: r ≥ 5 kPa·s/m²
Rw = 58,4 dB
Falls jedoch nur ein Estrich auf eine Trennlage oder ein Verbundestrich vorhanden ist, kann lediglich 38 dB erreicht werden.
In diesem Fall ist die untere Flanke der maßgebende Teil der Trennwand.
Dämmschicht einlagig, dicht stoßen, abrutschsicher verlegen
einseitige zweilagige Beplankung nachDIN 18180:
Seite:
Beplankung aus Gipsplatten GKBI DIN 18180 bzw. Typ H2 EN 520
einlagig
Plattendicke 1*12,5 mm
Abmessungen:
in circa (L*H)
A=2,69*3,10 m
A= 8,34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Hinweis zur Trennwandmontage:
Die Montage der Trennwand erfolgt direkt auf dem vorhandenen Estrichboden.
Unterhalb des Estrichs befinden sich Trittschalldämmung und eine Fußbodenheizung (Bestandskonstruktion).
Aufgrund der baulichen Gegebenheiten wurde durch den Bauherrn eine Ausnahmegenehmigung für die direkte Montage auf dem Estrich erteilt.
Zur Vermeidung von Schäden an der Fußbodenheizung ist vorab eine thermografische Untersuchung mittels Wärmebildkamera vorgesehen.
Ausführung der thermografischen Untersuchung durch das Gewerk TGA
Die ermittelten Montagepunkte werden entsprechend von dem Gewerk TGA markiert - und sind bei der Ausführung zu berücksichtigen.
Abstimmung vor den Ausführungen mit dem Gewerk TGA zwingend erforderlich
Ausführungsort:
Aktionsbereich B2 (Sockelgeschoss - vgl. Lageplan/Grundriss)</t>
  </si>
  <si>
    <t>25f079b9-4b25-4f91-b64d-ce44170ec1a1</t>
  </si>
  <si>
    <t>04.001.050.</t>
  </si>
  <si>
    <t>Schachtwand liefern und fachgerecht einbauen.
Umfang:
Schachtwand als Trockenbauwand
Trockenbauwand aus Ständerwerk
Raumhoch
mit einseitiger doppelter Beplankung
Wasserschutzklasse W0
Ausführung nach Zeichnungen und Details (u.a. W628B)
Anforderungen:
Nichttragende innere Schachtwand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75 mm
einseitige Beplankung nach DIN 18180
zweilagig
Plattendicke 2*12,5 mm
Metallständer CW 50
Ständerachsabstand ≤ 625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einseitige zweilagige Beplankung nach DIN 18180:
Seite:
Beplankung aus Gipsplatten GKB-A DIN 18180 bzw. Typ A EN 520
zweilagig
Plattendicke 2*12,5 mm
Abmessungen:
Schachtwand Raumhoch
in circa (L+B*H)
A=((0,15+0,15)*3,10)+((0,48+2,51)*3,10)+((0,74+1,30+0,74)*3,10)+((0,15+0,35)*3,10)+(2,89*3,10)
A= 29,33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H (Sockelgeschoss - vgl. Lageplan/Grundriss)</t>
  </si>
  <si>
    <t>7dc2e5d0-9195-4e5b-bb12-45c68e1b0014</t>
  </si>
  <si>
    <t>04.001.060.</t>
  </si>
  <si>
    <t>Aktionsbereich H2</t>
  </si>
  <si>
    <t>Schachtwand liefern und fachgerecht einbauen.
Umfang:
Ausführung wie Vorposition, jedoch
mit einseitiger doppelter Beplankung
Schachtwand als Trockenbauwand
Trockenbauwand aus Ständerwerk
Raumhoch
mit einseitiger doppelter Beplankung
Wasserschutzklasse W1
Ausführung nach Zeichnungen und Details (u.a. W628B)
Anforderungen:
Nichttragende innere Schachtwand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75 mm
einseitige Beplankung nach DIN 18180
zweilagig
Plattendicke 2*12,5 mm
Metallständer CW 50
Ständerachsabstand ≤ 625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einseitige zweilagige Beplankung nach DIN 18180:
Seite:
Beplankung aus Gipsplatten GKBI DIN 18180 bzw. Typ H2 EN 520
einlagig
Plattendicke 1*12,5 mm
Abmessungen:
Schachtwand Raumhoch
in circa (L+B*H)
A=(0,20+0,35)*3,10 m
A= 1,71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H2 (Sockelgeschoss - vgl. Lageplan/Grundriss)</t>
  </si>
  <si>
    <t>22c093ae-1a76-49b1-b930-0bd946af8401</t>
  </si>
  <si>
    <t>04.001.070.</t>
  </si>
  <si>
    <t>Aktionsbereich H3</t>
  </si>
  <si>
    <t>Abkofferung liefern und fachgerecht einbauen.
Umfang:
Trockenbauwand als Abkofferung
Trockenbauwand aus Ständerwerk
im Deckenixcel
mit einseitiger doppelter Beplankung
Wasserschutzklasse W0
Ausführung nach Zeichnungen und Details (u.a. W628B)
Anforderungen:
Nichttragende innere Abkofferung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75 mm
einseitige Beplankung nach DIN 18180
zweilagig
Plattendicke 2*12,5 mm
Metallständer CW 50
Ständerachsabstand ≤ 625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einseitige zweilagige Beplankung nach DIN 18180:
Seite:
Beplankung aus Gipsplatten GKB-A DIN 18180 bzw. Typ A EN 520
zweilagig
Plattendicke 2*12,5 mm
Abmessungen:
Abkofferung im Deckenixcel
in circa (B+H+L)
A=((0,4+0,3)*8,22)+((0,40+0,30)*0,50+1,89+2,02+5,36+3,97+0,25+4,91+5,13+1,62+3,80+1,54+0,75+0,79)+((0,30+0,30)*4,29)
A= 40,71 m²
Verschraubung mit Schraubentyp XTN
Verarbeitung gemäß DIN 18181
Verspachtelung der Gipsplatten gemäß Merkblatt Nr. 2 des Bundesverbandes der Gipsindustrie e.V. Qualitätsstufe Q3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H3 (Sockelgeschoss - vgl. Lageplan/Grundriss)</t>
  </si>
  <si>
    <t>fd1e4973-391e-4d89-8986-ceb0654792a2</t>
  </si>
  <si>
    <t>04.001.080.</t>
  </si>
  <si>
    <t>Aktionsbereich M</t>
  </si>
  <si>
    <t>Verstärkung in  den Trockenbauwänden (Vorpositionen) liefern und fachgerecht einbauen.
Umfang:
Verstärkungen zur Befestigung von Lasten in den Trockenbauwänden liefern und fachgerecht einbauen.
aus Multiplexplatten
Ausführung nach Zeichnungen und Detail
Abstimmung der Abmessungen und Endeinbaulage mit dem Gewerk TGA und der AG-Bauleitung
Anforderungen:
Verstärkungen aus Multiplexplatten in Trockenbauwänden gem. DIN 68705 Teil 3 bzw. EN 636-2 / S
Anforderungen E 05 nach EN 717-1
Holzwerkstoff Birke
Verleimung WBP, Exterior (BFU 100)
Mehrschichtholz
beidseitig geschliffen
Plattenstärke 22 mm
in unterschiedlichen Breiten
Höhen über 300 mm
einschließlich Kantenversiegelung und sämtlicher Nebenleistungen (Behelfe, Aufstiegshilfen, Befestigungen, Verschnitt etc.)
Ausführungsort:
Aktionsbereich M (Sockelgeschoss - vgl. Lageplan/Grundriss)</t>
  </si>
  <si>
    <t>edf9687f-fdce-42cb-81c4-b51cabad21c4</t>
  </si>
  <si>
    <t>7a73cc31-a7ce-4719-a6bd-a95cae11bc00</t>
  </si>
  <si>
    <t>04.002.</t>
  </si>
  <si>
    <t>Decken</t>
  </si>
  <si>
    <t>04.002.010.</t>
  </si>
  <si>
    <t>Abhang-Decke D131.de</t>
  </si>
  <si>
    <t>Freitragende Decke liefern und fachgerecht einbauen.
Umfang:
Freitragende Decke einschließlich Unterkonstruktion
Bekleidung aus Gipsvliesplatten
Wasserschutzklasse W1
Unterkonstuktion nach Abhangdeckenplan
Ausführung nach Zeichnungen und Details
Anforderungen:
Unterdecke nach DIN 18168-1
freitragende Decke
Einbauhöhe circa bis 3,20 m
Raumbreite ≤ max. 1,70 m
Befestigungsuntergründe:
Wand:
Mauerwerkswände / Stahlbetonwände / Metallständerwände
Decke:
Spannbetonhohlplattendecken (Betonwerkstoff) und oder Kassettendecken (Fertigbetonelemente)
Ausführung der Unterkonstruktion aus verzinkten Stahlblechprofilen DIN 18182-1
Tragprofile als Einfachprofile UA 150
Randbefestigung mit UW 150
Verbindung mit Randprofil durch Anschluss- und Verbindungswinkel
Befestigung mit für den Untergrund geeignetem Befestigungsmittel
Befestigungsabstand max. 500 mm
Decklage/Bekleidung aus Gipsvliesplatten GM-FH1IR
nach DIN EN 15283-1 bzw. Typ DF EN 520
Schimmelresistenz Klasse 10 gem. ASTM D 3273
Wasseraufnahme ≤ 3%
Plattendicke 12,5 mm (einlagig)
Befestigung mit System-Schraube XTN
Verarbeitung gemäß DIN 18181
Verspachtelung der Gipsplatten gemäß Merkblatt Nr. 2 des Bundesverbandes der Gipsindustrie e.V. Qualitätsstufe Q3
Verarbeitung gemäß DIN 18181
Ausführung erfolgt unter Verwendung von DIN EN 13963
Spachtelmaterial Typ 4B oder alternativ Fügenfüller Typ 3B
einschließlich sämtlicher Nebenleistungen (Behelfe, Aufstiegshilfen, Befestigungen, Versiegelungen etc.)
Abrechnung nach vollständiger Leistung nach Aufmaß in [m²]
Ausführungsort:
Bad 02-SG-00050 (4,18 m²)
Hauswartwohnung</t>
  </si>
  <si>
    <t>75a64beb-2fe2-425b-bb32-e08721d7e4fa</t>
  </si>
  <si>
    <t>33426d98-da40-46d5-b1fa-be1d24126986</t>
  </si>
  <si>
    <t>04.002.020.</t>
  </si>
  <si>
    <t>Öffnungen in Decke bis Ø 125 mm</t>
  </si>
  <si>
    <t>Öffnungen für TGA in den Decken herstellen.
Umfang:
Öffnungen für die Installationen von Deckenbeleuchtungen und oder Lüftungselementen für die TGA herstellen.
Einbau und Geräteanschluss ausschließlich durch das Gewerk TGA
Leistungsposition nur für die Herstellung von Deckenöffnungen
Anforderungen:
Abmessungen rund bis circa 125 mm im Durchmesser
Öffnungen herstellen
einschließlich sämtlicher Nebenleistungen (Behelfe, Aufstiegshilfen, Befestigungen etc.)
Ausführungen nur nach Abstimmung mit der TGA und der AG-Bauleitung
Abrechnung nach vollständiger Ausführung und Aufmaß in [St] pro Durchführung in Trockenbauwand
Ausführungsort:
Bad 02-SG-00050 (4,18 m²)
Hauswartwohnung</t>
  </si>
  <si>
    <t>454c3bdd-0443-463d-b862-7cf0591be694</t>
  </si>
  <si>
    <t>05.</t>
  </si>
  <si>
    <t>Erdgeschoss</t>
  </si>
  <si>
    <t>05.001.</t>
  </si>
  <si>
    <t>05.001.010.</t>
  </si>
  <si>
    <t>Trennwand aus GK-Fireboardplatten fachgerecht herstellen.
Umfang:
Im Bereich der geplanten neuen Trennwände ist der vorhandene Estrichboden mit Trennlagen und Trittschalldämmung fachgerecht zu öffnen.
Die Estrichkonstruktion ist entlang der geplanten Wandachsen zu schlitzen und aufzunehmen.
Dabei sind sämtliche Schichten (Estrich, Trennlage, Trittschalldämmung) bis zur Rohdecke zu entfernen.
Rückbau Estrich mit Unterbauten bis OK Betonrohboden.
Abbruchstoffe fachgerecht als Bauabfall entsorgen
Trennwand aus mit GK-Fireboardplatten beplanktem Metallständerwerk einschließlich integrierter Dämmung, fachgerecht herstellen und einbauen.
beidseitig dreifache Beplankung mit Einlage
Ausführung nach den Vorbemerkungen, Zeichnung und Details (u.a. W133.de)
Anforderungen:
Ausführungshinweise Rückbau Estrich, Trennlagen und Trittschalldämmung:
Die Schnittführung erfolgt gemäß den Ausführungsplänen der neuen Trennwände
Die Arbeiten sind staubarm und erschütterungsfrei durchzuführen, um angrenzende Bauteile nicht zu beeinträchtigen
Die aufgenommenen Materialien sind sortenrein zu trennen und gemäß den geltenden Vorschriften als Bauabfälle zu entsorgen
Nach dem Rückbau ist die Fläche für die Montage der Trennwände vorzubereiten (z. B. Reinigung, ggf. Grundierung)
Besondere Anforderungen:
Berücksichtigung von Schallschutzmaßnahmen: Die Trittschalldämmung darf nicht unkontrolliert unterbrochen werden.
Trockenbauwand:
Nichttragende innere Trennwand nach DIN 4103-1
Brandschutztechnische Anforderungen an die Bekleidung
Feuerwiderstandsklasse 90 Minuten nach DIN 4102-2
Bewertetes Schalldämm-Maß Rw = 71,6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150 mm
beidseitige Beplankung nach DIN 18180
jeweils dreilagig
Plattendicke 3*12,5 mm pro Seite
Metallständer CW 75
Ständerachsabstand ≤ 312,5 mm
Boden und Deckenanschlüsse mit Randprofilen UW 75/40/06
Befestigung mit bauaufsichtlich zugelassenen Befestigungsmitteln
Dämmschicht aus Mineralwolle nach DIN EN 13162:
Dämmschicht aus Mineralwolle nach DIN EN 13162
Baustoffklasse A1, nichtbrennbar nach DIN 4102 und EN 13501-1
Dämmschicht Dicke mindestens 60 mm
Wärmeleitfähigkeit λ ≤ 0,040 W/(mK)
längenbezogener Strömungswiderstand nach DIN EN 29053: r ≥ 5 kPa·s/m²
R´w,R = 50,7 dB  = erf. R´w = Rw = 71,6 dB
Dämmschicht einlagig, dicht stoßen, abrutschsicher verlegen
Beplankung beidseitig, dreilagig aus Gipsplatten GKF DIN 18180:
1. Seite:
1. (untere) und 2. (mittlere) Lage
Beplankung aus Silentboard GKBF DIN 18180 bzw. Typ DF EN 520
zweilagig
Plattendicke 2*12,5 mm
Stahlblecheinlage je Wandseite
Verzinktes Stahlblech als Platten oder Rollenware
Stahlblechgüte DC01+ZE
Materialstärke 0,5 mm
Horizontale Verlegung mit Stoßüberlappung 100 mm
Vertikale Stöße auf Ständern anordnen
Verschraubung mit Schnellbauschrauben (nur zur   Fixierung)
3. (obere) Lage
Beplankung aus GKBF DIN 18180
Typ DFH2IR EN 520 (oder gleichwertig)
einlagig
Plattendicke 12,5 mm
2. Seite:
1. (untere) und 2. (mittlere) Lage
Beplankung aus Silentboard GKBF DIN 18180 bzw. Typ DF EN 520
zweilagig
Plattendicke 2*12,5 mm
Stahlblecheinlage je Wandseite
Verzinktes Stahlblech als Platten oder Rollenware
Stahlblechgüte DC01+ZE
Materialstärke 0,5 mm
Horizontale Verlegung mit Stoßüberlappung 100 mm
Vertikale Stöße auf Ständern anordnen
Verschraubung mit Schnellbauschrauben (nur zur   Fixierung)
3. (obere) Lage
Beplankung aus GKBF DIN 18180
Typ DFH2IR EN 520 (oder gleichwertig)
einlagig
Plattendicke 12,5 mm
Abmessungen:
Abkastung TB Raumhoch und Deckenixcel
Verschluss Bühnenzugang
Durchgang verschließen
in circa (L*B*H)
A=((0,11+0,36+0,42+0,29)*3,10)+((0,30+0,30)*7,85)+(5,16*3,10)+(1,01*2,58)
A= 26,67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einschließlich sämtlicher Nebenleistungen (Behelfe, Aufstiegshilfen, Befestigungen, Trennstreifen, Versiegelungen etc.)
Abrechnung nach vollständiger Leistung nach Aufmaß in [m²]
Hinweis:
Die Ausführung ist eine Erweiterung zum Verwendbarkeitsnachweis Brandschutz
Ausführungsort:
Aktionsbereich A (Erdgeschoss - vgl. Lageplan/Grundriss)</t>
  </si>
  <si>
    <t>da7efe4c-eaba-4e83-8dfc-14dc8326c6f2</t>
  </si>
  <si>
    <t>b0e009da-bc58-4c45-85a1-d2bda4fa0502</t>
  </si>
  <si>
    <t>05.001.020.</t>
  </si>
  <si>
    <t>Trockenbauwand liefern und fachgerecht einbauen.
Umfang:
Trockenbauwand aus Ständerwerk
mit beidseitiger doppelter Beplankung
Küchenseitig Wasserschutzklasse W3
Cafeseitig Wasserschutzklasse W0
Ausführung nach Zeichnungen und Details (u.a. W112.de bzw. K913.de)
Anforderungen: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125 mm
beidseitige Beplankung nach DIN 18180
jeweils zweilagig
Plattendicke 2*12,5 mm pro Seite
Metallständer CW 75 C3
Ständerachsabstand ≤ 625 mm
Boden und Deckenanschlüsse mit Randprofilen UW 75/40/06
Befestigung mit bauaufsichtlich zugelassenen Befestigungsmitteln
Dämmschicht aus Mineralwolle nach DIN EN 13162:
Dämmschicht aus Mineralwolle nach DIN EN 13162
Baustoffklasse A1, nichtbrennbar nach DIN 4102 und EN 13501-1
Dämmschicht Dicke mindestens 60 mm
Wärmeleitfähigkeit λ ≤ 0,040 W/(mK)
längenbezogener Strömungswiderstand nach DIN EN 29053: r ≥ 5 kPa·s/m²
Rw = 58,4 dB
Falls jedoch nur ein Estrich auf eine Trennlage oder ein Verbundestrich vorhanden ist, kann lediglich 38 dB erreicht werden.
In diesem Fall ist die untere Flanke der maßgebende Teil der Trennwand.
Dämmschicht einlagig, dicht stoßen, abrutschsicher verlegen
beidseitige zweilagige Beplankung nach DIN 18180:
1. Seite:
Beplankung aus Gipsplatten GKB-A DIN 18180 bzw. Typ A EN 520
zweilagig
Plattendicke 2*12,5 mm
2. Seite:
Beplankung aus Zementbauplatten DIN EN 12467 bzw. Indoor 12,5 LEF DE
zweilagig
Plattendicke 2*12,5 mm
Abmessungen:
Küche 01-EG-001170
Theke 01-EG-00180
in circa (L*B*H)
A=(0,71+2,14+1,79+0,80+1,56)*3,10 m
A= 21,7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Hinweis zur Trennwandmontage:
Die Montage der Trennwand erfolgt direkt auf dem vorhandenen Estrichboden.
Unterhalb des Estrichs befinden sich Trittschalldämmung und eine Fußbodenheizung (Bestandskonstruktion).
Aufgrund der baulichen Gegebenheiten wurde durch den Bauherrn eine Ausnahmegenehmigung für die direkte Montage auf dem Estrich erteilt.
Zur Vermeidung von Schäden an der Fußbodenheizung ist vorab eine thermografische Untersuchung mittels Wärmebildkamera vorgesehen.
Ausführung der thermografischen Untersuchung durch das Gewerk TGA
Die ermittelten Montagepunkte werden entsprechend von dem Gewerk TGA markiert - und sind bei der Ausführung zu berücksichtigen.
Abstimmung vor den Ausführungen mit dem Gewerk TGA zwingend erforderlich
Ausführungsort:
Aktionsbereich B (Erdgeschoss - vgl. Lageplan/Grundriss)</t>
  </si>
  <si>
    <t>1f24b384-9448-42ec-b03f-8469afe0fe5e</t>
  </si>
  <si>
    <t>05.001.030.</t>
  </si>
  <si>
    <t>Trockenbauwand liefern und fachgerecht einbauen.
Umfang:
Trockenbauwand aus Ständerwerk
mit beidseitiger doppelter Beplankung
Wasserschutzklasse W1
Oberflächen ohne Fliesenbelag
Ausführung nach Zeichnungen und Details (u.a. W112.de)
Anforderungen: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125 mm
beidseitige Beplankung nach DIN 18180
zweilagig
Plattendicke 2*12,5 mm
Metallständer CW 100
Ständerachsabstand ≤ 625 mm
Boden und Deckenanschlüsse mit Randprofilen UW 100/40/06
Befestigung mit bauaufsichtlich zugelassenen Befestigungsmitteln
Dämmschicht aus Mineralwolle nach DIN EN 13162:
Dämmschicht aus Mineralwolle nach DIN EN 13162
Baustoffklasse A1, nichtbrennbar nach DIN 4102 und EN 13501-1
Dämmschicht Dicke mindestens 100 mm
Wärmeleitfähigkeit λ ≤ 0,040 W/(mK)
längenbezogener Strömungswiderstand nach DIN EN 29053: r ≥ 5 kPa·s/m²
Rw = 58,4 dB
Dämmschicht einlagig, dicht stoßen, abrutschsicher verlegen
zweiseitige zweilagige Beplankung nachDIN 18180:
1. Seite:
Beplankung aus Gipsplatten GKBI DIN 18180 bzw. Typ H2 EN 520
zweilagig
Plattendicke 2*12,5 mm
2. Seite:
Beplankung aus Gipsplatten GKBI DIN 18180 bzw. Typ H2 EN 520
zweilagig
              Plattendicke 2*12,5 mm
Abmessungen:
in circa (L*H)
A=(3,03+3,19)*3,10 m
A= 19,28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C (Sockelgeschoss - vgl. Lageplan/Grundriss)</t>
  </si>
  <si>
    <t>fd1cf426-245a-47d6-9a3d-86dcc5a75168</t>
  </si>
  <si>
    <t>05.001.040.</t>
  </si>
  <si>
    <t>Trockenbauwand liefern und fachgerecht einbauen.
Umfang:
Trockenbauwand aus Ständerwerk
mit beidseitiger doppelter Beplankung
1. Seite Wasserschutzklasse W1
2. Seite Wasserschutzklasse W0
Ausführung nach Zeichnungen und Details (u.a. W112.de)
Anforderungen: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125 mm
beidseitige Beplankung nach DIN 18180
jeweils zweilagig
Plattendicke 2*12,5 mm pro Seite
Metallständer CW 75
Ständerachsabstand ≤ 625 mm
Boden und Deckenanschlüsse mit Randprofilen UW 75/40/06
Befestigung mit bauaufsichtlich zugelassenen Befestigungsmitteln
Dämmschicht aus Mineralwolle nach DIN EN 13162:
Dämmschicht aus Mineralwolle nach DIN EN 13162
Baustoffklasse A1, nichtbrennbar nach DIN 4102 und EN 13501-1
Dämmschicht Dicke mindestens 70 mm
Wärmeleitfähigkeit λ ≤ 0,040 W/(mK)
längenbezogener Strömungswiderstand nach DIN EN 29053: r ≥ 5 kPa·s/m²
Rw = 58,4 dB
Dämmschicht einlagig, dicht stoßen, abrutschsicher verlegen
beidseitige zweilagige Beplankung nachDIN 18180:
1. Seite:
Beplankung aus Gipsplatten GKB-A DIN 18180 bzw. Typ A EN 520
zweilagig
Plattendicke 2*12,5 mm
2. Seite:
Beplankung aus Gipsplatten GKBI DIN 18180 bzw. Typ H2 EN 520
zweilagig
Plattendicke 2*12,5 mm
Abmessungen:
in circa (L*H)
A=(1,92+1,33+3,02+3,02+1,07+1,38)*3,10 m
A= 36,39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D (Erdgeschoss - vgl. Lageplan/Grundriss)</t>
  </si>
  <si>
    <t>0f4a9f54-892f-4946-b5b9-90d5dd839d56</t>
  </si>
  <si>
    <t>05.001.050.</t>
  </si>
  <si>
    <t>Trockenbauwand liefern und fachgerecht einbauen.
Umfang:
Trockenbauwand aus Ständerwerk
mit beidseitiger doppelter Beplankung
1. Seite Wasserschutzklasse W1
2. Seite Wasserschutzklasse W0
Ausführung nach Zeichnungen und Details (u.a. W112.de)
Anforderungen: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150 mm
beidseitige Beplankung nach DIN 18180
jeweils zweilagig
Plattendicke 2*12,5 mm pro Seite
Metallständer CW 100
Ständerachsabstand ≤ 625 mm
Boden und Deckenanschlüsse mit Randprofilen UW 100/40/06
Befestigung mit bauaufsichtlich zugelassenen Befestigungsmitteln
Dämmschicht aus Mineralwolle nach DIN EN 13162:
Dämmschicht aus Mineralwolle nach DIN EN 13162
Baustoffklasse A1, nichtbrennbar nach DIN 4102 und EN 13501-1
Dämmschicht Dicke mindestens 100 mm
Wärmeleitfähigkeit λ ≤ 0,040 W/(mK)
längenbezogener Strömungswiderstand nach DIN EN 29053: r ≥ 5 kPa·s/m²
Rw = 58,4 dB
Dämmschicht einlagig, dicht stoßen, abrutschsicher verlegen
beidseitige zweilagige Beplankung nachDIN 18180:
1. Seite:
Beplankung aus Gipsplatten GKB-A DIN 18180 bzw. Typ A EN 520
zweilagig
Plattendicke 2*12,5 mm
2. Seite:
Beplankung aus Gipsplatten GKBI DIN 18180 bzw. Typ H2 EN 520
zweilagig
Plattendicke 2*12,5 mm
Abmessungen:
in circa (L*H)
A=(2,62+4,16+2,90)*3,10 m
A= 30,01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E (Erdgeschoss - vgl. Lageplan/Grundriss)</t>
  </si>
  <si>
    <t>a76c5301-a653-4f0a-8b35-9d1452fa4671</t>
  </si>
  <si>
    <t>05.001.060.</t>
  </si>
  <si>
    <t>Abkofferung liefern und fachgerecht einbauen.
Umfang:
Abkofferung aus Trockenbauwand mit Ständerwerk
Raumhoch
mit einseitiger doppelter Beplankung
Wasserschutzklasse W0
Ausführung nach Zeichnungen und Details (u.a. W112.de)
Anforderungen:
Nichttragende innere Abkofferung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75 mm
einseitige Beplankung nach DIN 18180
zweilagig
Plattendicke 2*12,5 mm
Metallständer CW 50
Ständerachsabstand ≤ 625 mm
Boden und Deckenanschlüsse mit Randprofilen UW 100/40/06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einseitige zweilagige Beplankung nachDIN 18180:
Seite:
Beplankung aus Gipsplatten GKB-A DIN 18180 bzw. Typ A EN 520
zweilagig
Plattendicke 2*12,5 mm
Abmessungen:
Abkofferung Raumhoch
in circa (B+L*H)
A=((0,15+0,35+0,15)*3,10)+((1,12+0,22)*3,10)+(1,23+0,30)*3,10)+((0,18+0,37)*3,10)
A= 12,67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H (Erdgeschoss - vgl. Lageplan/Grundriss)</t>
  </si>
  <si>
    <t>8e7f8b59-b320-445b-a494-33d143396206</t>
  </si>
  <si>
    <t>05.001.070.</t>
  </si>
  <si>
    <t>Aktionsbereich H1</t>
  </si>
  <si>
    <t>Schachtwand liefern und fachgerecht einbauen.
Umfang:
Trockenbauwand als Schachtwand (Abkofferung)
Raumhoch
mit einseitiger doppelter Beplankung
Trockenbauwand aus Ständerwerk
mit einseitiger doppelter Beplankung
Wasserschutzklasse W3
Ausführung nach Zeichnungen und Details (u.a. W628B)
Anforderungen:
Nichttragende innere Schachtwand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75 mm
einseitige Beplankung nach DIN 18180
zweilagig
Plattendicke 2*12,5 mm
Metallständer CW 50 C3
Ständerachsabstand ≤ 625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einseitige zweilagige Beplankung nach DIN 18180:
Seite:
Beplankung aus Zementbauplatten DIN EN 12467 bzw. Indoor 12,5 LEF DE
zweilagig
Plattendicke 2*12,5 mm
Abmessungen:
Schachtwand/Abkofferung Raumhoch
in circa (B+L*H)
A=((0,15+0,15)*3,10)
A= 0,93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H1 (Erdgeschoss - vgl. Lageplan/Grundriss)</t>
  </si>
  <si>
    <t>5cb1f883-9c72-4ea3-aa9d-b4a73d1ccfb5</t>
  </si>
  <si>
    <t>05.001.080.</t>
  </si>
  <si>
    <t>Abkofferung liefern und fachgerecht einbauen.
Umfang:
Trockenbauwand als Abkofferung
Trockenbauwand aus Ständerwerk
im Deckenixcel
mit einseitiger doppelter Beplankung
Wasserschutzklasse W1
Ausführung nach Zeichnungen und Details (u.a. W628B)
Anforderungen:
Nichttragende innere Abkofferung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75 mm
einseitige Beplankung nach DIN 18180
zweilagig
Plattendicke 2*12,5 mm
Metallständer CW 50
Ständerachsabstand ≤ 625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einseitige zweilagige Beplankung nach DIN 18180:
Seite:
Beplankung aus Gipsplatten GKBI DIN 18180 bzw. Typ H2 EN 520
einlagig
Plattendicke 1*12,5 mm
Abmessungen:
Abkofferung im Deckenixcel
in circa (B+H*L)
A=(0,3+0,3)*(0,44+6,68+0,44)+(0,40+5,49+0,40)+(1,49)+0,40+6,00+0,40)
A= 13,28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Aktionsbereich H3 (Erdgeschoss - vgl. Lageplan/Grundriss)</t>
  </si>
  <si>
    <t>8d91aada-eeb9-41c2-818f-9eb91cdbff53</t>
  </si>
  <si>
    <t>05.001.090.</t>
  </si>
  <si>
    <t>Aktionsbereich H4</t>
  </si>
  <si>
    <t>Abkofferung liefern und fachgerecht einbauen.
Umfang:
Abkofferung aus GK-Fireboardplatten
Konstruktion unter der Decke
aus mit GK-Fireboardplatten beplanktem Metallständerwerk einschließlich integrierter Dämmung, fachgerecht herstellen und einbauen
mit einseitiger zweifacher Beplankung
Abkofferung/Trockenbauwand aus Ständerwerk
Ausführung nach Zeichnungen und Details (u.a. W628B)
Anforderungen:
Nichttragende innere Abkofferung nach DIN 4103-1
Brandschutztechnische Anforderungen an die Bekleidung
Feuerwiderstandsklasse 90 Minuten nach DIN 4102-2
Bewertetes Schalldämm-Maß Rw = 71,6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75 mm
einseitige Beplankung nach DIN 18180
zweilagig
Plattendicke 2*12,5 mm
Metallständer CW 50
Ständerachsabstand ≤ 625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einseitige zweilagige Beplankung nach DIN 18180:
Seite:
Beplankung aus GKBF DIN 18180 bzw. Typ DFH2IR EN 520
zweilagig
Plattendicke 2*12,5 mm
Abmessungen:
Abkofferung Deckenbereich
in circa ((B+H+B)*L)
A=((0,30+0,30+0,30)*2,55)
A= 2,295 m²
Verschraubung mit Schraubentyp XTN
Verarbeitung gemäß DIN 18181
Verspachtelung der Gipsplatten gemäß Merkblatt Nr. 2 des Bundesverbandes der Gipsindustrie e.V. Qualitätsstufe Q3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Hinweis:
Die Ausführung ist eine Erweiterung zum Verwendbarkeitsnachweis Brandschutz
Ausführungsort:
Aktionsbereich H4 (Erdgeschoss - vgl. Lageplan/Grundriss)</t>
  </si>
  <si>
    <t>9d115b4a-40a7-49f3-b7eb-a89c77ce02a2</t>
  </si>
  <si>
    <t>05.001.100.</t>
  </si>
  <si>
    <t>Verstärkung in  den Trockenbauwänden (Vorpositionen) liefern und fachgerecht einbauen.
Umfang:
Verstärkungen zur Befestigung von Lasten in den Trockenbauwänden liefern und fachgerecht einbauen.
aus Multiplexplatten
Ausführung nach Zeichnungen und Detail
Abstimmung der Abmessungen und Endeinbaulage mit dem Gewerk TGA und der AG-Bauleitung
Anforderungen:
Verstärkungen aus Multiplexplatten in Trockenbauwänden gem. DIN 68705 Teil 3 bzw. EN 636-2 / S
Anforderungen E 05 nach EN 717-1
Holzwerkstoff Birke
Verleimung WBP, Exterior (BFU 100)
Mehrschichtholz
beidseitig geschliffen
Plattenstärke 22 mm
in unterschiedlichen Breiten
Höhen über 300 mm
einschließlich Kantenversiegelung und sämtlicher Nebenleistungen (Behelfe, Aufstiegshilfen, Befestigungen, Verschnitt etc.)
Ausführungsort:
Aktionsbereich M (Erdgeschoss - vgl. Lageplan/Grundriss)</t>
  </si>
  <si>
    <t>cf1a0302-9f22-4e76-9b14-7e27f6c035ef</t>
  </si>
  <si>
    <t>a8ced816-c85a-4145-96a4-c7c188a2b300</t>
  </si>
  <si>
    <t>05.002.</t>
  </si>
  <si>
    <t>05.002.010.</t>
  </si>
  <si>
    <t>Freitragende Decke liefern und fachgerecht einbauen.
Umfang:
Freitragende Decke einschließlich Unterkonstruktion
Bekleidung aus Gipsvliesplatten
Wasserschutzklasse W1
Unterkonstuktion nach Abhangdeckenplan
Ausführung nach Zeichnungen und Details
Anforderungen:
Unterdecke nach DIN 18168-1
freitragende Decke
Einbauhöhe circa bis 3,20 m
Raumbreite ≤ max. 5,35 m
Befestigungsuntergründe:
Wand:
Mauerwerkswände / Stahlbetonwände / Metallständerwände
Decke:
Spannbetonhohlplattendecken (Betonwerkstoff) und oder Kassettendecken (Fertigbetonelemente)
Ausführung der Unterkonstruktion aus verzinkten Stahlblechprofilen DIN 18182-1
Tragprofile als Einfachprofile UA 150
Randbefestigung mit UW 150
Verbindung mit Randprofil durch Anschluss- und Verbindungswinkel
Befestigung mit für den Untergrund geeignetem Befestigungsmittel
Befestigungsabstand max. 500 mm
Decklage/Bekleidung aus Gipsvliesplatten GM-FH1IR
nach DIN EN 15283-1 bzw. Typ DF EN 520
Schimmelresistenz Klasse 10 gem. ASTM D 3273
Wasseraufnahme ≤ 3%
Plattendicke 12,5 mm (einlagig)
Befestigung mit System-Schraube XTN
Verarbeitung gemäß DIN 18181
Verspachtelung der Gipsplatten gemäß Merkblatt Nr. 2 des Bundesverbandes der Gipsindustrie e.V. Qualitätsstufe Q3
Verarbeitung gemäß DIN 18181
Ausführung erfolgt unter Verwendung von DIN EN 13963
Spachtelmaterial Typ 4B oder alternativ Fügenfüller Typ 3B
einschließlich sämtlicher Nebenleistungen (Behelfe, Aufstiegshilfen, Befestigungen, Versiegelungen etc.)
Abrechnung nach vollständiger Leistung nach Aufmaß in [m²]
Ausführungsort:
WC-H 01-EG-001140 (6,62 m²)
Vorraum WC-H 01-EG-00130 (4,33 m²)
WC-D 01-EG-00110 (5,01 m²)
Vorraum WC-D 01-EG-00100 (3,09 m²)
Pumi 01-EG-00090 (1,78 m²)
Vorraum 01-EG-00120 (8,31 m²)
Behinderten-WC 01-EG-00150 (5,73 m²)</t>
  </si>
  <si>
    <t>d5f2a4c6-5a73-492b-aaaf-45b65680876d</t>
  </si>
  <si>
    <t>1a19e806-399f-4bc8-ace1-1a4bd5625790</t>
  </si>
  <si>
    <t>05.002.020.</t>
  </si>
  <si>
    <t>Öffnungen für TGA in den Decken herstellen.
Umfang:
Öffnungen für die Installationen von Deckenbeleuchtungen und oder Lüftungselementen für die TGA herstellen.
Einbau und Geräteanschluss ausschließlich durch das Gewerk TGA
Leistungsposition nur für die Herstellung von Deckenöffnungen
Anforderungen:
Abmessungen rund bis circa 125 mm im Durchmesser
Öffnungen herstellen
einschließlich sämtlicher Nebenleistungen (Behelfe, Aufstiegshilfen, Befestigungen etc.)
Ausführungen nur nach Abstimmung mit der TGA und der AG-Bauleitung
Abrechnung nach vollständiger Ausführung und Aufmaß in [St] pro Durchführung in Trockenbauwand
Ausführungsort:
Erdgeschoss Küche und Theke
Erdgeschoss WCs</t>
  </si>
  <si>
    <t>4f54e8bf-fa6b-4adf-a2fb-c6e264844ad2</t>
  </si>
  <si>
    <t>05.002.030.</t>
  </si>
  <si>
    <t>Hygiene-Decke D286.de</t>
  </si>
  <si>
    <t>Hygiene-Decke liefern und fachgerecht einbauen.
Umfang:
Hygiene-Decke als abgehängte Decke
Bekleidung aus Zementboardplatten
Wasserschutzklasse W3
einschließlich Unterkonstruktion nach Abhangdeckenplan
Ausführung nach Zeichnungen und Details
Anforderungen:
Unterdecke nach DIN 18168-1
Einbauhöhe circa bis 3,20 m
Befestigungsuntergründe:
Wand:
Mauerwerkswände / Stahlbetonwände / Metallständerwände
Decke:
Spannbetonhohlplattendecken (Betonwerkstoff) und oder Kassettendecken (Fertigbetonelemente)
Ausführung der Unterkonstruktion aus verzinkten und beschichteten Stahlblechprofilen DIN 18182-1
als Grundprofil UA 50/40 C3-C5M und Tragprofil CD 60/27 C5-M
Befestigung mit Nonius mit Noniusbügel/ Nonius-Hänger-Unterteil
sowie bauaufsichtlich zugelassenen Befestigungsmitteln
Beplankung aus zellulosefaserfreien Zementbauplatten DIN EN 12467
Plattendicke 8 mm (einlagig)
längs verlegt
Verschraubung mit Schrauben SN 25/SN 39
einschließlich Grundierung der Oberflächen nach Einbau der Zementplatten (vor den Spachtelarbeiten)
nach dem Trocknen der Grundierung geeigneten Fugen- und Flächenspachtel dünn auftragen
Anschließend glätten von Unebenheiten und Riefen
Verarbeitung gemäß Knauf System-Datenblatt D28.de.
Verspachtelung der gemäß Technischer Broschüre DEA.de, Qualitätsstufe Q3
einschließlich sämtlicher Nebenleistungen (Behelfe, Aufstiegshilfen, Befestigungen, Randan- und Abschlussprofile, Versiegelungen etc.)
Abrechnung nach vollständiger Leistung nach Aufmaß in [m²]
Ausführungsort:
Küche 01-EG-00170 (28,04 m²)
Abstellraum 01-EG-00190 (7,76 m²)
Theke 01-EG-00180 (8,10 m²)</t>
  </si>
  <si>
    <t>e0a1af21-69c9-42be-8188-e9c9c8b0da43</t>
  </si>
  <si>
    <t>05.002.040.</t>
  </si>
  <si>
    <t>Öffnungen in Decke bis 300*300 mm</t>
  </si>
  <si>
    <t>Öffnungen für TGA in den Decken herstellen.
Umfang:
Öffnungen für die Installationen von Deckenbeleuchtungen und oder Lüftungselementen für die TGA herstellen.
Einbau und Geräteanschluss ausschließlich durch das Gewerk TGA
Leistungsposition nur für die Herstellung von Deckenöffnungen
Anforderungen:
Abmessungen eckig bis circa 300 mm * 300 mm
Öffnungen herstellen
einschließlich sämtlicher Nebenleistungen (Behelfe, Aufstiegshilfen, Befestigungen etc.)
Ausführungen nur nach Abstimmung mit der TGA und der AG-Bauleitung
Abrechnung nach vollständiger Ausführung und Aufmaß in [St] pro Durchführung in Trockenbauwand
Ausführungsort:
Erdgeschoss Küche und Theke</t>
  </si>
  <si>
    <t>8223ddbe-ec5b-470d-a376-f09a7ae446b7</t>
  </si>
  <si>
    <t>05.003.</t>
  </si>
  <si>
    <t>05.003.010.</t>
  </si>
  <si>
    <t>Untergrund aus Beton für weitere Maßnahmen fachgerecht reinigen.
Umfang:
Oberflächen Betonböden fachgerecht reinigen.
Anforderungen:
Reinigen des Untergrundes von haftungsmindernden Stoffen
nach TRGS 559 ist trockenes Kehren von mineralischen Untergründen nicht zulässig
gründliches Absaugen der Untergründe mit einem Industriestaubsauger
lose Materialien aufnehmen und entsorgen
Abfallstoffe und abgetragendes Gut fachgerecht als Bauschutt entsorgen
Abfall ist nicht gefährlich und nicht schadstoffbelastet
Abgerechnet nach vollständiger Ausführung und nach Aufmaß in [m²]
Ausführungsort:
WC-H 01-EG-001140 (6,62 m²)
Vorraum WC-H 01-EG-00130 (4,33 m²)
WC-D 01-EG-00110 (5,01 m²)
Vorraum WC-D 01-EG-00100 (3,09 m²)
Pumi 01-EG-00090 (1,78 m²)
Vorraum 01-EG-00120 (8,31 m²)
Behinderten-WC 01-EG-00150 (5,73 m²)</t>
  </si>
  <si>
    <t>65d67cf8-d2ef-4ee1-b4eb-f5b211564f01</t>
  </si>
  <si>
    <t>b6dffb41-435b-4344-ad7a-adba1cd4a8c8</t>
  </si>
  <si>
    <t>05.003.020.</t>
  </si>
  <si>
    <t>Untergrundausgleich</t>
  </si>
  <si>
    <t>Untergrundausgleich liefern und fachgerecht einbauen.
Umfang:
Ausgleichen des Untergrundes
zum Ausgleich von Unebenheiten / Höhen / Schieflagen des Rohbodens
Anforderungen:
Ausgleichen des Untergrundes von 10 mm - 20 mm (in einer Lage) im Verbund
durch Schüttung aus EPS-Zuschlag und zementärem Spezialbinder
im Verbund mit dem Untergrund
Nachfolgearbeiten nach 24 Stunden möglich
Druckspannung bei 10% Stauchung 0,5 N/mm² (500 kPa)
Wärmeleitfähigkeit 0,1014 W/mK
Baustoffklasse A2 (DIN 4102)
Wasserbeständig
Zur Aufnahme eines schwimmenden Estrichs nach DIN 18560
Minimale Dicke 10 mm
Maximale Dicke 20 mm
inklusive sämtlicher Nebenleistungen (Behelfe, Befestigungen, Schutzmaßnahmen etc.)
Ausführungsort:
WC-H 01-EG-001140 (6,62 m²)
Vorraum WC-H 01-EG-00130 (4,33 m²)
WC-D 01-EG-00110 (5,01 m²)
Vorraum WC-D 01-EG-00100 (3,09 m²)
Pumi 01-EG-00090 (1,78 m²)
Vorraum 01-EG-00120 (8,31 m²)
Behinderten-WC 01-EG-00150 (5,73 m²)</t>
  </si>
  <si>
    <t>12e0672e-b552-440a-9493-40df622f783e</t>
  </si>
  <si>
    <t>05.003.030.</t>
  </si>
  <si>
    <t>Trennlage liefern und fachgerecht einbauen.
Umfang:
Abdeckung von Dämmungen unter Estrich (Trennlage)
Anfordernungen:
PE-Folie
Regenerat-Folie aus Niederdruck-Polyethylen (LDPE)
dampfdiffusionsoffen
Dichte ca. 0,92 g/cm³
Zugfestigkeit ca. 10-25 N/mm²
E-Modul ca. 150-250 N/mm²
Diffusionsäquivalente Luft- 0,10 mm Dicke = &gt; 50 m schichtdicke (SD-Wert):  0,15 mm Dicke = &gt; 75 m
0,20 mm Dicke = &gt; 100 m
Schmelzpunkt ca. 110°C
Temperaturbeständigkeit ca. -40°C - +80°C
Ausführungsort:
WC-H 01-EG-001140 (6,62 m²)
Vorraum WC-H 01-EG-00130 (4,33 m²)
WC-D 01-EG-00110 (5,01 m²)
Vorraum WC-D 01-EG-00100 (3,09 m²)
Pumi 01-EG-00090 (1,78 m²)
Vorraum 01-EG-00120 (8,31 m²)
Behinderten-WC 01-EG-00150 (5,73 m²)</t>
  </si>
  <si>
    <t>c205024f-f032-439d-be97-73921b19abe6</t>
  </si>
  <si>
    <t>05.003.040.</t>
  </si>
  <si>
    <t>Kombinierte Wärme-/ Trittschalldämmung EPS</t>
  </si>
  <si>
    <t>Kombinierte Wärme-/ Trittschalldämmung liefern und fachgerecht einbauen.
Umfang:
Kombinierte Wärme- und Trittschalldämmschicht liefern und einbauen.
Anforderungen:
Kombinierte Wärme- und Trittschalldämmschicht aus Polystyrol-Hartschaum als Partikelschaum
EPS nach DIN EN 13163
Anwendungstyp nach DIN 4108-10: DEO Wärmeleitfähigkeitsgruppe 035/ 040
einlagig
Dämmschichtdicke 30 mm
Trittschalldämmschicht aus Polystyrol-Hartschaum als Partikelschaum
EPS nach DIN EN 13163
Anwendungstyp nach DIN 4108-10: DES sm
Steifigkeitsgruppe SD 20
Wärmeleitfähigkeitsgruppe 045
einlagig
Dämmschichtdicke 20 mm
inklusive sämtlicher Nebenleistungen (Behelfe, Befestigungen, Verschnitt etc.)
Ausführungsort:
WC-H 01-EG-001140 (6,62 m²)
Vorraum WC-H 01-EG-00130 (4,33 m²)
WC-D 01-EG-00110 (5,01 m²)
Vorraum WC-D 01-EG-00100 (3,09 m²)
Pumi 01-EG-00090 (1,78 m²)
Vorraum 01-EG-00120 (8,31 m²)
Behinderten-WC 01-EG-00150 (5,73 m²)</t>
  </si>
  <si>
    <t>347713f3-ccb5-4257-8301-05259d4d447a</t>
  </si>
  <si>
    <t>05.003.050.</t>
  </si>
  <si>
    <t>Fertigteilestrich</t>
  </si>
  <si>
    <t>Fertigestrich liefern und fachgerecht einbauen.
Umfang:
Fertigestrich aus Gipsfaserplatten liefern und einbauen
Wasserschutzklasse W1
Ausführung nach Zeichnungen und Details (u.a. F126.de)
Anforderungen:
Fertigteilestrich
Untere Lage
aus monolithischen Gipsfaserplatten
GF-W1 nach EN 15283-2
mit Stufenfalz
Typ Brio
Materialstärke 23 mm
Brandverhalten Klasse A2-s1, d0 nach DIN EN 13501-1
Obere Lage
aus monolithischen Gipsfaserplatten
GF-IW2-C2 nach EN 15283-2
Typ Vidiwall
Materialstärke 12,5 mm
Brandverhalten Klasse A2-s1, d0 nach DIN EN 13501-1
Materialstärke Fertigestrich 35 mm
auf Beton/ Holzbalkendecke/ Fußbodenheizung
und Ausgleichsschicht/ Dämmschicht/ Trennschicht
einschließlich sämtlicher Nebenleistungen (Behelfe, Befestigungen, Verschnitt, etc.)
Ausführungsort:
WC-H 01-EG-001140 (6,62 m²)
Vorraum WC-H 01-EG-00130 (4,33 m²)
WC-D 01-EG-00110 (5,01 m²)
Vorraum WC-D 01-EG-00100 (3,09 m²)
Pumi 01-EG-00090 (1,78 m²)
Vorraum 01-EG-00120 (8,31 m²)
Behinderten-WC 01-EG-00150 (5,73 m²)</t>
  </si>
  <si>
    <t>0b5b6b62-55d6-499d-95c0-dfb637fb83f2</t>
  </si>
  <si>
    <t>06.</t>
  </si>
  <si>
    <t>Obergeschoss</t>
  </si>
  <si>
    <t>06.001.</t>
  </si>
  <si>
    <t>06.001.010.</t>
  </si>
  <si>
    <t>Trockenbauwand liefern und fachgerecht einbauen.
Umfang:
Trockenbauwand aus Ständerwerk
mit beidseitiger doppelter Beplankung
1. Seite Wasserschutzklasse W1
2. Seite Wasserschutzklasse W0
Ausführung nach Zeichnungen und Details (u.a. W112.de)
Anforderungen: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150 mm
beidseitige Beplankung nach DIN 18180
jeweils zweilagig
Plattendicke 2*12,5 mm pro Seite
Metallständer CW 100
Ständerachsabstand ≤ 625 mm
Boden und Deckenanschlüsse mit Randprofilen UW 100/40/06
Befestigung mit bauaufsichtlich zugelassenen Befestigungsmitteln
Dämmschicht aus Mineralwolle nach DIN EN 13162:
Dämmschicht aus Mineralwolle nach DIN EN 13162
Baustoffklasse A1, nichtbrennbar nach DIN 4102 und EN 13501-1
Dämmschicht Dicke mindestens 100 mm
Wärmeleitfähigkeit λ ≤ 0,040 W/(mK)
längenbezogener Strömungswiderstand nach DIN EN 29053: r ≥ 5 kPa·s/m²
Rw = 58,4 dB
Dämmschicht einlagig, dicht stoßen, abrutschsicher verlegen
beidseitige zweilagige Beplankung nachDIN 18180:
1. Seite:
Beplankung aus Gipsplatten GKB-A DIN 18180 bzw. Typ A EN 520
zweilagig
Plattendicke 2*12,5 mm
2. Seite:
Beplankung aus Gipsplatten GKBI DIN 18180 bzw. Typ H2 EN 520
zweilagig
Plattendicke 2*12,5 mm
Abmessungen:
in circa (L*H) A=(2,57+1,24)*3,10 m
A= 11,82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Verschnitt, Versiegelungen etc.)
Abrechnung nach vollständiger Leistung nach Aufmaß in [m²]
Ausführungsort:
Aktionsbereich A (Obergeschoss - vgl. Lageplan/Grundriss)</t>
  </si>
  <si>
    <t>216045ba-01d4-48b8-9630-64036dba72df</t>
  </si>
  <si>
    <t>69b01cbb-4ac2-47ae-b047-6c7f927fc13a</t>
  </si>
  <si>
    <t>06.001.020.</t>
  </si>
  <si>
    <t>Trockenbauwand liefern und fachgerecht einbauen.
Umfang:
Trockenbauwand aus Ständerwerk
mit beidseitiger doppelter Beplankung
Wasserschutzklasse W0
Ausführung nach Zeichnungen und Details (u.a. W112.de)
Anforderungen: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100 mm
beidseitige Beplankung nach DIN 18180
jeweils zweilagig
Plattendicke 2*12,5 mm pro Seite
Metallständer CW 50
Ständerachsabstand ≤ 625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beidseitige zweilagige Beplankung nachDIN 18180:
1. Seite:
Beplankung aus Gipsplatten GKB-A DIN 18180 bzw. Typ A EN 520
zweilagig
Plattendicke 2*12,5 mm
2. Seite:
Beplankung aus Gipsplatten GKB-A DIN 18180 bzw. Typ A EN 520
zweilagig
Plattendicke 2*12,5 mm
Abmessungen:
in circa (L*H) A=1,53*3,10 m
     A= 4,74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Verschnitt, Versiegelungen etc.)
Abrechnung nach vollständiger Leistung nach Aufmaß in [m²]
Ausführungsort:
Aktionsbereich B (Obergeschoss - vgl. Lageplan/Grundriss)</t>
  </si>
  <si>
    <t>0bb3b8db-2445-4380-bfae-d00bb4d5a6e7</t>
  </si>
  <si>
    <t>06.001.030.</t>
  </si>
  <si>
    <t>Trockenbauwand liefern und fachgerecht einbauen.
Umfang:
Trockenbauwand aus Ständerwerk
mit einseitiger doppelter Beplankung
Wasserschutzklasse W0
Ausführung nach Zeichnungen und Details (u.a. W112.de)
Anforderungen: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75 mm
einseitige Beplankung nach DIN 18180
zweilagig
Plattendicke 2*12,5 mm
Metallständer CW 50
Ständerachsabstand ≤ 625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einseitig zweilagige Beplankung nachDIN 18180:
Seite:
Beplankung aus Gipsplatten GKB-A DIN 18180 bzw. Typ A EN 520
zweilagig
Plattendicke 2*12,5 mm
Abmessungen:
1 x Abkastung TB Raumhoch
in circa (L*B*H) A=((1,40+0,23)+(0,22+0,76)+(0,28+0,61))x3,10 m
A= 10,85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Verschnitt, Versiegelungen etc.)
Abrechnung nach vollständiger Leistung nach Aufmaß in [m²]
Ausführungsort:
Aktionsbereich H (Obergeschoss - vgl. Lageplan/Grundriss)</t>
  </si>
  <si>
    <t>32b90609-0e28-4db6-8a83-bc8def1fcb02</t>
  </si>
  <si>
    <t>06.001.040.</t>
  </si>
  <si>
    <t>Abkofferung (Abkastung) liefern und fachgerecht einbauen.
Umfang:
Abkastung aus Trockenbauwand und Ständerwerk
mit einseitiger doppelter Beplankung
Wasserschutzklasse W1
Ausführung nach Zeichnungen und Details (u.a. W112.de)
Anforderungen:
Nichttragende innere Abkastung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75 mm
einseitige Beplankung nach DIN 18180
zweilagig
Plattendicke 2*12,5 mm
Metallständer CW 50
Ständerachsabstand ≤ 625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einseitig zweilagige Beplankung nachDIN 18180:
Seite:
Beplankung aus Gipsplatten GKBI DIN 18180 bzw. Typ H2 EN 520
zweilagig
Plattendicke 2*12,5 mm
Abmessungen:
Abkastung TB Raumhoch
in circa (L*B*H) A=(0,300+0,300)x(3,13+7,44+2,06+2,80+0,42+3,16+0,33)
A= 11,60 m²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Verschnitt, Versiegelungen etc.)
Abrechnung nach vollständiger Leistung nach Aufmaß in [m²]
Ausführungsort:
Aktionsbereich H3 (Obergeschoss - vgl. Lageplan/Grundriss)</t>
  </si>
  <si>
    <t>860450b7-57d4-46e8-82c9-e7777d2f208a</t>
  </si>
  <si>
    <t>06.001.050.</t>
  </si>
  <si>
    <t>Revisionsklappen 500*500</t>
  </si>
  <si>
    <t>Revisionsklappen liefern und fachgerecht einbauen.
Umfang:
Revisionsklappen für Installations-, Trenn- und Schachtwände und in abgehängten Decken, liefern und fachgerecht einbauen
Ausführung nach den Hinweisen in den Vorbemerkungen, der Werkplanung des AN und nach Zeichnungen und Detail
Anforderungen:
Konstruktion aus Aluminium
Revisionsklappe bis 500*500 mm
in beplankte Konstruktionen flächenbündig einbauen
Sicherung des Innendeckels durch selbst justierende Fangarme
mit in die Rahmenecken integrierten, nicht sichtbarem Verschluss- und Scharniersystem
Deckel abnehmbar
Ausgestattet mit Vierkantverschluss verschließbar
Farbige Beschichtung der Ansichtsflächen nach Auswahl und Angaben des AG
einschließlich sämtlicher Nebenleistungen (Behelfe, Aufstiegshilfen, Befestigungen, Trennstreifen, Verschnitt, Versiegelungen etc.)
Abrechnung nach vollständiger Leistung nach Aufmaß in [m²]
Ausführung nach Abstimmung und Rücksprache mit der TGA und AG-Bauleitung</t>
  </si>
  <si>
    <t>da57c1f0-eba4-41a6-8d9d-6867e5af8a63</t>
  </si>
  <si>
    <t>f3ee2091-fa1c-4d8f-b5a2-9793047a6117</t>
  </si>
  <si>
    <t>06.002.</t>
  </si>
  <si>
    <t>06.002.010.</t>
  </si>
  <si>
    <t>Freitragende Decke liefern und fachgerecht einbauen.
Umfang:
Freitragende Decke einschließlich Unterkonstruktion
Bekleidung aus Gipsvliesplatten
Wasserschutzklasse W1
Unterkonstuktion nach Abhangdeckenplan
Ausführung nach Zeichnungen und Details
Anforderungen:
Unterdecke nach DIN 18168-1
freitragende Decke
Einbauhöhe circa bis 3,20 m
Raumbreite ≤ max. 5,35 m
Befestigungsuntergründe:
Wand:
Mauerwerkswände / Stahlbetonwände / Metallständerwände
Decke:
Spannbetonhohlplattendecken (Betonwerkstoff) und oder Kassettendecken (Fertigbetonelemente)
Ausführung der Unterkonstruktion aus verzinkten Stahlblechprofilen DIN 18182-1
Tragprofile als Einfachprofile UA 150
Randbefestigung mit UW 150
Verbindung mit Randprofil durch Anschluss- und Verbindungswinkel
Befestigung mit für den Untergrund geeignetem Befestigungsmittel
Befestigungsabstand max. 500 mm
Decklage/Bekleidung aus Gipsvliesplatten GM-FH1IR
nach DIN EN 15283-1 bzw. Typ DF EN 520
Schimmelresistenz Klasse 10 gem. ASTM D 3273
Wasseraufnahme ≤ 3%
Plattendicke 12,5 mm (einlagig)
Befestigung mit System-Schraube XTN
Verarbeitung gemäß DIN 18181
Verspachtelung der Gipsplatten gemäß Merkblatt Nr. 2 des Bundesverbandes der Gipsindustrie e.V. Qualitätsstufe Q3
Verarbeitung gemäß DIN 18181
Ausführung erfolgt unter Verwendung von DIN EN 13963
Spachtelmaterial Typ 4B oder alternativ Fügenfüller Typ 3B
einschließlich sämtlicher Nebenleistungen (Behelfe, Aufstiegshilfen, Befestigungen, Versiegelungen etc.)
Abrechnung nach vollständiger Leistung nach Aufmaß in [m²]
Ausführungsort:
Behinderten-WC 01-1O-00060 (5,14 m²)
Dusche 01-1O-0007 (1,62 m²)</t>
  </si>
  <si>
    <t>fc1f51e4-a6e3-4987-928c-c88e5e70503a</t>
  </si>
  <si>
    <t>c1c24cdd-4ad2-40d6-889f-3f75dc8c8830</t>
  </si>
  <si>
    <t>06.003.</t>
  </si>
  <si>
    <t>06.003.010.</t>
  </si>
  <si>
    <t>Untergrund aus Beton für weitere Maßnahmen fachgerecht reinigen.
Umfang:
Oberflächen Betonböden fachgerecht reinigen.
Anforderungen:
Reinigen des Untergrundes von haftungsmindernden Stoffen
nach TRGS 559 ist trockenes Kehren von mineralischen Untergründen nicht zulässig
gründliches Absaugen der Untergründe mit einem Industriestaubsauger
lose Materialien aufnehmen und entsorgen
Abfallstoffe und abgetragendes Gut fachgerecht als Bauschutt entsorgen
Abfall ist nicht gefährlich und nicht schadstoffbelastet
Abgerechnet nach vollständiger Ausführung und nach Aufmaß in [m²]
Ausführungsort:
Behinderten WC 01-10-00060 (5,14 m²)
Dusche 01-10-00070 (1,62 m²)
Umkleide 01-10-00050 und Vorraum (6,77 m²+5,41 m²)</t>
  </si>
  <si>
    <t>6a4601b3-cbfe-4ef4-856f-4b5e67b89d8b</t>
  </si>
  <si>
    <t>e7fa4e07-cd5b-4480-bcc9-7f0fcfefc65e</t>
  </si>
  <si>
    <t>06.003.020.</t>
  </si>
  <si>
    <t>Untergrundausgleich liefern und fachgerecht einbauen.
Umfang:
Ausgleichen des Untergrundes
zum Ausgleich von Unebenheiten / Höhen / Schieflagen des Rohbodens
Anforderungen:
Ausgleichen des Untergrundes von 10 mm - 20 mm (in einer Lage) im Verbund
durch Schüttung aus EPS-Zuschlag und zementärem Spezialbinder
im Verbund mit dem Untergrund
Nachfolgearbeiten nach 24 Stunden möglich
Druckspannung bei 10% Stauchung 0,5 N/mm² (500 kPa)
Wärmeleitfähigkeit 0,1014 W/mK
Baustoffklasse A2 (DIN 4102)
Wasserbeständig
Zur Aufnahme eines schwimmenden Estrichs nach DIN 18560
Minimale Dicke 10 mm
Maximale Dicke 20 mm
inklusive sämtlicher Nebenleistungen (Behelfe, Befestigungen, Schutzmaßnahmen etc.)
Ausführungsort:
Behinderten WC 01-10-00060 (5,14 m²)
Dusche 01-10-00070 (1,62 m²)
Umkleide 01-10-00050 und Vorraum (6,77 m²+5,41 m²)</t>
  </si>
  <si>
    <t>0e287642-0473-49f2-82d2-67da3b893a9a</t>
  </si>
  <si>
    <t>06.003.030.</t>
  </si>
  <si>
    <t>Trennlage liefern und fachgerecht einbauen.
Umfang:
Abdeckung von Dämmungen unter Estrich (Trennlage)
Anfordernungen:
PE-Folie
Regenerat-Folie aus Niederdruck-Polyethylen (LDPE)
dampfdiffusionsoffen
Dichte ca. 0,92 g/cm³
Zugfestigkeit ca. 10-25 N/mm²
E-Modul ca. 150-250 N/mm²
Diffusionsäquivalente Luft- 0,10 mm Dicke = &gt; 50 m schichtdicke (SD-Wert):  0,15 mm Dicke = &gt; 75 m
0,20 mm Dicke = &gt; 100 m
Schmelzpunkt ca. 110°C
Temperaturbeständigkeit ca. -40°C - +80°C
Ausführungsort:
Behinderten WC 01-10-00060 (5,14 m²)
Dusche 01-10-00070 (1,62 m²)
Umkleide 01-10-00050 und Vorraum (6,77 m²+5,41 m²)</t>
  </si>
  <si>
    <t>4f659137-c780-4f25-aabe-93df8e0f7613</t>
  </si>
  <si>
    <t>06.003.040.</t>
  </si>
  <si>
    <t>Kombinierte Wärme-/ Trittschalldämmung liefern und fachgerecht einbauen.
Umfang:
Kombinierte Wärme- und Trittschalldämmschicht liefern und einbauen.
Anforderungen:
Kombinierte Wärme- und Trittschalldämmschicht aus Polystyrol-Hartschaum als Partikelschaum
EPS nach DIN EN 13163
Anwendungstyp nach DIN 4108-10: DEO Wärmeleitfähigkeitsgruppe 035/ 040
einlagig
Dämmschichtdicke 30 mm
Trittschalldämmschicht aus Polystyrol-Hartschaum als Partikelschaum
EPS nach DIN EN 13163
Anwendungstyp nach DIN 4108-10: DES sm
Steifigkeitsgruppe SD 20
Wärmeleitfähigkeitsgruppe 045
einlagig
Dämmschichtdicke 20 mm
inklusive sämtlicher Nebenleistungen (Behelfe, Befestigungen, Verschnitt etc.)
Ausführungsort:
Behinderten WC 01-10-00060 (5,14 m²)
Dusche 01-10-00070 (1,62 m²)
Umkleide 01-10-00050 und Vorraum (6,77 m²+5,41 m²)</t>
  </si>
  <si>
    <t>4d7f1ffc-8b14-47d9-bd64-f7d78e2fec52</t>
  </si>
  <si>
    <t>06.003.050.</t>
  </si>
  <si>
    <t>Fertigestrich liefern und fachgerecht einbauen.
Umfang:
Fertigestrich aus Gipsfaserplatten liefern und einbauen
Wasserschutzklasse W1
Ausführung nach Zeichnungen und Details (u.a. F126.de)
Anforderungen:
Fertigteilestrich
Untere Lage
aus monolithischen Gipsfaserplatten
GF-W1 nach EN 15283-2
mit Stufenfalz
Typ Brio
Materialstärke 23 mm
Brandverhalten Klasse A2-s1, d0 nach DIN EN 13501-1
Obere Lage
aus monolithischen Gipsfaserplatten
GF-IW2-C2 nach EN 15283-2
Typ Vidiwall
Materialstärke 12,5 mm
Brandverhalten Klasse A2-s1, d0 nach DIN EN 13501-1
Materialstärke Fertigestrich 35 mm
auf Beton/ Holzbalkendecke/ Fußbodenheizung
und Ausgleichsschicht/ Dämmschicht/ Trennschicht
einschließlich sämtlicher Nebenleistungen (Behelfe, Befestigungen, Verschnitt, etc.)
Ausführungsort:
Behinderten WC 01-10-00060 (5,14 m²)
Dusche 01-10-00070 (1,62 m²)
Umkleide 01-10-00050 und Vorraum (6,77 m²+5,41 m²)</t>
  </si>
  <si>
    <t>9b22db8f-e069-4ddf-b464-7c086a43a44b</t>
  </si>
  <si>
    <t>07.</t>
  </si>
  <si>
    <t>Dachgeschoss</t>
  </si>
  <si>
    <t>07.001.</t>
  </si>
  <si>
    <t>07.001.010.</t>
  </si>
  <si>
    <t>Trockenbauwand liefern und fachgerecht einbauen.
Umfang:
Trockenbauwand aus Ständerwerk
mit einseitiger doppelter Beplankung
Wasserschutzklasse W0
Ausführung nach Zeichnungen und Details (u.a. W112.de)
Anforderungen:
Nichttragende innere Trennwand nach DIN 4103-1
Bewertetes Schalldämm-Maß Rw = 58,4 dB
Wandhöhe bis circa 3,10 m (OKRB/OKRD bis UKRD)
Umlaufende Anschlüsse starr
Anforderungen an Befestigungen in den Hinweisen (Vorbemerkungen)
Befestigungsuntergründe:
Wand:
     Mauerwerk / Stahlbeton/ Metallständer
Decke:
Spannbetonhohlplattendecken (Betonwerkstoff) und oder Kassettendecken (Fertigbetonelemente)
Schallentkopplung mittels Dämmstreifen
Bauteilabtrennung durch Spezialpapierstreifen Breite 2 x 65 mm
Ausführung mit Unterkonstruktion aus verzinkten Stahlblechprofilen DIN 18182-1
Wanddicke 75 mm
einseitige Beplankung nach DIN 18180
zweilagig
Plattendicke 2*12,5 mm
Metallständer CW 50
Ständerachsabstand ≤ 625 mm
Boden und Deckenanschlüsse mit Randprofilen UW 50/40/06
Befestigung mit bauaufsichtlich zugelassenen Befestigungsmitteln
Dämmschicht aus Mineralwolle nach DIN EN 13162:
Dämmschicht aus Mineralwolle nach DIN EN 13162
Baustoffklasse A1, nichtbrennbar nach DIN 4102 und EN 13501-1
Dämmschicht Dicke mindestens 50 mm
Wärmeleitfähigkeit λ ≤ 0,040 W/(mK)
längenbezogener Strömungswiderstand nach DIN EN 29053: r ≥ 5 kPa·s/m²
Rw = 58,4 dB
Dämmschicht einlagig, dicht stoßen, abrutschsicher verlegen
einseitig zweilagige Beplankung nachDIN 18180:
Seite:
Beplankung aus Gipsplatten GKB-A DIN 18180 bzw. Typ A EN 520
zweilagig
Plattendicke 2*12,5 mm
Abmessungen:
1 x Abkastung TB Raumhoch
in circa (L*B*H) 20 x 20 x 310 cm
Verschraubung mit Schraubentyp XTN
Verarbeitung gemäß DIN 18181
Verspachtelung der Gipsplatten gemäß Merkblatt Nr. 2 des Bundesverbandes der Gipsindustrie e.V. Qualitätsstufe Q3 bei Oberflächen ohne Fliesen
Ausführung erfolgt unter Verwendung von DIN EN 13963, Spachtelmaterial Typ 4B oder alternativ Fügenfüller Typ 3B (muss für GKBI geeignet sein)
inklusive Eckausbildung mit Kantenschutz Alu 23/23 mm
einschließlich sämtlicher Nebenleistungen (Behelfe, Aufstiegshilfen, Befestigungen, Trennstreifen, Verschnitt, Versiegelungen etc.)
Abrechnung nach vollständiger Leistung nach Aufmaß in [m²]
Ausführungsort:
Aktionsbereich H (Dachgeschoss - vgl. Lageplan/Grundriss)</t>
  </si>
  <si>
    <t>76361c43-c5da-4754-be68-2337df8c0279</t>
  </si>
  <si>
    <t>28513548-0433-4309-ba5c-a9bc5095a59f</t>
  </si>
  <si>
    <t>890bb2ad-0902-49e8-8914-d16ba24264ea</t>
  </si>
  <si>
    <t>08.</t>
  </si>
  <si>
    <t>zusätzliche Ausführungen</t>
  </si>
  <si>
    <t>08.010.</t>
  </si>
  <si>
    <t>Türöffnungen</t>
  </si>
  <si>
    <t>Türöffnung fachgerecht herstellen.
Umfang:
Ausführung nach den Anforderungen an Ausführungen (Befestigungen, Fugen, Anschlüsse etc.) in den Hinweisen (Vorbemerkungen) und nach Zeichnungen/Detail
Anforderungen:
einschließlich sämtlichen erforderlichen Materialien (Sturzprofil, seitlich raumhoch verstärkten Metallständerprofilen UA/CW, Befestigungen, Fugenspachtel, Schrauben etc.) und  Nebenleistungen
Baurichtmaße Türbreiten
625 mm
750 mm
875 mm
1.100 mm
Baurichtmaße Türhöhen bis circa 2.150 mm
Wanddicken von 100 mm bis 200 mm
Abrechnung nach vollständiger Leistung und Aufmaß pro Stück Türöffnung
Türöffnungen im
Kellergeschoss: 11 Stück
Sockelgeschoss: 3 Stück
Erdgeschoss: 5 Stück
Obergeschoss: 2 Stück</t>
  </si>
  <si>
    <t>f0466562-d9ba-4c21-9c6c-f4a085b85adb</t>
  </si>
  <si>
    <t>e45c9630-c8ca-4782-9684-976904afa637</t>
  </si>
  <si>
    <t>08.020.</t>
  </si>
  <si>
    <t>T-Verbindungen</t>
  </si>
  <si>
    <t>T-Verbindungen als Anschluss zwischen Trockenbau-Konstruktionen fachgerecht herstellen.
Umfang:
Ausführung nach den Anforderungen an Ausführungen (Befestigungen, Fugen, Anschlüsse etc.) in den Hinweisen (Vorbemerkungen) und nach Zeichnungen/Detail
Anforderungen:
einschließlich sämtlichen erforderlichen Materialien (Befestigungen, Fugenspachtel, Schrauben etc.) und  Nebenleistungen
Länge Boden bis an Decke
Wandhöhe bis circa 3,10 m (OKRD bis UKRD)
Abrechnung nach vollständiger Leistung und Aufmaß pro m T-Verbindung
T-Verbindungen im
Kellergeschoss: 3 Stück
Erdgeschoss: 5 Stück
Obergeschoss: 2 Stück</t>
  </si>
  <si>
    <t>15ddba61-21df-4c9b-b693-f4eeca02411a</t>
  </si>
  <si>
    <t>08.030.</t>
  </si>
  <si>
    <t>Anschluss Massivwand</t>
  </si>
  <si>
    <t>Anschluss an Massivwand Beton/Mauerwerk fachgerecht herstellen.
Umfang:
Ausführung nach den Anforderungen an Ausführungen (Befestigungen, Fugen, Anschlüsse etc.) in den Hinweisen (Vorbemerkungen) und nach Zeichnungen/Detail
einschließlich sämtlichen erforderlichen Materialien (Befestigungen, Fugenspachtel, Schrauben etc.) und  Nebenleistungen
Länge Boden bis an Decke
Wandhöhe bis circa 3,10 m (OKRD bis UKRD)
Abrechnung nach vollständiger Leistung und Aufmaß pro m Anschluss
Anschluss an Massivwand im
Kellergeschoss: 13 Stück
Sockelgeschoss: 12 Stück
Erdgeschoss: 13 Stück
Obergeschoss: 4 Stück
Dachgeschoss: 2 Stück
Gesamtlänge = Anzahl Anschlüsse x Wandhöhe (bis circa 3,10 m)
Gesamtlänge = (13+12+13+4+2) x 3,10 m = 136,40 m</t>
  </si>
  <si>
    <t>51140c79-432b-4804-8bef-fd287e98ca11</t>
  </si>
  <si>
    <t>08.040.</t>
  </si>
  <si>
    <t>Eckanschluss</t>
  </si>
  <si>
    <t>Eckanschluss fachgerecht herstellen.
Umfang:
Ausführung nach den Anforderungen an Ausführungen (Befestigungen, Fugen, Anschlüsse etc.) in den Hinweisen (Vorbemerkungen) und nach Zeichnungen/Detail
Anforderung:
mit Eckschutzschienen oder Eckschutzprofil 90°
aus Aluminium
Abmessung circa 23,5 * 23,5 mm
Blechstärke circa 0,4 mm
einschließlich sämtlichen erforderlichen Materialien (Befestigungen, Fugenspachtel, Schrauben etc.) und  Nebenleistungen
Länge Boden bis an Decke
Wandhöhe bis circa 3,10m (OKRD bis UKRD)
Abrechnung nach vollständiger Leistung und Aufmaß pro m Anschluss
Anschluss an Massivwand im
Kellergeschoss: 4 Stück
Sockelgeschoss: 9 Stück
Erdgeschoss: 16 Stück
Obergeschoss: 7 Stück
Dachgeschoss: 1 Stück
Gesamtlänge = Anzahl Anschlüsse x Wandhöhe (bis circa 3,10 m)
Gesamtlänge = (4+9+16+7+1) x 3,10 m = 114,70 m</t>
  </si>
  <si>
    <t>7f516acf-2a51-44d0-9f64-49474de31dce</t>
  </si>
  <si>
    <t>08.050.</t>
  </si>
  <si>
    <t>Profil (UA) 50</t>
  </si>
  <si>
    <t>Verstärkte Profile (UA) liefern und fachgerecht einbauen.
Umfang:
Verstärkte Profile (UA) aus verzinkten Stahl innerhalb der Trockenbauwände zur Sicherung von Sanitärmontageelemente einbauen
Abstimmung der Endeinbaulage mit dem Gewerk TGA und der AG-Bauleitung
Ausführung nach den Hinweisen in den Vorbemerkungen, der Werkplanung des AN und nach Zeichnungen und Detail
Einbauort: Trennwände/Installationswände/Vorsatzschalen (besonders WC-Anlagen)
Anforderungen:
Verstärkte Profile (UA)
aus verzinkten Stahl
Flanschbreite 40 mm
Steghöhe 50 mm
Nennblechdicke 2 mm
Deckenhöhen bis circa 3,10 m (OKRD bis UKRD)
als Verstärkungsprofil
einschließlich sämtlicher Nebenleistungen (Befestigungen, Steckwinkel, Abhänger etc.)
Abrechnung nach vollständiger Leistung und Aufmaß in [m]</t>
  </si>
  <si>
    <t>d77035d6-151a-4a2d-b527-2ac7b8cc18f3</t>
  </si>
  <si>
    <t>08.060.</t>
  </si>
  <si>
    <t>Profil (UA) 70</t>
  </si>
  <si>
    <t>Verstärkte Profile (UA) liefern und fachgerecht einbauen.
Umfang:
Ausführung wie Vorposition, jedoch Ausführung mit
Steghöhe 70 mm</t>
  </si>
  <si>
    <t>301c890a-710a-4c6e-9c20-c64a4ef1884d</t>
  </si>
  <si>
    <t>08.070.</t>
  </si>
  <si>
    <t>Profil (UA) 100</t>
  </si>
  <si>
    <t>Verstärkte Profile (UA) liefern und fachgerecht einbauen.
Umfang:
Ausführung wie Vorposition (OZ 03.310), jedoch Ausführung mit
Steghöhe 100 mm</t>
  </si>
  <si>
    <t>22f5dded-3f2d-4dc7-ac1b-48bbf95c1a58</t>
  </si>
  <si>
    <t>08.080.</t>
  </si>
  <si>
    <t>Eckschutzschienen</t>
  </si>
  <si>
    <t>Eckschutzschienen aus Stahl liefern und an Außenecken der Trockenbau-Konstruktionen fachgerecht einbauen.
Umfang:
Eckschutzschienen aus Aluminium
an Außenecken einbauen
Ausführung nach den Hinweisen in den Vorbemerkungen, der Werkplanung des AN und nach Zeichnungen und Detail
Anforderungen:
Eckschutzschienen aus Aluminium (hohe Anforderungen)
Stahlblechschiene mit L-förmigem Querschnitt zum Schutz von Ecken
Schenkellängen in circa 25*25 mm
Robuste Ausführung (Formstabil)
einschließlich sämtlichen erforderlichen Materialien (Befestigungen, Schrauben Spachtelmassen etc.) und  Nebenleistungen
Länge Boden bis an Decke
Wandhöhe bis circa 3,10 m (OKRB/OKRD bis UKRD)
Abrechnung nach vollständiger Leistung und Aufmaß in [m]</t>
  </si>
  <si>
    <t>df15565c-78d8-429b-bb6b-31a96a20720c</t>
  </si>
  <si>
    <t>08.090.</t>
  </si>
  <si>
    <t>Öffnungen Ø  50 mm</t>
  </si>
  <si>
    <t>Öffnungen für TGA in den Wänden herstellen und nach Abschluss der TGA-Montagen fachgerecht schließen.
Umfang:
Öffnungen, bzw. Durchführung und Durchdringung von Medienleitungen (Elektrische Leitungen, Kalt- und Warmwasser, Abwasser, Heizung und etc.) in den Wänden herstellen.
Anforderungen:
Abmessungen rund bis circa 50 mm im Durchmesser
Öffnungen herstellen und nach Abschluss der TGA-Montagen (Installationen) fachgerecht schließen.
einschließlich sämtlicher Nebenleistungen
Lieferung und fachgerechter Einbau von Brandschutzelementen (zertifiziert) ausschließlich durch das Gewerk TGA
Ausführungen nur nach Abstimmung mit der TGA und der AG-Bauleitung
Abrechnung nach vollständiger Ausführung und Aufmaß in [St] pro Durchführung in Trockenbauwand</t>
  </si>
  <si>
    <t>ef26c51b-ef3d-4096-98cd-1ae80f1be001</t>
  </si>
  <si>
    <t>08.100.</t>
  </si>
  <si>
    <t>Öffnungen 50 mm eckig</t>
  </si>
  <si>
    <t>Öffnungen für TGA in den Wänden herstellen und nach Abschluss der TGA-Montagen fachgerecht schließen.
Umfang:
Ausführung wie Vorposition (OZ 03.370), jedoch
Abmessungen eckig bis circa 50 mm x 50 mm</t>
  </si>
  <si>
    <t>0c994677-18eb-43d0-aff1-fc239536c8b5</t>
  </si>
  <si>
    <t>08.110.</t>
  </si>
  <si>
    <t>Öffnungen Ø 68 mm</t>
  </si>
  <si>
    <t>Öffnungen für TGA in den Wänden herstellen und nach Abschluss der TGA-Montagen fachgerecht schließen.
Umfang:
Ausführung wie Vorposition (OZ 03.390), jedoch
Abmessungen rund bis circa 68 mm im Durchmesser</t>
  </si>
  <si>
    <t>3398c1ee-c15a-4c73-88ff-960bb44bf705</t>
  </si>
  <si>
    <t>08.120.</t>
  </si>
  <si>
    <t>Öffnungen 68 mm eckig</t>
  </si>
  <si>
    <t>Öffnungen für TGA in den Wänden herstellen und nach Abschluss der TGA-Montagen fachgerecht schließen.
Umfang:
Ausführung wie Vorposition (OZ 03.390), jedoch
Abmessungen eckig bis circa 68 mm x 68 mm</t>
  </si>
  <si>
    <t>797ade28-8c13-495b-ade3-8248d94eecb9</t>
  </si>
  <si>
    <t>08.130.</t>
  </si>
  <si>
    <t>Öffnungen Ø 75 mm</t>
  </si>
  <si>
    <t>Öffnungen für TGA in den Wänden herstellen und nach Abschluss der TGA-Montagen fachgerecht schließen.
Umfang:
Ausführung wie Vorposition (OZ 03.390), jedoch
Abmessungen rund bis circa 75 mm im Durchmesser</t>
  </si>
  <si>
    <t>02838a00-f056-4a64-be34-63b91036c454</t>
  </si>
  <si>
    <t>08.140.</t>
  </si>
  <si>
    <t>Öffnungen 75 mm eckig</t>
  </si>
  <si>
    <t>Öffnungen für TGA in den Wänden herstellen und nach Abschluss der TGA-Montagen fachgerecht schließen.
Umfang:
Ausführung wie Vorposition (OZ 03.390), jedoch
Abmessungen eckig bis circa 75 mm x 75 mm</t>
  </si>
  <si>
    <t>d3b06b16-babe-4765-bac8-cdb6bf3be8f9</t>
  </si>
  <si>
    <t>08.150.</t>
  </si>
  <si>
    <t>Öffnungen Ø 125 mm</t>
  </si>
  <si>
    <t>Öffnungen für TGA in den Wänden herstellen und nach Abschluss der TGA-Montagen fachgerecht schließen.
Umfang:
Ausführung wie Vorposition (OZ 03.390), jedoch
Abmessungen rund bis circa 125 mm im Durchmesser</t>
  </si>
  <si>
    <t>09c92a26-3f82-4358-bf0d-39f3fdf1c98d</t>
  </si>
  <si>
    <t>08.160.</t>
  </si>
  <si>
    <t>Öffnungen 125 mm eckig</t>
  </si>
  <si>
    <t>Öffnungen für TGA in den Wänden herstellen und nach Abschluss der TGA-Montagen fachgerecht schließen.
Umfang:
Ausführung wie Vorposition (OZ 03.390), jedoch
Abmessungen eckig bis circa 125 mm x 125 mm</t>
  </si>
  <si>
    <t>fac9a82d-8cf4-4c55-b430-256f0033437b</t>
  </si>
  <si>
    <t>08.170.</t>
  </si>
  <si>
    <t>Öffnungen Ø  200 mm</t>
  </si>
  <si>
    <t>Öffnungen für TGA in den Wänden herstellen und nach Abschluss der TGA-Montagen fachgerecht schließen.
Umfang:
Ausführung wie Vorposition (OZ 03.390), jedoch
Abmessungen rund bis circa 200 mm im Durchmesser</t>
  </si>
  <si>
    <t>ef717784-14a4-4c6c-8591-ee96229f9e51</t>
  </si>
  <si>
    <t>08.180.</t>
  </si>
  <si>
    <t>Öffnungen 200 mm eckig</t>
  </si>
  <si>
    <t>Öffnungen für TGA in den Wänden herstellen und nach Abschluss der TGA-Montagen fachgerecht schließen.
Umfang:
Ausführung wie Vorposition (OZ 03.390), jedoch
Abmessungen eckig bis circa 200 mm x 200 mm</t>
  </si>
  <si>
    <t>0d34ac99-7d82-46d0-883a-09b54ee13cb3</t>
  </si>
  <si>
    <t>08.190.</t>
  </si>
  <si>
    <t>Öffnungen Ø 300 mm</t>
  </si>
  <si>
    <t>Öffnungen für TGA in den Wänden herstellen und nach Abschluss der TGA-Montagen fachgerecht schließen.
Umfang:
Ausführung wie Vorposition (OZ 03.390), jedoch
Abmessungen rund bis circa Ø 300 mm</t>
  </si>
  <si>
    <t>bf50ed63-a9cc-4419-9321-f06566674e77</t>
  </si>
  <si>
    <t>08.200.</t>
  </si>
  <si>
    <t>Öffnungen 300 mm eckig</t>
  </si>
  <si>
    <t>Öffnungen für TGA in den Wänden herstellen und nach Abschluss der TGA-Montagen fachgerecht schließen.
Umfang:
Ausführung wie Vorposition (OZ 03.390), jedoch
Abmessungen eckig bis circa 300 mm x 300 mm</t>
  </si>
  <si>
    <t>acb23521-ce9c-4aac-ad1c-11a9ab9f933c</t>
  </si>
  <si>
    <t>08.210.</t>
  </si>
  <si>
    <t>Fugen</t>
  </si>
  <si>
    <t>Fugen fachgerecht herstellen.
Umfang:
Fugen an Bewegungs-, Eck- und Anschlussfugen mit einem geeigneten dauerelastischen Acrylfugendichtstoff, herstellen.
Anforderungen:
Elastoplastische Verfugung der Anschlüsse mit Dichtstoff auf Acryldispersionsbasis
Überstreichbar
Farbton neutral in weiß
Schließen von Bewegungs-, Eck- und Anschlussfugen mit Acrylfugendichtstoff
Elastische Anschlussfugen zwischen Boden und Wänden
einschließlich sämtlicher Nebenleistungen
Ausführung nach Zeichnung und Details</t>
  </si>
  <si>
    <t>d9de698e-41e3-4fc8-8964-6fa84e1fc0ee</t>
  </si>
  <si>
    <t>08.220.</t>
  </si>
  <si>
    <t>Verspachtelungen</t>
  </si>
  <si>
    <t>Fugen und Oberflächen der bauseits erstellten Trockenbaukonstruktionen fachgerecht verspachteln.
Umfang:
Verspachtelung der bauseits eingebauten neuen Gipsplatten
einschließlich der Fugen (Plattenstöße, Anschlüsse)
Oberflächen teilweise ohne Fliesen
Anforderungen:
GK-Platten GKB und oder GKBI
Ausführungen gemäß Merkblatt Nr. 2 des Bundesverbandes der Gipsindustrie e.V. Qualitätsstufe Q3 bei Oberflächen ohne Fliesen
Ausführung erfolgt unter Verwendung von DIN EN 13963, Spachtelmaterial Typ 4B oder alternativ Fügenfüller Typ 3B (muss für GKBI geeignet sein)
einschließlich sämtlicher Nebenleistungen (Behelfe, Aufstiegshilfen, Befestigungen, Trennstreifen, Versiegelungen etc.)
Abrechnung nach vollständiger Leistung nach Aufmaß in [m²]
Ausführungsort:
in allen Etagen</t>
  </si>
  <si>
    <t>97f7de2d-d36b-4384-975a-38a92489cc70</t>
  </si>
  <si>
    <t>09.</t>
  </si>
  <si>
    <t>Dokumentation</t>
  </si>
  <si>
    <t>09.010.</t>
  </si>
  <si>
    <t>Dokumentation nach Ausführung</t>
  </si>
  <si>
    <t>Dokumentation entsprechend den Vorgaben des Auftraggebers erstellen.
Umfang:
Anlagen - Struktur
Inhaltsverzeichnis
Fachunternehmererklärung
Zertifikate, Zeugnisse, Testprotokolle
Entsorgungsnachweise
Fotodokumentation der Arbeiten (während der Ausführungen müssen die Arbeitsabläufe/Sequenzen dokumentiert werden)
Revisionsskizzen
Wartunganweisungen für alle gelieferten Anlagen
Wartungsintervalle
Wartungsanweisungen
Prüfungen nach Technischer Prüfverordnung
Kurzbeschreibungen
Produktdatenblätter aller verwendeten Produkte
statische Nachweise
Nachweise zur Einhaltung von Schall-, Wärme- und Brandschutzanforderungen
Prospekte zugelieferter Materialien
Prüfzeugnisse uns sonstige in den ZTV geforderte Unterlagen
Funktionsbeschreibungen  bzw. Bedienungsanleitungen
EU- Konformitätserklärungen
Zulassungen Produkte / Systeme
Betriebsanleitungen, Gebrauchs- oder Bedienungsanweisungen
Pflege- und Wartungshinweise
Prüfbücher und sonstige für den Betrieb erforderliche Unterlagen
Bautagesberichte in digitaler Form
Anforderungen:
Die Dokumentation ist spätestens eine Woche vor der Abnahme der AG-Bauleitung zu übergeben. Die Dokumentation ist in Papierform und in digitaler Form zu übergeben. Die Dokumentation muss die aufgeführten Bestandteile enthalten. Die Schlussdokumentation ist Bestandteil der Schlussrechnung.
Die Dokumentation ist ein wesentlicher Teil der technischen Abnahme.
Die Abnahme der  Leistungen erfolgt daher erst nach
Übergabe und Prüfung der Dokumentation durch den AG.
Die Dokumentation ist deshalb rechtzeitig zu erstellen
und zur Prüfung zu übergeben.</t>
  </si>
  <si>
    <t>94cc042c-f92b-4671-b94f-744bd8290704</t>
  </si>
  <si>
    <t>424137b3-f2ab-42ce-9009-3ec571abf131</t>
  </si>
  <si>
    <t>10.</t>
  </si>
  <si>
    <t>Stundenlohnarbeiten</t>
  </si>
  <si>
    <t>Hinweis Stundenlohnarbeiten</t>
  </si>
  <si>
    <t>Stundenlohnarbeiten bedürfen der vorherigen,
rechtzeitigen Beantragung beim Auftraggeber und dessen ausdrücklicher Zustimmung.
Zuschläge zu den Verrechnungssätzen für von der/dem AG
angeordnete Nacht- und Sonntags-/Feiertagsarbeit sind
gesondert nachzuweisen; sie werden in Höhe der
tariflichen Vereinbarung vergütet.
Die beschriebenen Leistungspositionen sind für
die Ausführung von Stundenlohnarbeiten an Werktagen Montag- Samstag von 7.00 - 18.00 Uhr anzubieten.</t>
  </si>
  <si>
    <t>297f4fa9-7ae9-4da7-997d-8c073257f4e7</t>
  </si>
  <si>
    <t>10.010.</t>
  </si>
  <si>
    <t>Vorarbeiter</t>
  </si>
  <si>
    <t>Stundenlohn Vorarbeiter (Regiestunden) für unvorhergesehene Arbeiten nur auf besondere Anweisung des Auftraggebers.
Umfang:
für verschiedene Sondereinbauten
Hilfeleistungen für andere Gewerke
für sonstige anfallende Arbeiten
die geleisteten Stunden zuzüglich Materialkosten sind täglich der Bauleitung vorzulegen
Stundenlohnarbeiten für Facharbeiter und Gleichgestellte
Leistung nach besonderer Anordnung des Auftraggebers Nachweis gemäß VOB/B § 15 Nr. 3
Anmeldung gemäß VOB/B § 2 Nr. 10</t>
  </si>
  <si>
    <t>h</t>
  </si>
  <si>
    <t>d7b634f0-9b09-4d1a-833c-0f276a38e494</t>
  </si>
  <si>
    <t>cbc99ccd-36ae-4d3c-827a-5960faed8f26</t>
  </si>
  <si>
    <t>10.020.</t>
  </si>
  <si>
    <t>Facharbeiter</t>
  </si>
  <si>
    <t>Stundenlohn Facharbeiter (Regiestunden) für unvorhergesehene Arbeiten nur auf besondere Anweisung des Auftraggebers.
Umfang:
für verschiedene Sondereinbauten
Hilfeleistungen für andere Gewerke
für sonstige anfallende Arbeiten
die geleisteten Stunden zuzüglich Materialkosten sind täglich der Bauleitung vorzulegen
Stundenlohnarbeiten für Facharbeiter und Gleichgestellte
Leistung nach besonderer Anordnung des Auftraggebers Nachweis gemäß VOB/B § 15 Nr. 3
Anmeldung gemäß VOB/B § 2 Nr. 10</t>
  </si>
  <si>
    <t>25056cbe-b93c-4947-b6ed-5571ef0ded72</t>
  </si>
  <si>
    <t>10.030.</t>
  </si>
  <si>
    <t>Helfer</t>
  </si>
  <si>
    <t>Stundenlohn Helfer (Regiestunden) für unvorhergesehene Arbeiten nur auf besondere Anweisung des Auftraggebers.
Umfang:
für verschiedene Sondereinbauten
Hilfeleistungen für andere Gewerke
für sonstige anfallende Arbeiten
die geleisteten Stunden zuzüglich Materialkosten sind täglich der Bauleitung vorzulegen
Stundenlohnarbeiten für Facharbeiter und Gleichgestellte
Leistung nach besonderer Anordnung des Auftraggebers Nachweis gemäß VOB/B § 15 Nr. 3
Anmeldung gemäß VOB/B § 2 Nr. 10</t>
  </si>
  <si>
    <t>1f4311e7-8537-489a-9e88-d6fcc7950000</t>
  </si>
  <si>
    <t>Summe Leistungsbeschreibung</t>
  </si>
  <si>
    <t>Brutto</t>
  </si>
  <si>
    <t>049</t>
  </si>
  <si>
    <t>Einheitspreisanteile</t>
  </si>
  <si>
    <t>Lohnanteil</t>
  </si>
  <si>
    <t>Stunden</t>
  </si>
  <si>
    <t>Einheitspreisanteil #1</t>
  </si>
  <si>
    <t>Lohn</t>
  </si>
  <si>
    <t>Einheitspreisanteil #2</t>
  </si>
  <si>
    <t>Material</t>
  </si>
  <si>
    <t>Einheitspreisanteil #3</t>
  </si>
  <si>
    <t>Gerät</t>
  </si>
  <si>
    <t>Einheitspreisanteil #4</t>
  </si>
  <si>
    <t>Sonstiges</t>
  </si>
  <si>
    <t>Käufer</t>
  </si>
  <si>
    <t>Name</t>
  </si>
  <si>
    <t>Straße</t>
  </si>
  <si>
    <t>Postleitzahl</t>
  </si>
  <si>
    <t>Stadt</t>
  </si>
  <si>
    <t>Land</t>
  </si>
  <si>
    <t>Kontaktperson</t>
  </si>
  <si>
    <t>Email</t>
  </si>
  <si>
    <t>Telefon</t>
  </si>
  <si>
    <t>Bieter</t>
  </si>
  <si>
    <t>Kommentar</t>
  </si>
  <si>
    <t>Einheitspreisanteil</t>
  </si>
  <si>
    <t>Ergebnis</t>
  </si>
  <si>
    <t>Configuration Version</t>
  </si>
  <si>
    <t>Service Specification Index</t>
  </si>
  <si>
    <t>Worksheetname Overview</t>
  </si>
  <si>
    <t>Worksheetname ProjectInfo</t>
  </si>
  <si>
    <t>Projektinfo</t>
  </si>
  <si>
    <t>Worksheetname Calculation</t>
  </si>
  <si>
    <t>Kalkulation</t>
  </si>
  <si>
    <t>Dangl.AVA.Converter www.dangl-it.com V2.28.9 ©2026</t>
  </si>
  <si>
    <t>This worksheet contains configuration data needed so the file can be read again as GAEB file. Please do not modify any values.</t>
  </si>
  <si>
    <t>Dieses Arbeitsblatt enthält Konfigurationsdaten, die dem späteren Einlesen als GAEB Datei dienen. Bitte ändern Sie keine Werte.</t>
  </si>
  <si>
    <t>Created at 09.01.2026 19:06 (UTC)</t>
  </si>
  <si>
    <t>1000:93F79F7992F6F62A2968D31B5E8D27A593BC0749E402C00B490CDC1A5B387F9C:7E85BE14B51463D1F1EE02011691382D:V7zx7cMo2IuJ4uyWoIVdtDuDrnN4FR0GUbRAE5IvCfFQ9d9HrM+SIZRrDk85Mr+YG4BElplHYUJKDf2uBCMp4ZV2QQdE5qQwEV/USXPu31oFE9ouaD8TriDfucPBKG0GjpD7MfczdaIvZUOx/1O2i4WHzjoYBEJDAOZWaEq7KZZJNhW6ccjPmxEO8+zaFMd64TNp1AJrFxzC49GtKuaqEQyGJyOeqe51lXmlBWA6lNDZNgqUHrx1i/3vfSPojA2GeE0CK3NHm+BYTNMEsSslWLkCQy5qf5Kgi6N90aALDkmAjobP50WxhlW3jsZLjq4rILLw55xPt/TRMHuXmAnlaWoZ84Zh2DMT2gnzDJiGRJVf36w35W6bSZFfkW6VEIh7OCURCpuo8lcckMZDEHc3+49lnD/eFtLV073IAVbyyVYBMUBXvDn3KxzM2PVdpzRBBL6YUDXzBPzsXf0SVDKuSHy44uNMthPv1QkPgeqYiA2fw6p6KJXuq9lGNdiwB7fVlCcgD7ZFepZ127G2uXn91x7OA/0MeGL0i+F6bjUwvp5vXm47Za6XWVgi8HwvsKoEB8y1GPvN0gIfmWWTCL5XQgjiUHbm5oumTyUlY45tlpbSqxkiQLYS7MHprf32yEkWQ/YtTxtEG0muTuq7Q1XkrKOJZ6ChCZkE+Y3ENRXjK+V70Q3QvrHuGKeZQa1AV9dvocwJx6vy8LGM1v6cAD3T5/5o1aoV/9l20PzvM9ReFmDqE3O1iVHUb1AHfkp3aPu1fDbB4ctNZ7GBeC8j4jyZ2MSXWBjBNCFqXH3xDDWunjLXTgs+a5c+uCL1Dbfro2YAsDBk7lV6HLp7w1b4hXssbSgfQO9DJPX47lRdNT8G6j9daAxhF6+IhQXUKMkQDtsFd3Z9m9WKID6tjf/AVktaCURWgcSvZA5QxNB4KrGi+S3kx+Lf6ie+EJ4TMCjst5RFmGsb7ShlSvYf96VeU7sNg49Ykg+q19A1llJ2MEbbPxQT7hycEU+/hfRRsQDt/3PtmTKoRC0htsSPH4bZ5TKn/xafDPnFHWe6WQaoU89kBXZdfZ9+euWAL3KPiUyZid0rHkPa616FqdK8mrPPQ94zkdC0z3lWsn4BP5I0qbKfXeifhDiECzT4TDAg75hCxvKJHrxovlUQLN+RJoIBNyTNYWx96Ws5Ue6plawi8OjaqnaWakZW+YEqiU11HAQeZ3X2ZiN5NfgEVVZRTGo9c+go81CdPImg0vs0acUzoL0CRKtzbRXtuKmEhKGngZwSXP8EZQLfTDEy/FnfrnEQLBV0SOlx8f0iGz1MzDC75hOWlg4PNSwdWSvggq9ck2rFCIRyRD9Q+Fh+HAYVa7ZusCX7hnC0T2SoTWFqJTNjeVyoKZnphzrrcc7CmLH7Kwort/HSAkdiQaB9zR4ZtpMslbQsZmUGXt5ihFYGpQ8uLdL0XnsiX1E7IQwvqaZ3orexe6V4AwcjR8TxYa1OZPbHonr6ZfKUCiyp42zLL2SsPzuKIF7ZxUMQl+Et05U2aUuJOxWZFCAJNzcMbv4gDIGGeXKYLGMdfNx+8DAGgJ3nizDUQkhBCdpFNc3QXlwb6LlksrPKIBgq53iLKu8C0EmCVvl6jeAPVDbZFceh14dIuLX97Bm1xjevzbcT4vXLjUhSE/rAa/rfb8zn+G+Y7gvnzSdjOkvMr3SJSpZBstuEG1H96QmrVqJS+ETiZSot4g1PJ7pPX9yQ4lWpexf+RX0YSVHTGjj9cKUSYgvWUzrjRCPwkhdP7IVHpAVdT/NlQvfsZCx2s/Z/HJfwKT/k6XMkq7PD1q3sUnqtz6f8jdvDdZhQ4sqdIA+/giLWmaAQzlHg8ce3oFOcoHGNrJWhk6pfd1lbxDyFNOW6LJA8R5w2VLwtyshoCOjYAcDn7Oc0F++tO1pq9OI9u1HUjTkykjKClJTPscc0TfZG+/z1/amfOzEJIaJnVwFZtYkOQjfQAuy2E2reVaqcMfRwVncmbMeRXEZBnyW0mblObyQ5Ztg3UHSZXcxuPd5fkNCCt4X0/9puG1wer4hBaYfEQoNqGdv/t3rVk9Wh7V8tY1QDWs70w5MuB364oI0bCkz4RyPBf21p4ZUYe4vjvEtRXW9yC2pzjFsusfjComgLM9Cx2M778sN4UliC7W2DM2R4cR8lojBnxe7iCdHtEj8wrAnJ5z+bstRuRS7wuxVJJrf4ihMOmfx2cjZc8+V2EjeLVjlBsfEGOU4LMJlwwtiturAXzaHGjXtHDW02zY7P/ofMf0B4b9Spq9xU95HkYKtVq+g5mtISRGRE0nEtYVD+EVo+Rz3u5HD/uw0DQ8mjXL6MNOVXMOHeZ1fT5uDxLgvHDowg8YrQZOPPysCpv0XTSc1ugS8Q70QCKKQz8YY7C0rcseTISYMZ3z5dHkcftkGDkvDXq55nUR7lkPkB9uvRq+24p5Ms0pDzOONFxAwhwpsEb+lTmcTGSEqtsogs186nZbVJo992OdN4Epm4pAuGb4seYuGIGby67LMf69Yw2GnC9S0q7pX5r6jaJi41igDeaAR05RKlSXz0MkF1pXSfJmVi+F/gNZAeY6jY/m5oUkx/VWvZWkHHO7/lIRGmtAEyCr6BztwQzDk8aK65/tOkJDYCn2MxHWovWKPjvZObt88dwzBldvio4yoT7+95CWhM95bbMlt3WbUITk/ctL3CdPu1IZk/Pz3BJX1ITyfgr+AnBGtYInblPm/vdrfvsnPfDjlY1WRPI+D05XFKWvil7XXuV9dapXAN/MW1+RR3e7hFmr7x82ua8uUM2a3OhHpAKVkHEcohmizX9pU8gqcTyS4d/HcyfQqJTJw1SbJa9KZLGMklfcjgjDQ1AvqXY45+RyScD6jD8E+hlYH7sUTZ9GPX69f9ewk57pUzRmhXCmkcOBMpLtQdtpI/ZbBfhp/Te8OCWvlNTS1+fqgunj21e5dbU6UqkciDz5sJlfv4vFONUgQjGK2CDOdzGnlL0TOC0Uf0j5ProyCPbYcQ2dvwclc3jerRUE2GyDYpzOm8M5ApseKyptl0fGF7YRYD2dvNx+jU08ilF5D1i23bsrS1Gx78OUFxkehII90nCg3PqyrEnSHQZ4lxdxvCcelUiOLA4iVSeu5nb1cBSDlwd7Dw42Y/KpsQIrWOZ6zZgR3J28YR9hXL0FXq9K5vkopHzeOQpKnn0qZMjfbuM7vyH222Ey9u8OdBAVD72QwO88KZ0n1VT8lfnjJCESiK5vndqv3RkgxOghBkDf57SkNLm/rMEkfpVnmFTww6QH6/A/Q1DCTRE+f1B+GN/trNm1tBXOVodgF3DceNegtvKsEfLJUSYfRP3DHhjF59OQkeg3pgrc6Ur27Cm0G6t+RDPxb+77fte0NOa6nL6I+pALuYFI49IkUfbVzQRF+3SOi8/3rRvwUgqSZGv8oXldGhNKeWvfVbpvkO07kKkoegvX+hje2peczmxh4+79IKMBWlzyPdTPdf7NoWKiACiYjog747sdo5HPIdsi6Ns4xGv4eeDY2A2UImlkauIWOo/T7Vxdll3Wf7nvtfOM0LcYTiIgALFlL0Xv/6oH8b1wigUYQBx8qMQEiwMY1KtkBHGFivRhqNG8Yd2qcS9O+hAlok2V0j1xiS7BjcoLzWaRkEeihJ0csbXXzcCPslvS2dJ/dBxSNYd3CyvA5WEhytOBb9PyWBak/+seoUqrXcEpqewPtjXRkMNrKe+w7Y7eq+cGvc9m/nu5LfSZPiVpuzo0Eo9zxM1RjJXHr+MrAsfN064ed3WFn2eUGIJ7uEib1LAbf5lORfpYJp+qsbqD0Nd2pv0MLPZRLLv5hmBIWFzIgmAOo1T4KuG6ZjZpKh/nancujlrcGdRg0Dn4+QkcP3v2fdxu8n04gpOplMke+JtfVNqoP6zxBtF11SKSVZn6F9tQ7H5Auju45uafDVyD8EXKVXnDQQ1W6s5rdQNXEPAXqZ66759B2g5ggWIqznlQtUODJUsj3zNRXLF5NwvFMXpNPVejRWKd+i1F4zOpHOLSRhxdykMFr3eO1FPcdidvUm4AWg0ysC2ju+Q/emAXVPK/TcdFr4zGfOY4DM7yWWtBnHZqdHMHAqZseE34QVuCDcdGJrc4yQ3vpQG1w3Xw4avS0OC9pGw8K/K+UJuxzu5OvgyjhriiP3BdkQbABCXWuTqSCdXHWt4ZaXhR3E5SvMkEp9gauCis5Bc6vKS63m0SeX6xwEciqktLsSNUH+oC+DIBn2gcjJhEFnK8drgyd2zYgGHCYW+3B1XyrZkM6Y772KE2cz6k7bJGSDPNtdCroL/ecxsJ6h4yyT1BAy4McPRfquFAG7Hs1Y5Bua4Isq3x7jm1hQdjQ3DjyCcluHmKyuSibHF3T5R9W5ZKmhNSJ4hUbFRAH4ZHxIt638Hrk7wUVv5HwbMkaL9MLILPfKiz9u6vOXWfNyiUI+pn0b8+fEft8rUr6GYLzZhAqmmGdFyo5k7kBflWDZlmN+4ba8BQ0qnD3XhLjjRsQO7Hl1G+9wcVzCmlX+ze8If2a9pxfroiQ1p0uTLbSV0VgHYpSnmZeEL6Z3mw8Jwl7nNZVFOlvNEZOrCj/t7E07wse7q2UsERRre7ybeqd9f3h0YN1mXdDb0z7uRCvx9Ev0XYi1+t+PnEsl4kyPeedwHwKG7pVPlEUiFW3NiXXdGNJUUVEp8NMq7asM8Tfznp2BmOWr6qVOZoY0tZSalcC6j8+pgwETcajzMY52AnOyYfjF0cWADJkHFSpRR4klbfOudXR8qKdYr+4MTzvcUHQM66wuw5ASbpYfk9Tsv7JNw7NSajOcPXh6Qpxc1rwIjyu+ueiX97QeZjbqk8eOV3D7wq+zYPlzR4e/wzsuJzLw/ATOxJqY/TerqnlynSRCYuC99ImNDLtj7vuDrXCIyaB9TXLeiUPjsgrOTvgaK5Uxc3QnlYVT8YMr8JDgjbPuCDyqwVT7/lAO/MwPs9c6kZCVd40vHuP5Pf95R7yCAyxWwfN1EQlbw/FGlH5+v+iZ2GDYkYMFmqYzUCwyFadL0vmWb5BTj5bwF7yabDGkCGeHxZHkeb474Apzxwdm+Kq6gKdS+hT7CWZss60xw+ZpOq6HGHdLrMq01LiCiJOuBoYv2rA6fRZaRvngWJUsnq35MPeNd5tS37re263DDG+6760UqKx38h07phhuG5+EbjCpbQkdXgCDo1gO+lVAE1ciHIv4ZC/tQGnltWLAPBW3ccY+GNXgHMbdpzIfbbiimVNNmpxapCet0rz6pqqu5p3EMxFcFMe1auwFew/0eJmQUxZwYhgGIRhqwaZ+XivpOnyDOBy6065uKzcZJTT3L4F5vTlmU3M0fv4Fm1vUZ9PU4XPFGzYtUPKLEd/rXtxxlebRmIxOAVyRbUWTHD3EgeD+K0f6l+AttLwLRM3a7WTq7U3Vb/NMQ6BPfwBCk3Fy7ka8cyCdTIC2BjwoZrqzqYcdOl0bJ++xYhStK0i3lUUPO+vbYwPnBGyarQLDFq/+urrltDICgtCY8VkJ759wFPNxDZW9NIy9Qgw8UbmJ/OQSQffSuecQywkKrxmXAt7CjJl1TYQPHAYUn8fjb8nwLoKU7CYs8VpPiWB5zhlbU5tBMLCo9PVQUykLCM8bsObVPix5H0w1JDdc+kljA2QIIyPGBwbFo9Cl8XUxF/mllruW9CUroJ5dKxe5TbjrKOv00HZQ6WItHUXZlWRdYxOSvlqUVeGbCyEA1oPSy5AFgQd6KhRU2c6CeQNv+Fj6d7m2pQkXxV3UQvsZf9CZgZIjqWdY6aJuN22/BsthAw1XTO/V3a9C/2fCKCEKCnOBEqtHVP6jt9YMVXhprQHFtuEYXq6MIybsMuWJBQLAarv7sdPZVCMo+4ZUUfEWULu94JPSVwh6JqHFMwtmwYf/GQKxe6+KKEweqwjSzf7E42KKylStAfSzXOnxIpkynckBWO4huev08xm/XdLaazu+coX7rnXzyplVdcjiqNy2ajFxn0BenTnGG4d0z9jnpAo4shhDgyOm2HWHrFG4j4oxb68L7AKF/PU2abcj/1AvoU96oEf2tdtQy6jANFCQ9zR1zkRcCuEp7B/73gTCXKbzosYvT+urF/LRNiM5zI3RHVqXH4WsnNnbe8a7oHdeIGrv4VMCk8lszh2VNXAnYj9rl2ojmAQymlY8EtNclfuKviNzFEFh0KAhN3pNkks2rLYqwNXDLFhk8fYJZb9hQs8ZSBUKu64/qHb/dXfR5w6Z/3/6AWw68SLJ/Jt7S8Pd+kt0zoyzq0wl8xmFpiTuI/iw+/ubKK/bG5vhdmcxffsYchGTcGgMqptZsShURgCPTK8Ff1p1amS4426eFc053SU+ouI10lzrD0vt9quzaYEnPhTI/U5HZKOJvk589iqEYrdGVpuy21WMOB2UtLTp2E5U82P9J6dtA2iPSq4w8zWy1q4cjmSyq3pvInXP5UTVI9X5MYt1MnqaNUM0GGpyVJh+PzC9pBWM943at5Snicy2nAWxNoB71bak8oBXy3ED47XB23rx+xDR+cvInBH79E+gYVk/P5u2UeD5ZxMJTs9GuV9HeNt2nGbLu0adMuAg6LXcxPaeqeAPX9r+K3RYI/FXKM0WD8y+ArX69w996HSQ8v1A5psFtFCTP3dJQ1jmybkHJyMnCdoukrNuHYuqQWSCIHpGmP9tu2Hi4vrXtyeE1q800D7lJrcd6xssbT3jfLNKe0LYVzLbXBlaDZT/nhrVvQFSs0VCgtPR8DPGWaK966JEacUNEkuhvpH5La2rDE9VdVzAX0BVqnYTFmPnhV5rWSreg4mJz9T+qW1es9xXEA2NysOYYo5ENl0z9dR/wjYbrBeOmFvoYrzFNNVpLYKzfEfGXewHvNTwFQ9B2HhKxzihmZqoBl5nRuOBio5JdmrPUy/cAOyxMoNfS3YzGXyOm9aZv9TB+RCA/OjBva8t9NuyTz4wB+A3XvQu0oJqvj4AVEQ1LctYCCsSbWj0Rc/nL4/A8kKBsyTpH+e/Br6jpBAtA3lRFtvxJXI8dfDXUsGceKdKQcBL45/5GIHTg60tFWT62u6wAzHUXLmMs+t4Qp4Ij7FfHgK/fi0R3qctrtitshdawLmXGlgkc6eM1r2MYJT13+CiEQTqdq0CAI5TDm0PX3606ad5fy5HwXofnCmnqj5mLofESIHI2hthQ6QQQZ0DvuDmxsGP8N3KhtqWpBC6jMina1cvPxm6E2zd12pa/O7aS0tTNEJUUr8RX5030iiw7R87QIc0mwhYIWs4xs2WgmFeVcZAS9KjTYHfoJcHjGixdzEUyd0pFiu6gR88dcxWjA2B2gwhACtzuTjrFTFllfXPFrUdOjxhVSffyWPIvmzek9hHSfeJZRrnKn1fDuCcmv3vnuKoXeLE2VN9dDwN4aRFI06ioB6NqSarKp+P3nlmpBIddJbD+mg6djMN0NRObxSg+5EuzbVcjZWevKQ/WrRW1TLsdX6xhPHtmLRAAYthCXk/mOPKsNSEjvU0Vn+vkBJqwfw3HB7bbPhHisv3mrshE0KeXe4y/ArZIjQhleOFSN3+PbOFcp3Gs5Pw8/DgQFxm6t+CHTFdQPciHgh22XAOB7am9ARKxJeR16G/S8pCg4hTYUli4iQqbQH8jwFi2i1Wh7oDZ/inVIYwBAw7aLfELsl5wcg17Po9gh+e9991v2ArNnUikxhaG8oEJGy/QvS/KQ4KLwa60tVq1eYsa4fterTvZxy1rEVX1EiC+vEbw+LNMz52xlceSRjvA0DGUMDBFuamM1M3zBDWBjaQfm68ErCpmfy2zEe3lWev1HksYICQ4y7TSV2uj9eap2dTZmT6HB8Pk+egEhnuSeCnLrGDhdXlo1vJPAwRtymu9/vWE2jOa4LuRNFxRZ4XndufEYbzNqMJbhFyyTiX7Nxdk10WhVcJeETzVYAcsQIpGC6/vfa1uTYkpWbsQjwFeenBtOZ/sa9l2VB1zXeF0A3ZBpMx8m/NwdK9hVd4345XYwSKZlW4oZeoRSk6y9zNL8H1FW+nbssZPwPIL1/stynAbBKjkuj0VeYOx3O88uT/JXHw4BsHHaTjkWwEqLLGy/g+bQ4HZ0lC9ceFIjv/hIeXNBql8srUQb/ILoSXA3/JIijaNpncoUqszzkEjVpdYBaDWE2ZFIDWFT6FbpIzdEDvLYmd502ESMLTJ7ReA5IHz73FTol2TAQ9rDp3xwT3r/0mRE0ntIGd89OWjilpz7X3QVYzCLm6zn6d/oyI7dEiRp3upvZeXkrGzDTtsNpt9V2CTt79YKZU4Qp85VlqS+YKT8dheDaDa8OTbE84azhtDxWEnJMdDF3W8gPoyDRCiCip6eFatdDmI4+CrCRCbJxTeaffNWIww8h0Ww8CmbDFFcedkvOpjFV7aSIIBLB/Y+5OxAL9Ze76ouTc+RvV24vmWCFuCwge02J2pE9/Z3FSxX+OHKBtKsBN4C4VeKFkKLyjP9QZZpidDhSKHsJLH8wYjzFLmsoAXue1YgiUTokTbSPOJUkYJqhILazIGd+tHDps3XqaqlI0PnF2uGOrVd8/yYA4SpiNmOe7iUpfLoI3BhlbJNBdFcvUrmgcgtdOBqdmzgpToRHeHdgUOPC36qB3nyDFsecluXbAubMkTPNd2p+mSVVzb7shrkbCndnVOiOHPhGRpHjv/+9iv+isqBo3eN6HKe+BBC/Z08hZnNSPewwW90EEzg57D3xqgv+sS1HHREjSAblGouYHKgp+dDhzP70xYHPmynJSJ8qDLfGD3/BxPJqv/Ju1HcjKbxXauNSsue5RBPzgV9t+LJ6lzOqdhdQoS0dfJqaUeAuQBA6OHXasMDQPMAT1crRjHTNJQm4q/paT23hlmZcOwdbgaE24DzudyuPYHvXd4gQgI/ocNzZWiVMor4qTgDaARlU17Jh90h8j4ZsAdjQcvW66hV4RbBBidS6zyuk63uOPnzlcGwezXleAxz5rLoay7ziIsX6Bv4EllQzOLTwSLLLw9zr6L4904qeFgesRLxa5NcuACZmX9DTM/84B3e440kDR4WIHJ3/Mlhm4qMhEcls73INcGPU9RXMGhxb6VN0L5Q7A4SxPSZoM9vn/c1ys42Fa0t/psC8ECY8WKwPj9yh1CqYT54iEg9ithtOjB4G/ZoylNdqTQwCUmqGHg/Bre1j7bbbpA60mIOZ+1i8G3Fh2phDacmItWEy98lvCS2O7YPCtDcmPSDVIFMUtKXMlbdMtqoFSw+bs7IdPIWkdwPx/5RR4JjhM1Amkga/jjADfuYRzx91hz2NsNBb2CC46YISWjncFoAGakOcL7I/19HTez/2oUsVsY6IcyWhqCnxBbqXngG49QvMtxnkqMyvOZ5DOXPL7kcjSqE6Bm+87ZRITiUQkk6GdoqFWK+GwJlZu5RanCyiaUymWflJ4CImk8UsC1sUdCBIY9wUe448INhdBSVRBuq/bJbXqYMwAzUgvVMcuHJGSo/sCWwQ1HowEN5/diMGxKZoBZq6ycpcKH1l6WwzhKrffBQyK8qU+owSgoRKprAcsEySCrQGhHNU/ouBlSi88QmZ1VhSXNek6fS7x4lFuwU/oUqgo5Ge09lVjCPvQl1E885t7dUp+SnNmcvZHxqHj1zHljVyckzVfhxn3DTlBIl5MYf8cHg6IOL9TOzE+tMJL+cXAtxRB3R5Me5y2FsHKorHq74Ty5ejbnklUBuFoy5erjq+T9DShkunPxnF3O85pq+FXYiOMISkXqp5txwNP4RlqZkas8OtJ3bK7zBUgItTjmi2H4fUO9bexvLnIlr90LAQB4VAS7t6KMj8vh0VbLGWC3Q3jiy2+fikTDUwzJbXC3cqqNAnB/tutO9FhjGJzcKdOgAbuXqYFOUztgv7A7BvjDp+j0I5qgVJglNF5DhsNIR8MiK8tugIUBnhzoQDEfansNtiuE7CxjPLBkVmiArgDtaeGGlBq84JK1D8s/Gy+Oso0dWPWDOKeZLbDXnCAh1Nga8l/U1hH/zTDvojIYr5oqoB14VpSeQKfeA1qccGLFmF873hLslOvYww5C6Hl+EpEVD/3Fu27QZ5Yv+pVtIlt6FDxQ1b/9nE4zJeU3EmhdAMmzqTtmg1RPM/GSctC/uT0Za/5kdWxgk6VFU0CpTaeCptGjD68HvcU+VlvTqshEw7iA+BludFXryf1BpkfmAX2Qq+bBVtfrW5iCEqKnX0iDfpSlRKyByyjuZHj00el+ZZrEFIupxoivSiL+3jdrEogk4Z64M3KhDum5s37uLCHnH2XcYmMe9rcEsiu3BPrMzglsLunNuVvr5momELUkN7qUvJNAHAqO2NSnPI7nS5ZX7h2qSLBDYbjIziRXazKAcdlDX8BaXkEA6WcxahKivAvJPupsdjYvODLSid8AkXmYGgTDHOYxVaS/DQZW4qwvTRSUj9M+H0Vzy9dn59J8asMjUiJjpCbIK9iI3dxe7ytCt1NL45G68tEk5Fs+s89Wtid+9LPguyVqn2gDm7ceGpOXZTOjahJ4r3Qv0nhRqA4+AhMpic3cU4hF+diaKY3dGs6T/AkdLyrIZoYYpIGhuBy0eg1H03nZD1w3sIDLKThNz6Vp8T7uuMEkL9eD4VEfzmMtOLRKAR+UFNrnIXiyAjt7QZMsvLLlAoCtjuuElsBCganXftgfBIQETT1IVC7Wley+AnASLYDO7aEgUXj7Xin5tNJkr+RZ/f9N2nMl5+f6ETbQ/HaNJrxfWE6Nw1APJ9nCedb5oQ25yNnQoyM8NurauvyHZQjM5CSKAKZuWxzlgQlN/KNmK3MbzET3DLiuzE+hoUkgDHM4hb3mfSzYYpij2agmwVTjrwTgsgkSmV6Nnsq33AxWFigD2uBmHCvSbDuzPy9QWZRKD+sEgrweqEaggHXeEe2+k11XZs0P1FBNR97T2hHCQzUo3jHc5iVw/7pqHEvDM75pLS6yiPp2sMKDtmgyYKyAJPwef1VS4SyG4CASAb1CxPdguv7kkhksjV/l1hckpZ2NCflgA2fWQA36JCpHWNKI6M5YnC5tXLG7EZOO/pIITzVEaHv/2MjysF9gS49Z9ya01AdMWff3EivHHMI1Q9CP23wLmW0q1Bffwvd6LSSGKpPdw0wc+LnwZNKRe7NrGGriCG/Naz3wJpG5SGmLkmkyRbB+xbS/SQ+lL9Bu37XNaBp31wYfHVnGj4G/JEBKk4hhGQW6YJ1mvLTFhBrDSluxcErfhSBFmjqjhDC/hfmgMIypO4UtZTZju5vPJeMDK8m+a5Wjr+yIupCMgAdnEMEmjo8gYd+gnLH3TGSqrzDn5kLjpPf2KYG8N+oV3oZ8BSkO7JjWxlE73f4RngUKNxpBe9KZIXe24bQZr6bS3PX53Ws4z3LEMUTtjLTHPSrN62MUN7QwNqIKm01xmkLDf9aJYOCA+OzkON4tl48LTTZ/wtPUVAgLJQ/WuLB6TL5diawtZ+QHJtubWUxyl0oMbd+t2CyCbzpZh/NoXY3GcD+cr4VnVa9/Z9zYRQzqKXK/zanpvlon+NWaPeVEmv/OpUEW8wcfsLowGOVhv6T7L69eHPdiTqHav/SJrru4tMVLRavlgyr4NhMpwtgo4XqYci4RxdxYFv4C2+jdvEd+LmQrO3rMU5PafxQY2M51wnbvJeRn6rFr5IyABtRGkkeqKGjObJxQ43rrL1AdAJmv3hqfVP6KbdKbA5G45fb6VhaFNQhsUBBeA5lRPO8EeBuLL4rf3eYVmtTscXabs8xi8TEXsiuBPpceZBor/fiRoSDgch70buBL0jspz0XCaWqIXD/2hnlWTvUlIEjznivVJEK+52V/uvmJFYn3HeRdwWOL/NLfLDrinGZvej2u1U0MwqOLbBG2EQN0G847tHqb5ZL//fJF4gEU4fkJf7gWL99PltAwHi5+io9zBtSazXCLpH+cokWTl0u8nK6+4XpTwmENXvaPGQmCps9/0ymrT74s3jgqlRg0JbkfaTWnDu5ZtBuMntKP28DnYL514jLkOD/jnzG4JunwjBmdAUqI0jsbEg5ukwBXY7NtQ5O0MbDUztok3nKpaSMSbPytgNHVmYVvFd1HC3LnJ1rRwYNa70Hyyvnu4+pjss4Zd/QFNYsK6QMxI8iHwtx7TwEAqx4Yq+dc7qS4vsyhdTrTGL0GMkZQQKdmr3T6k1YxO1iXJJx9ksuhjzZlfSb5quacRUkyRwwqHgJyyIymKGGFLd1gOJJ/Aisj4Nf50BHDiOWZXTbjbNnZ+P/s0QC/wUNqesP8AQT220OeepSRPvWxuV6Wi1s0YLSl08IerO/NLzaY8qJ74a6SP4bXeJ4nKgTNt9/IEcVRWrYvqTR6fg+bgkW4i4tLTHZbJlJFXN+gyAB4JmlTn+yc+ZytfE5UmHiwSax33G0JSjYEfNGfCi9QNdPEuBWa33UeqxyouMAHCaEU1L+I/4+uN7JenmyvsATYFfBpLzxsVC8JARhP33FeJDnwcV9lw2RNZhkSLb6AgBmWNNENn0ARpYB21Wucnuv4ZGbp7IA3zrn1GhtpyaNhvkvI96I+020An/xngltErefXhcWB7epMPGjjfQgW9IY4G17bbMo9yzLaXmz5i1Vf68R+HvR8zWl8Ig134aJtfV0PkySad6E7XIzL9oJgfCfN1jla54F8zzJkSvNLIR5qhqGD4xd+fOASdOOFnJ+HV3c0Uf+fjIzq14G8czuN8Ts5V8U9kbnANfA1Y36lFTWijpxGJ/qoRDzzHc8d+UlKfal2hBK36zoE25Rz3whD4krYtEcEr62WuYHUoNYUfWYqJeqSOjGFMP7s4O++yJQdFPXMcpqC8gAQ01r9EWIpjKGIBTmXWsrNgT4me7A35ys5HSBspVXLaiHDzJNp9DdjLB34CB9awjawQsA5jRdwfWtwDIb2uKl7fYzo7uvzS798JsHmucn9lAidNJzmCrJtAEPzdffnMtjsCuhUoTVJqcUkRDI0dDiSJz3CD2IfvGy0ITyrVIYlUnq8OGA3HG/ZwIDE9g/SqWZ1XRj9ZyxUxV6OBS4FhUMiuOl/6yrx5OPO2C6fxEKg4Mez//iLt0FjADF9A/vc7dyT/DLiULsI/mA8UTIPo/aVj03aPW/LMEixNX6VNZCWGCCyPlyP8YLL+9uvo22j+ROcGwCESLqQTNXn5l1qZtYMdj1ONS308ZRDp5iC1FJHOPmY+SDacpX7HXTK0lUPurttUk1dkU9zzyib+5SF3/7JPcZ2eRDHuL3jGp6tJvJqiOdxXEHg1W5PlBbVkM2xzQ/ca+b7UviaHptQO+zUenk/PuHh0Tgvv4kM7SfLd3K6+rp6Yxrj5kKNKbaTFhixDyRc8a3aGPg6H6nlDcL27Nmi2pgGV7vbwvC/9Cvvo6P0GqxlhyBREqVABkYDT02X+z2zAr1hykugfNdxhlFKYbNqXo4HyjLEzoluPjV2I9TfYNITS0W724pRIsIDkc+xIsv5b0azjV6EASUOm+eJCYQiNASbPU732uNsO6UTV5XNzR51JONr5r5jUOjGT7EbyWskKI9MlvLCcADZSQ9E7vo+oJi658LGky7rhjmL2orwlzf9Ww+rR5LbR/pEV6jErXWfByQ0UZD4dt9KGSfXzGPYUPKg8y46CShltZXmg8cJ3BHSpxi+mMUOFYWzqOHNsJUYQAXJN3e0Ry6PKbLF4pFr+RCNbKCSD7D0VU4S9Ca6VWS9TYEV66yV8ruWjmUi2iJQeBBXLWMbETT8c5DgtgiOrZoiTxq/68eXqpTNNIfbYEfW+I63j8rUwguyzxig2FP3B9sKKBop0PYzgZR0d3fuYLHO8TwRKwY9bziwZdM2EauNTr3MYr/VW3i9Z1/bnqkysgrClX5MUr63UAthuk5JqM6PwJ718R3k+OBj5Etu4Kx6JNKR+LdEGu7ru2VpjrYGOlzi0qmoBrgnQKrwRlIIhjFslbDWUbLc9Z68CDdKDM/efzuZNS/I42tInzQ7E0P9DyDKc9CUtoPSF+CA4e/dS6Y0xJEs1U+lAw7IK3g2afcVoAw3X4X+ibR81YwsB1vChNcNgtz7/lzrdllwbDmC+MmukcXwKwy+99ueOgc9EkcrKf3Rsff4H7XX5sXY8pvWIdfDqldZ6RH7vX0+Fq264jmBOHqyw//d31hNi7IbkQKoqedLu8Ju0CrDEBGCgbQEtE6SaNk/aW1YC7hcWSfWl5d3KZI6RipRk8oVmIUnotekTBBL1/02mAlfhgzELRvLoCTu5EIZtRuldBBHuDSlkNn5MPrDNudoDeyK6u2ORnM+j4oRk0PLzhBXmC831S2I6qAL3Qacdmxip/MSqrxLJ8yRD9PnX8IeE3J8JXKQJ7McnGzvFm285MBzfgWQwfeC44i6KJrdm9JubIEIyKFtcS8a8+gpoQul4Xat6NCXJFETcUtV7FmFE34y3k2aEXkZ5+4SP6JFIJtGEUBbZwpY9SSQL+NV/1B/bsuGsgM9vwAbfiYwG/yJXW14kC+L1D8mRZSjetY5MhrdiUF6rcZRlnJV6QeNJHdxMpngxcQQVHPptOkIvfumpC8OYqOUsxqZ3o8aA1QvQPG3u5n2iYQDlJuR7BLncyAWt6Cw471cOHQUGddxSktOw07xpXSF1cN0LkYjZ8WbolkrrIVxKU+/EMAnS3AMYrCv5QuApYH6SiIqIsSv6aVuBY3O1xhOhePrSromgmvwB4EbE/P4XBWRXikSS665ep3L7Gp0XaZNEoAR17pvCpjF6PIrgIRz+VbcCFmT5RpjT/dYF9livrZlSNsIQPnwN80cy8zal5fZN34s2bNIJs6LYSy+/vuTddqEcV3qy2RSGB9a/l4H5fLXWrpsjAm2LUhtdJY9bGllJCH3h12zhDmxLDQhge28SaJUMLhI0r/wCOqfzcYgRVBARVmHsoPRAW9QgXS3aS5Nt40X4rgIOC2wYcKFVqdxw2w8Cwd9WIjipVCw4HrQW45VaqNmGfxBGh+4Redm11aeMLCQu+TSVevtWPK3cTGks2rBk005UUZ1Atrmczo7QgIGBqkGzAk9nxPDzycifGhif+eQZxuWgwDx9u4dv3yibDwciTJ0tjBCfv/d9bpOmQhPFE8APNF2hPGIH6iyCjeLU6bL8J2i0KhRp8dK/MEC95sqQBIaQunO7bVllNT4pLh9ShP+kBkBz0XuSAQW2wHWb5hoE2vCADrG02QQ56zd2LtCLTWCfxht0pNYXeO6tSjaBBWct0uAPEyUgMJRo+scshHZWwRsVTanRKjPUrHJhv0w8JZaZHDgSJpGAR2/xuPkRWQogpX5Q47JiqNsyxnKlgfarZlDmMe7rev/0KtS+bjiouiGO+vwchTXkdFKtmYeZ6C6vB7jr8Ds0SqOV9Vx3pw1MzqyeBvZPHiOwtFX4f26YSG/HPDdYjwBS4LfkFT21zTgVum/uNAb4HccOwmVXsgumBIrmbTGQ9JpeGkHiUhG8SAfSigtVGrKJHWhT4u600jCg5MgPigDEg//LbpF33E9vCHSqoyyqR0SHyO/lb0bqV6MKVm5L5Tlib7Se8N4hAaz3g4buZ1ycfLDB0Vwl1SMQfjCDEgmgQ3zMH5feH/FrinrPAAfWHNCMVxLeRBpEPaMtPx1co1NafripyOHo+p+TLIqjGULdJuSYuXiUbQzbiU+WjIvVv6jAe1OxYBc0c4t8TarIGAC+VAyB5tVVP1uPtEh9fSTEr3GeUzjgshwfaQFZpH5bR7TQNR1AkOV0IurhTjkge/FH+zlrvRDq38yxBONi/HoqK2i9K+08PoHxw5/A2vg1JN6+MgxUZ2W1coBJw6KUoe/JqoX3h0EzDUzKxO9TT0Qz7BPLEapxqH4ULrxBqeVgZRMAaME3gx7+N/r4C5corWBoI7tldNK5Mc6BMonS+RUpIWYWepbv4GzvgOKP37jYSnGHGNqw8cWFjt+4nNNiE4rXW9rFZp6eOVq9eI8ytMW4v9gBcuZInxJBvkWea288fBn5LKWcXAxH422+BKDTXxWbPejRNoAQnuTepVQJ96pu9BBLDCvq6GM9nAYQLu/8niioElZK4+SemyFa8wm/kZxTd49OTrmrCHVDyRQ8vCHMuNanhkNs+40+MmRSGM28pFkDvpSL4XGG/1Li1OzW9lL+3zCTjpNhujvZxcmGO5BFEIqve4M5G2N1qs21ZUogE1NGUgLsK+oO4ry9NoLymh1GZ4/bHBj0w8or+rQHj8UVv40ATrJjS721qZgkFL4fMRlAJ89WtV0pf8luwTuBl4hriI69amr/Nf4XgGSIdNG1FD6yoMud61O8lQFfEfJPDTtmSJ8U4IQ039IWeSQN92IeskacEGxtSzA2DHnTPlZoQlBRA6Xj5lfCCvl8WdHh2PMwc/xWVNKTjXqnOXPZPTvmal7AQzq1Euo+95UYLMMBEO5qMSLuKUfU/oh9kS/vOi6do8fDlBqRI3o4Si1Cj2/oq/I/FyFOw4IUp03SnpKA5gLx0WGT8wGqXm4on5cbO0VCaskO8hYzyGo5GhXCXu6LoY3CLTwWv6tH34hg/e+EEsAXh7UGkyVDTlIOr5GYaC5pEvh/BFVPf15hAT+uijfblyJcVx+x8KPBhUA2JeLZXRxq5PU6Svs7hfr66xyLQNy58g2Fz8I/MJ6AWrJDxeIDFphQMYN7eQB5q8e9NjIOO6aXA8nRghhmBIvYxKGwFFSAfOSakBKqwLkhFsZEwAZ1f9eYC0R5yWHVTBwr2wOsIY4b3qrh6fyxA1zItPTVP0oMDzmpx4LcLDVbih1kKLb0/KmJKhf32ApmuDgemDfvgP9Br6TmDyCZGAGWaFlrISh+dFBYhBS+MCvDUcoCFDSyEH+BRbdF3pIDC1PB1Vkp/geCMlV5JSMSxyScH+lpmSorCIKzEK5/ckvybFW0HWiXRnmQEX9NVl8HE/t8zPBF82NSDat6utqj7hriig0rA7UlWOcu6pY6JUtFKjrfkonhopva8eaTa5gD93dcLug4/dLMPCSm7U6tm/yRzJDJnX3LBCGqWxtIG84DiRQdA0wyzrpEqxGeSv1BiRfzdDdiidjclxnl+bqGm8VzX+wpSDkc6C6f7ylfQSUxu+G9UPya56BKx7l3Og2fM5XD8nBKeqkQuXFByDBmj1HR2WElzki/lzbj0V2q622gVDikd1HNC2LvWZEGGhl1r/gT8xoH5kGJciv784pCxoBBpVIATc1lbRVHSbp8ybu2XW38cRSWsZ86f/EiKvrXgBlDK7azZI3X3QdKo7nhpthBinhFYyrkN4i75d1HGibVXk8Uufzg083qKcZ2kY9gclmYaaMLoaT8no8dCUnjyxfHXDxThoXBEp/w++e2IplBlHP0LhAnjxTh6lznaxbH7YHrFkOJUmCFXnEPVLWahOZYexb4K8wZH+nSZ8KhZYRUCnas74QsnFqfQEHh3NAxjyNzH+J3CPboCOYOTjDYbISyH+kyisthxz5xiHPszO8h2R9PjYb9XfPvDnu1JGam4/Ep7Xtu8tqBdKiq6LSMmkAJxdFIssNz6/cwRMOI84zOWsSTVJC+ok2NI1uL5ZeFKBWtYLlTA+TzkgWPtq7xuwW6Uz22E/zCyx+yxuCwlWxC0nkdb+QmPpO82x1iMOvcsVseLWrjPNW0Cejz5gt0yGW9zFOQX8dmB9X9DnAHs6m7FUnMBkpsCLuX5+/qccLpRl+LzkaU3s/GP/44kG6VtIbn2gmcueMT/bmQ9cV5c/0wOkVfAEWvbuzvGtfUv+ktboq8kDYfBdPTkOzjMHsp7A2fabzFZjRmw0ykRqpM720TBCiapNfts1OzxHiz2lMRaP77hnSYInn84EOOGPWUGMVZEF3e71q0mY1ey22EAjtSUsQ8OUS53+4z4ZpMFNo1N4Nz7523Sv23lgeWHu5MYcyTspqNTaXM3DvdACTWd5b3pcF9AgvNrttx0qo9xolDr2ZRhlvjlalqoC4hSck3fMoXe/x9LrDwl/xw/Ce2wUZ66NqiSacor3IcF08aViwmV9Pqxml3Jo+9/lCQyXd5rTkfRsABEg92ToHMuvPxW9L1/mOJ6AWpnSmgoFYwXc5NDqtjbB5HGPdsp7ejl+fSHvtVqo4cjq3HZC3BlINDFvbabxJLjHLUhyf8GQN8FORPxRdXoMHLVLAe7dbRKLvC5PAqb5qomDMI67LEx5XFgJfk1/9Ip/lOGNJg1OSO5xx/DsugtmxrgWo1dauKywjCViYtK5dOh8jAEWZRhR/MnZfnOW6a8+ddX/qOyU4C6MN/Cex6ZJjny2RFwePcqTlXN8ZEGOQyrth3LVNo9B3nSvwwjC61Cpj7ZN7LJC0DyK0JjBGhEwyO8BwXkxzxti0tdS1Ul2RzhSOoyyC0Z8U8sCtqkD1db0OMV2XrGux1Qf2Ih8sZxDEV9NOpsA8oD1FXneeRSoEv6UJM/tPYXuES+3MEkvujvUq/2kG3RCXrMoZOsRJVLyEGRnmRjolBHwOR2T7WlQOAILAMq30P7OocBMhzFBACNyg6H2hefHX4IgX0DfCNCBOq343yy/CPsw9npBTRiyF4oLpbtpb9pfltOCeXvDPal5/QIGtPk+k4OdO7dLdO2vr9rLuVTiwkveegitgML0z/1RKqsZUMkAP57D1577oskrZMmsui4kK+jotLU7bke5l2YTIiQF3D14UKu8jtSsitTShDHz9Vyd4Rk+z6Z3pVwca3D65VjQCuDusbtlpsazktflOamRkTvukt637WFiBadRBZFc1uvDsjANiidR8qgAan3Ubu1o0buY3toHtDeWfVhDBWbS4kI7yOEBplZjMNmDEdzDIgEp+D6a1ymlVl8rRBmSpM7etfn/q6IdZAJbvdz05mndMp3NnBc1fwwSQcxuIveN2MHMAMwh/5b+sxZss2Rd5LAbR5R5eHKVHmMjH9zbuQYQN3/tzKK641snDW9VgBIhduT1gihoo8x1y4te9VrzG3dpe18L3Kk61x3w0xUdlWPY6ilMFA4ZXKjujOZs+jaM2zuyAV0tBbFI8kw4EDxsUk4ePWj/GacZ6AL+uBqo0ZTVUXCbcT2sAppefkSmI+eiuts//RaxOOfjZUEbtjK8rsi+y6szzh+TP2CNdLQevFXcqyf5CL68RO6hy01Ev1YihHMmu19Enaa7URUH9e2TTdAUYH9qeHYgQEGcyKcqrC+91FxA9Yafn3cu/ZbotUOk2Q49uilESbrBLQlLmae86BKqOIi6kLqoxhztC1adLnXJrDAP/BTJ57xs0QO8Uwj2fG/InxAX4H8vc5nfrWNgAmeHm3vE230gny3gWD2hrohCVX1F0QFFzPmt5w6kE5HPxv2N722lcTLPlhIO0NXlU1AidVQWwrHl2lztQNto2YlLQ+efhLv4xndEzuGtnNsI9NGGmG3HAu70CNsX4Vr12N98J+LPoqU4fNUO+fijqoco6AmjNxAkJbJgUE2v9nNkSMEDXCgbGZ02X5WjOv5SOgFGGkl6D1nuvcvw0fDJymIHBWUW4FS2Qid4wMUDuCOKklT+KOW9UVnM7xD2/R2pcFLWbp7UipgicZmIwP3gnqAG3/RZk+VBDNiWWw7eKJ+/4qtlEpUsd9lIbxfluS4EywnT9dpjjJ1pQfkD4okwrSymn6JeN25QxBIRksagwSq5Y0YTZQrVso/mjYiGigi0gjway13XGJvE2pstTsxZaSuFQzpMTmXUPqaf+hB32BFi8ZnLVqOMcMxy2hasafLWAxReDY317pBd2ai1mIHJZHwzv5YCzpF6jzwvEvPFWhN3DPppUJRNWUgXbXy1bInLoVs5KEN//ox68iDKPrNH57Nfl8vO/ziToEKe/JRvDFmGz4amlI3oH9rL61VYB5HLGwcJR2JLkjUuV8R/RUM7K24fLONWWde4gb/acZe8s0e55a157gMopD+SXMScdBNkuxOg7SyJSeCqMJnB1M+rAzYzEJovWvdrLqHuTpXUFO4IZKc/gZLW3jcxF+YR44v3UYPTQUGfAoDvDg5nwLE80yRioSQj+BB/gGLk7th1kFa8CDoX8ZnWG2NnxVVtA1pQUOuVabXDMvq+p/wkWF3pdgRB4ty0BXUaBkbLMgkvWoJeSwA5HsT5SYBeL0nWnA1L0BucAtXzsCTxeWC4iVyj9LaOpHBhq27FLdml/XolVATnSR96mYA2n5V8kfbbVJjIj4b9pkiksiK9yox3HQKksg+QM95ZbkwRdkRalQ3nhaKaSufYerxYUJZ74IVl7CMQkxuFqlnEomCGdOlzZJ0391UoK2DJhWy8GTo1QBRZjEimSm6pKKpUZJaNXmV9t6BTWcFkNyW653WmfmITOm+WBNjehOWtNBlgtAxI06sPUbvmZnRkUWRMxQhoQZbiSzjENm+NU1vvLvJKrqRU9Lc+ojrj3vLzAg/WULHc6iRZx4fSr00lDFaJf8jmewAlHuhxSvjQEBeh1CHxIom1oWW1W5oYUdTZcbrQx3yeN/VWWOQtCD+tgrJhGFlp/s5NLfam+ugvtnRKEc4DwHmY1+sleuxn5FOEtV8oC9MCGGsNlMCVcvMPlfRxH4dVmoqsTW7AjanLrWyBeufTZVJEUb26OB3hCu45ugbIkDTKVTLANBjSsCNL6il7vythLVJOCPXWdGgq1KBn5vRlbAFdpHN8twtCFFUfUeU5pDqJwJYPbHBk4BGM3xqZ5KdTVs3f3EbfsPKDqfon7gqR44MYRAWieHUtFMxMcrKHQmpwH/l9VN3yh19r7+81QcuITDhEOVRV7e9WVlSavZUQI3WdQnSTGHKMnbq1y93kWeXrKTxThBf7ewgM9wib9FB6n4mDW4GNxJ/+XfZy36bFlX94qVf2w7xIOC2EpmmMJMJ43hZyntDJm6wzQh3aen/CH4aHxl93E02a38GpN6/0tnSAx2khkS+NuJN0O2X+8aq6zs2vPn7DnLbZL1M7dQsqldubUchkAIvBs0E0lg7Uo1WG3UD+P1JIVc7fpIT19uWidf4a35GkiF9DdQzPNR1vhD4H9tUHrYc2f0V7c+0wk8XHiFPDR2AgVgdBc8l386KvSprEbLF66nDbSJSKvENWQzv9PKxfWAM4MfoLzhcZTqOd2DhZf6BMveHB60NMJqw5ih2gRPbo5m/BDg/Z7iziGPPsTxzCUTBqCyLZz2wD46d91jxOhefCj+OfOKEYsyaiZAkg86zfaTIk2rjUg8CqtzoMcCr2S5fFDzXCmTwz6ZaiFZDHI2SUOUgn9qI4h0/on4Lh7O8jfCqk4PTzYn9dYMc83RKSE91+BZBNCxJww6wxTbOxbw8jayw3PIDt+0TPc5oKhxQt0cVds1dxlEYBfQBOwok3X+yxSBVl5wXkenuawdI3JxmHgrTGpVXIUBsaeGQceksJIj5ykrtbMXehA5OawdRDEsERjedj3Z8QIdrIQiNilVp1EGsim5wycdZAvm6C7Xz4IoBZlWIQKO0/sXXANesq5kVrSaydC9yZ5PIvPsCOQsfxFd4P8Rc8d1GWX2sJr8qRVmzCP7+Z4r44bU88mHDx1DDqF69G2h5b52QvDFdlW1ChTHCvg0yI7ePmFdC6MVy2QPPbUOMpPIS9kaz5vWxd2FiJnCcODG6/a3DEoplQtleDSps3FRcF2YY/M022EF4dMymt6LBmXNE6cld1Rw7gVSJCkPb5eJbc0jQ/a7ziGeDOk+rNyRGHI7q8zl19dlDdGwmLY0lH72R2PwzVeCqmkUfxWQa1uN1yrWfol6Byho/zg53mnbE5d4R594Un8/ObNsbwJKVX29AdOgAvHdPjthCAZ+OigfMhmYm1aAhYaSAfitB+oFt3sfYqBxyvP6KSPL9HsjQUuDHO93++U15m8zx8gMLkp8aXath5IzoOsv1gx4NUQJ3BPdT+J3RcdYbG4JIxQJDvpeTYzy+rSsEA/H5RMs0BSJgJ8QvP+U6k7LdA16DrmWKDSZeD0MP3Xypxw9P3Wv2WJiWHUYWz2DOlltUAvID/8Pkb+/Sh7VA7L9VMc8/bsqzQPJtqo+yb0SF3efm+X+ILQ8VNtv1wqJ50doviPg8HxTRvZRnuLBe2z7i7y5aY5QEbPWr7bRCS1kChihZ1Lxm5RIqh9FXn2MJ1+gIEKgY4Kj4ELRQfx1SLEC5u0du2xOwE14zr43mt2lalzkTwPJHKcw4B2q5E+DKEY5nzXIdzhMqiu/TWNt4FZOWSpqh7RibFwY4IKv/m+/yQ3pysdWYqpSrnm45xLR+N+CqomtFd6w3NcDesHo843qxGaGCGxgOBsHQ6oZSmvRIU6XGr4wHL8dkeGdSGMbIFyuziCtNGvVTvX4a37N6j7xTY5ewd30U+iHM5t55gYmYVdrLFIEyVQDbVFPnZ11Xuty9tkCBHbh+qW32CukFq6jaZEKbwZG0fmKqXTvqNcHsEk6EHTTtO/WWBHeXjaOfMvF+QeHi27SMvXPr6lCU3B4gO3s1KPpEMpsm3xyp2DSSnV+ZY/jihV22MCfzo7+0QwHdLO2MfictEXEj+tfA1mvvTgzjJzOXcGADas42myBSEBhYmmhj5KyPLE+jG8d/gk9NS/mVYneIbazwJlY6/1NjOAVkt5Y/wZAT0ih30vzxdZTVu2KZRohtH+VZUQ5ReHPHq06WYQifu+kDf+SFf8dwOZRpsPGrnKMhq8mWztAcVQOdEVDknYo0G32im4GU1XzNrkpKZXNmGYUu/NPYHzjFfz+UmJVqwRAveUhrA8uOgKVGoiYdT3xtbKKSTTGRwWvbwQp2+R30r9CNWMayXf9CNlj9V9ZKw2o3HXRtTdvGmbk0m2fejubZlJSbaegOGt2b0PDAFZugsR5n0FXqXsUwvbPb4Oq+79cUhc9MrSSDGLth4Yq8hnBJHYHzEOuDGrhoIHhv/9M5FtkvRilxG68EQP1JZP7fDj7B98JzNt3ID5KONtl8/U9ofmjMOSi3WPLmVRq+0OLhdiNflDgGqZQhgq3Gw60KFpB8GDu9MvJsWv2aDwd39Vrg2xINNTgXL+MuIyvrQXPH4uJVGanianz5u2Y1XAIOfgFj+lJM3z2m/3VXSrkFeiD9NufwXARt4YNyrkR2ULfkErQ7MaPaavOoPGPC9VOYaP7nkFzimPcw1K6sAqNL1uhta+TzWd88J/ufDnIjXeYgHDJSUtCkiyJIFZT2anEezE7T7A0PknijOYsDj831CIsHY1by72JCMtBPvLCv3CkyxfWv/0CrIm7bT37pdltFSQZoxChCdKzLg1tLyFavDQwHpMDJfpCZ0UX9N4Y4cckjvwgiYPFT/lslIpKXUCvRiuyMpma6EH0IjynIHQhtYEBN3hlhwe7OKVYfOJ708VTgnc3uuBCELcAMTMu1+EDukPKB9v274UJH3g39UK+/6Cc/bFfrShQThIEbGYRug8dfKIZdzjoGWDcy16yosvLOzQeVUE7ro+ZydaWsLsjdPHWKKnrxn0bIFwdJAtAQucIWEjjgAszlBVPwYapwByo6uAUWbX8jVHHrMYtjR7JSzbHuRer62eGcqM326wtgfK1U1wiiU+4kztne/JYSDQBq3EqRiO6AG9V1H1hq4Du15F5bmQnMf3TBZ3m9bf1pJr8oVmTkckaIRho/ZftUlhZ2FDq5PSFacWNpm+MD0W8Jhti5r3NahttvhEgAsqyBJdQIrLv37dBLuuV0PY+MLcmCemtGqlQAqC0GbzWlNNNtZIUrB3QacG7NK6cJENSOcEcnMqTgrkVvIMLn42Fa6EV6dHrsc85KC/wKtc7b2pM+aUhwhUPHDXYsbEAsFj71Zje6+2tLZtliqi58dmGqcvalZqxn350xKoXm/x8tcnjhnAgNSCaQ60tPL+CwQzrnZ6b5vCDuaxQwvGSUp+toOt3rmF7IHy/zZkVmqfYfbrMtuTofe4Ztge2o8d6MG8Nl7zfaO5o/mw4vdzIRXC+hptPp2O/RmAlRQntfYlvop8vbuW1A1PK8BeMkja5CxSdw6BOlLctahMD/3Yy4ULzyjNyuAT2+xh424OucAFJWD++dO8VeTf0ao6C2Y1I5r/B1uqdnpa2bukY1qPfhlxiZw/8Bkg6k0hXmxdwaEmhYVsWJY8bshbeAREL18LKwtnFYSWcErCSUE2limkCF7T6ggIDlgkCuoF4qW8OHQUeYi0xxls7HJQB+5sADOdQSd7hODYIKL2I1HQcXQ+70+NJDE5TS+mvNkbWjnukiECnQbVZLe8XzGMuxiMOvOwvyfG0yKOKfgPP1x1en/M3ZJgAVXCzYM8F/d+0RBmmeK31+sJRIQEUfHHPba/tiJ9JRzoC5TqS1OnbkyDNPlW4K4jslke7gJ3RTyfYTVairpqHzGIgWQYvU6hY2LfqXk1C6LdsrPpQGsYy85gxXrJq4eaVRl7rTZ/EwlTDOuB4QejdKCST3KsFOseV+bBc8TxP1F32F4hiNsdxUTkeDjx3G9U8RytIF0yPMpPsAcMRjkM+JhZ6oYNOxWJIdrfsxKQI5tTrytdGLXZxgNSJt7QICYMmBDYcMM/4hIG4OazgfP5qWTXp1P4wHGdcEga3JLwb9aZ9Q613PrfWd89EGRmGSF2HaIcb7uae7BpRcKgC1CJe8njDCWxoVJoaOLNVziXRdntEBb/AQBshpz1AnfDS2rLzRdSLDOf9WRnyB0owGP3TrwcdD9fFHFT5vopSzl9wr80Y/U4CGtTjTfFnnlNWvTUbqtRvkDkcjk+Ivb2GC3MOINq8SuuAmABsI8Rnudbh3sch4yumwo6KVbv1qQxDgtCJVJywNH8cFinkmMD8DKgHeAQIeYBUP+QaLISUV8lHaihSU49X3XiMsYGYoHwifZWAuYdVgESsG0zsQVshP2EiudeP6PCizbtK1/4G6ZiuXgOA7kQS2kqCDP2SH1/nlhR4gScwN68Foh04R9InbQxYHv2TyVwvaMeHYIy8Qac0NWAczvXXaY6yap3WjclEH0SWVW23Gopocg4uaPujw0rfGo5Gl/XgYytEo+NebFiSty1uT9vxx8DUizVNECeitVyK+YPouWfY1KeNwkL8Y2B4FO42rpkBXKr3xlLUrF4dJXyAA/XPIOSzrxbQcDQNmeTT6DfAN4mLjl7dj55FROjIHlTXaw0ZdSuzEe8g3oqcQ0uEfa0k/kDG6jOfRiYoN5XTzZhQmUpzny5n2el/Qs4sJuNMfxih8lPdtLRg/J8mfthbXFY3aJhFE/hwTiy/KwfRXYO3kXBIqGSrJGCMAyUFRk1qe4n/riYreDFIFgAOjIDVA25uZ0aBcmEuvj8blzqfY3UZtmAllP1OO/SUcsuSZrfRo0M0XdvnB2eA8M/ZWRxYZkQuimw2Q6Tqtd8wNJ8nqRiFx7FqdcocQN7GQ6YwWasHZN4MlsPIF0pL3G0iiTPikbFTog0bfZ5CW4kNdrRF4ZPpiTeyNo0mti7gxgsTskm9MLNcf1puWzn0VPFvO0HwXZrTia8qKtsxVHtdlw6ylMWZhT9vgywLLGkLtKAEYMiTRN+vonnoUuOWEOY8VKRE6aL8Pf6b3u19P3JBGaLKXviN7hXWeK248jBLFxv3NA2OFPaRPQA2gFK2V/g6lkVawD+JRXMlndjj2+Eyl7vIijn7to+nRSRKRoh/j1xZre3Aydrl4BNEAb3mfN5fp4wmPCw/MHMZU0JJ/D0xfRTctReLlhCL5ZyvVzhFyP7moti0cMz12Z/zF89hr05da/tCi8ZynVKJKSSncyTADuQt9STGqAQmp9fGOL1ClLNyQ4mzLY1hYQE7/nE6HBC5dErvJrcI/wIeDPpkF65e9WdyS/SVQNHMxvHp0rvsXvISdN15ascMLjns3w6h9eshBVxctZ8yKA3V8/FOcmjPI2ZY/rm/0GlP4UQH0Mq8KoFiLg99gTDPP8CI3dN20bOcY30XJ+jTd+wsE23uP9glWlVH6WgAkoFGvFofTbDlHHF/jsYJ4NEaOH/MorqkAat4PI+PmG8gMBnQQkME2ku42cZFk7dXqjJtqXkkfRI2KNUjKHHmgEbbp9u+qpkkbkjioYcDwult024yjEq3kSOBh+mmqF/2ynZWpHn1Ms/dH55New95z+DDAstieWKvA5tXrEwBlBvqVhVS1gS831cA/yF7d+dOBm9jgHenhoQSyVdhPH+V/dgvEUPktgm1nYyHs2tFyLB8BVdiD3cLbkAH1JDD4GvZRYJrfmKovAL64iQRaSDMs3tD4ESR5unauGzEh2lUWlYW0q/6jNSqC5IWXdDxcuF9eKlZuacV9KTS7NWT3b42oU7LacxYu7XGu+/VKNwXCyAxKEuTpiQks6XNQMly6AxaQW7tkw7dFffYKi90wyVwN8jNvwRqeH15afp2DTWoQWVLUOAsL3j91Qje22hUjycoUiKR/DrnlsFHmQ7vicOJA1igD0WNHqnGyrLpkueApsryjmHhm4JM3KN+F82IjlT5WMXE+dp5D4lm+LmbEBgVmvXW7PMwOKfzokvZZKE8Z9/Tnutrh8Bhtrv5qk19wyqWcDdD/Hq0rq/eZF7nr7ZHyhySqqALqqXfMkwEJb8tnpgoh1BwQJEniTVYN42/GnB2J2Yu+AFtzRF6LuMnMyefI4qmeVQyc2hNGOn9leb3ILlLroyqUB93Rht2TXyPHdwxAqtUpn+dc3hH9arC/Y22O+rjqln9gGaHQ6TyzfVRMxKGh9A0lHKQmJ1wLJUqV+oZL+PRIEesRxH3y8PnKOyGZ9J8fptDwaVsrXG+FNx+Z+50JQIBpY3CP4YsW0HUClb9rubyH+V+Y1o5QiwdO2Fu1duLbpB4XPu55KsKuq+dENeD6xx25dR7pOptqm44TV/WotwobXrbKTlyt5Sy45pPKgBZhKi/yTdM4Jx10/Z3DFojViWaQt9fahEwpD1F322LkOuf9tsR3Ce9p2PyYy6DQvJ92+mXn4GFACmakPOjvfBWAvuVtX2kdasamL1tGKPu6lc+n/qhv3OKNPQllqHBJ3rLiLG5C5lP8udlLAUWukHc6EgpqqrMls8iAiABLzLz4HcSXdxRkEoBfH3A6MyO0fWV/6nwgslyZWhQhJxGBfR19Ig8ALvIgxqnr+5Hj/5p0zAGw3m/jm8TrODdtVNU5IhXNrWa674MGcr6qEU9/PvF5ltaItgbORTG9BpUeY+wk1wAfGS0x+Ts9/+pJEs8YBRI1hj4HiloIL8EZEz3UpkZntcbadkTMzeBKBY3Ojsrwrenaxz+51hnQKFsEzERg3uEaY/T46AND/h+JfVlD0q5POfMOhbdDQJ2HTw7NUR6/VbZVZpjSnNGLgbuB3lfFl197+XeiAYIP2DS+Ec476K10xZ7e3Uy7f608Y7R64I5xQvbRqvGNJmBQzgfECkU5zz5d/GaUZzUYuh6O1ZKo41TccmY+4cDF3EOwV3x4cRAhLNd8KI8CWyHKZ/DNf8alYsDJRKlBlyoZNrYeNjjq++KP3mhz9w2ibB51UVNhoKKsG9xZu/GPbSpOZ7UtaaLnhH5vo6+yB4W0seV2RruDE0o9ANP38jb4iSMYSa6WVSSLzwx6F10ko3jft1TARO73CdtNQ41Z6plpUQ525ElHQ8pjbTrM4/EJbnxbU/pUMvbPkpXQY57PM4mV9XdRvbJ7wQPuLLpc6A9QqD6XLYAAu9+MfuLuUnStKltAsfr/dZM0dFJF2vQyYL8svjI0jcgUlhW/QR/xJQGT8XRqPGnFVUT0E6XyANdHzTNS7+QjGvEqJD+MbGbPAVFH5FddFkXddZnkrZ/Gmajn7HPPQ9z1dDreuefJPSi2JLyygqOvVeVY7GsDFseiO8Qobpd6ywfR9v6LSXSZBXd3G7qOTvFkiKr20jw1sH+evs+nsSmPLsX+qEGhyOLSl4a+ZShv6xrDzVnJE55CaCqF0IrH3zbOyMB7ob6l6QnT2EWeqeNdh/i7dz6Xe432GfF58EaUvFqnS6qCrzHSMlnxfMGZCFYh2hgOPJ06rnIh86iwz4CxSo/Wb+0s5cTbFwk5PA+tSYptab2clI4AGfyhnHmh3HazCobm693GpR/yisLxFYZfkBIjIKOoeVaLtL2+jdNXVZe0qDGSAmL85QbRNFOysnqZ71qe+aigei2+5ASFuRymeVM6JlaeO6OwkZW5e+1JBTSVlkBolXgGCAKcEPNoUt2nb6dvILurHcfbFaVNdYycaZHy5hutjJKCql+z8dumzUi2Hnsuq/Cuf3Z1W1pjPVwvRHJKyNbpvYyzx/rTPxB6HCNKD5aAZuSjni+CnJvkXWN6MvHQx5JOCck9FRk/ibxWXnD9yKQO4KIemY9airqxCg2Nqyt3YZ4/Ve88Zht3vj0SH149Y6tiqCHEdU1FcN0PPsTAHKQF+4L4QINGMN7TrN5bsN7KA6WbYzwcoSK18KCXeJv+U1BMlLYZZkBQIM+3iRkQs8zdmj/BnuA+kNyrbeloi8hOXAGmMvKZrc/iM4fxMp4TuP4jG5Faxot+1IyoyvNc6dTXvh6MKo0YN/pIlBus+vDD7BjB/NcLCcfQe56KxrEUIREgsHqrfry8QejIUH6NuOK/jDavC1uvF4nfwFwplOw5VTKNXKCrTp8oGtZH5In6zgqiwtxPkNDlqY3nphAMvb54uWmPpGsMws+cQRdZV9C9sgpxOJ2YMZSLyeKJ3ZyNiMAKxdnLLW6cHV7bx1z53WFXlHrOghPKCiOj8HNYnQ6zvZ9whcIZlVsMmmKpAgggeyanKzpCWSTFoLBEmmS0mN/v7fRxF8kQdZFhTBr2slU+pm+Yfs7WROtp/CLNMzuzPuSKVRjBjOmt/glFWx2gOqKgaUJHMRsuyAiNd2cEEWxyQTLI3xPfuyHOYr73BNmWjOyTZCG2ABdBbsGvRPYldpYjYorUH20pQhnK/2HmiP/TsaQNB0+IF1b+02OyHaQYCYht4dI7mU7gbfvvJTZIfpcU/i9JeZLkjxTe4E2TBrLBoX288Lt5nWObmKLHVikzbCpNtC0ajXUdYwqBV9TqE5WZpl9sQ93PpfqXMWiEnPQHbsNu3tAGCIbVWEfndO6V+0ZC5EAgbbGS1QcgDMIt5KcYrgkzZAZEEeHKKR+1c9j8tAqXJ4wxC2aMuiPi7KjBHKIKTLamaiY4yBLo4TRI7mpqvBcjx+mbROqLkyy4eDq2IMHlDA3Zp/aML3ojJLnD7zAyvxVFto/LT6yyceSnvXuW9LvdtUWlNj3GIARhZWH1vCQxMsGAy7j73Xb7dIjOewKbZNUQAoRWewFWqHZXpw2Td17stUe8so6ryL7NzfqJnLwfU+YhmEdoS4hV4gImIBoLY5PAbdXOa+YMy474D2PEvw5MLzuupRiyKBf/I/j5lq5bkRva6vP+30fMC+gkpbHfLlvvo4kXZFb6FHlaCF0bXaCkO7fyPN0c56GGwz6g4+98vwgl9ygwpTCaFRDjwCISgOP2BhuuOKVClH8HLZ+EyHW8cr9eOhYR0FUcOtAK5dSbxN1urT2BXmkYepFxmZZK848/JGYhkJyTER6ZHGRcyCp5LWhYUXk/WE7hdO5LFnB6JqyHbSbxUvaf5me+31Sddti2EK1SQmykvqH6NT7SpsyC6/iKkc5mr/E367q8OL7LNapOLSpVk2ehNM1NmOp8OTcT+MGS0koZ1MLo7P/e9W8A4q5qbuBuoYfSoL7cBWxa3VAa3xgJ/6JG/GPjXYYmpoJ9ugWimHOyfY9NeMpQPT6eOdNa2tRQH2Lju4NfetKjacoxY/dDbAFAR37jZX4BlAypBTRQ+g2HTZke2FQmll+ybscPfOuWgTirZobOMlwoPKtGHHgmxO77W+UKBhSfe7Q3IBbogCl20e8JMxLk+f9Pnf0oqipA2+gkqUMcMLgrIXKb6cZYtGBRFYqXM/WMmvkzQBy/31wZnwbWH6omdz0czhf8sCOCL4aa6IoOppLpO7a3HQO44s39dFanqRVe5V6ExEvmm2QHl383TkWVuixl5+HbU88mDhiJPbcXA+QTi4h5lFRDHIK4vZMQ03HUBHpjTDqhqnJOFqVgcizdL+LC4DiGlOy9AF5EwrHazmMqZbJ7me8Txyd75C3FGTOSf859WKI6/tvjfb7y3cnnJ9IoiXfb2At7si+8I3HbkSHxkbVWDfEIS5flAaH62keYKUjY879R0VVSQsXEVwY/qy55GVdJsU8SlvjHwGlNPodwLbGqQJrUuvFR52TGYUWzRbRMUVdcUhQUldCu+tUPkvyPQ4OId+ef7NQ81WdpE3J9HoJ5NuAkcWbxKQZ6uzj7GLUvJWe4VS10UqDQvgOhjrTTAZcgjRQqfjGUcKxKc8rKOuKZF3Dz+zOUQQmLgtWcJCxKnAwas//bxAAXHS40c/oS4FXPV3vVqE79E3xe7eqKOMCiSy2OqUYuGAIEGQsiJ/F/BpJBpNLnS+3c2tG4sZ/dCoayEmIJh1OR3D7hdkYiQKlpV0t/oQVv1uVNeNtFmKuuEZMKmMWcAlaJVf/7qr1idSmCCi+vwNXQkFTz7Td9T1YFYr3Lrd1E+xrC4J+Zuz15qZwmp+h2fBwEEVzuaSYmJ3i/B8W+OfNOUwETwXyjNQT7fkL4I6gQOL97C7fSzeW40twmX/ojIMHieioFaPdJhtu6pKM4C53C+VPjh42qao1Xhcwt6EtYUMzsfGkAAGMSAldngg8Swl7nwr8cDiz9jw0TSUWUvkkXAc72AKwV4knKIEbIP7zdKN5O1KDddn3JP18KWllWLYseOysDWwRralDFyrVLe23yyO1T6MaTNHWdptpkdpbDCdAjnYPx9ngEWL90T2M5fpjEc4elG5rkfIdzXvGBKfY8XylkY6+Wbh+UyqukQh2yxjEvjrm2v7Nt/4fl+04rYyKjmQ/ICbG5gOgy7wunIr9UaZu8PW3zFwxVJqTQ0YYDlfvSKz2WX+D3bqOxU+dZCanMb2ZL/wZM8XyLbjcc5ldAD+r2RM0T/KaXozSIPmMAxdZ0mn7XvBAOnQQICWGixEfqouxQni0YRabE72XwjrLhcLs3u8gZWhaV0gb4VNakEKJow/rt4DwLMnUpMVFLZhi8U8Am/pYX6kKt4sJFhPJUotWi4GqdvJaPP/1dSA8ZQO6p/l44cOwNeVp/EljcXkhg3qfLn+pQUGtkw24nAn/7j8eUHV2+Fb7bp3k1eVjAaEkxQoo5W5ebZ1mlwIjVRPekJDEAU6nEMuuZ4KdND4hcGJBuIwORx6Q55BUcc5XncmIX3E+td2fazEbL4UB1sC05TFP3ZS2GC5fanObhycm33+LEDfowVPLl7Sf3jHpX7V5+H8I/WFMF9KYmYGI0k/McISPd1QTVvHxzXxbNpP2da7sBZ1TXfwgJCxHT/KSd1r58NtPzZbonkG6X1/NZBGWWqJV7fDlSPZX1clGVAqC3pSg70y9I1S4QPkAMruRTgLHl5JXkVLOh1AIoe8niIVm1/pPg7Ox+BSbHt5SZRD44+Rt8HHVmWVN0Qs9KPFFJ6agkvSMydA3OgKPHtnrKcA254FAfQPnHuUTyuRrNeFebgY/c4SecYWWsqqXxGMGG1sAIUusghWDz/hITlK5DY4d7V9dx7RWTd5OVF5ZG9oFgIQI9CfqhJP9r4evy4FIbWIv4N77AxPxuhrkAO4pHb7rgJcUr7IJDQHnPXnweLVqFKGoXepGLQu/ELqHSFaMznLgxT5AJkLG19Rkyd4dGlN26Ed+xgzGkljh3I9g7VBa0jKm3FnFcYl3k68tadPrT2E6pL8j9YiCchllkgefrn9KtvJrO9liMyT8U4UjOWneIJhtUOD+UYLzuO9NxwNnn8xF3Y1dotuB60ipQt4Zr35HXqBa+RXxu3rwYYZ64jO+PeqXkrYQJnq9RKw+espD9PdmKbKvAIJs5SF1svqrd//S6pbJHnLlr1PmY84rgWcT+iyVRL3lF3+o6jOxt1S9ues+kuAsJb0KCI3oCN/oroDaeKiYbHCJritvI0sas2hJ54VaO4t</t>
  </si>
  <si>
    <t>vmQ1NjZRDz3+ONzEvu746JIBxD6/OnZqu00SuDzLwcsBTAPW2qlHfDxkCPBk3T3HUPwV2LNwmcTw2SOX0QIFcqzv5AE4tnmTb8PU8btNSyHZ8Xa2E4MYNYMJsL37nvKBMQC5YtDeJ8bU3VTJekws3h1w4cIU6ulw9sHvRRgNRwp0+JfjpaEFp2WA2wj6Obsa31qX4aqqFqMdoRMRroJqBVf81aP9N/zDTxK1lW74U9qaxOSl0x87sUtZr7oCVg/24nsqAJ1cuW9lLrpZMZLVRTVvI1Iz9iyMWp3zAjEVn/xwz05b+LNtfKTl9TwjqhuzqIbAvjPmybn9HEUi1LMcALencPUSA3FFGu/D4nalrbLOwBXifqhuCqcJGA59wRY3f9r4Dx+JtM8VtCLZVz90NCv5XeKaIlcAG2E5SCCqw1JeLLnTd8zpzlIAXrNF4JeePtX1WkOwLBJz2xjm8bpXGYRRwmM+sDaYOaQxbUufYgSGS6gt1+XEXkUBisuUDtPgMgM8/2VqzPWc7ig1z6csthPtC6IMTeUQa+xFhfFsEqHD8l1a4xflNMCIxkjJq2zDjbgGpYL4AmxiO3/mt1RynW/RAJE2Go4by2BagqvszbArXXl63AohepO9HiPRBW8Vmhr0x7UTvkyIQFyTk4emy0xvz73wu1WvQxrliZXDDHWA683WHY/2bghO/3lum+2rnGM0T4zWMgq72/r4dhxV7ivEIpe8hy+WxFXbhbhH0LKoy2ZlrYx4BkFGaYMTnxR5UT5/WZM4R1tFMhNEWtANInD2Y9FfZ3CRaCLoakCJm/PTNSWtgekFSnUyFSfkRKvvuleLk1N/E1NwW7EkGYY0lEXmYvmcUyeALEshshfHfCiPOU/eWEqM+sw5MdFxEOVvlxmOdwtuLdLN0zqU7J+yNXz1dwuTy+QzSXjmZYNqIkX2tfzwl3ciFTytsU688HzEJ2L30mOv8p18m0zlWCOqy2dohMw7I4dad0HwS/kamCS2Dvm+GIfVfEKgxUAa9nkqHjeyX1U7DusSVxFu/mXNAlSvNRumERYEY+ZE6InMwgIUb8+p0KyYIYFXJGKJw8+BkB9h5Sz6DVO7MOcnCMeT41N8mPv+WUwZajmkV3h9nk/PlycpdfOd7A0Vs5g76f4mJ//rd/top8wf/98kDnnUF+kYBKUsxiQVxGk5zvWqSv1/frdrDBR+89fi7ziSuYvZTb9ZXz7QMKCwmg3yjHR3sjW9MxHXS2nJkFUtUX93HmsLKgS/GjG8vAWAGT8f2yQLwZdkWF29xcFBs7Mdg1MshDaZSACSn0h12y7Ho0ea4KGN7c7PEpSSoULAQAzoGZ+hKbSU8ZRXKjLgvq1+Ty/U1BNkjq+fLaJOty4qUySynXZouCScBfUFZz7M/5NIz8LdtlHGkj2SYPrjgVB3RLeFTY57/88CsCdp5UKSVNFFAwP4pYd0J0+fZ2aJRi3NYKeNWTx0dpc46rBwg0gX7uUENU9+bzMpbgqUHfCYfoFE2HMzJ7CS2E1ysuahs9Kfdf79D2fPfnmG3WiDW4M+xdDErrKlTZT62be3USoMnB+ZO4exvi5Z0m74ND73XYU3KeUiVgH6Z3C05LdN+dUGHXQZJPsWw+AjXe4rC8rxf2sykFuHgy64yjtmFmNQhjy8OD+g//s/U62AqUtnPRfjIiEjEfZipN60h0c+oVCk4dEWBwYKWrL5s5+va2vReyMi1SEB+8Su3UpMRoL3d2UgrZJySSb+NGt8YW5b+azV8IqI4v3hM4ZZP24P+157UR22BOTpiqZh1I7r0unXyXVBOkQKz+fGuIlZAe382Mwtn/nMphr8Zzzt+A8EIL0yhmAyTomxlCnJNg+fqgB0FvUjrM5zRMx+kTfI09rRGTw4GdAh+QcXOLucYcbprM+6xM2MxCFZzol0KU7g+U2sXiFV4KCKcAlzI4W1isKEijbVAmmToVD/nWutFzKuVASOeQS/xRsx1Y7aR1zrlWgd67OHfRU7LhFABjZqQ3oeeWROVTUp9xHxYtYt/GS2Z0sTE+PcvZAAvjm6GUf58AO9a71zZhHCEFUAPPjrqeFFdbr2rE0rvEURoA/MY9VHvOXarIG0p5byqi62zmJTRfUJAq6/jCMCzDIdLjCv6WM9xsQrvddW1u7WSi7UgYFmDXn0+Onjud/41dDiFSa91slA3JTzVT/QZE7CpLDVav6R/bC+ePllPuGKaT+8W4/e47yOB9CWPzTzPucnXaI9eSEpklnd2JLd/kibrbeQTeQGIJzJo3VwjOyPECQtYYR4Xov/fhdWz/pKCjc6bKcNB2bYpOHhP7clSnO638/R8dkY03vHZ/5M1wbO88PB3wtZVnsM4l+tULK1YmpBopeTLBfeSXszep1zcwKLJV7pttfcQk/MetnkiwqCy8/t1KANIyVHUDcSB9FG8j+AWx4GerVnvHKKNp++ggn9nvR6k3O+7Y+dm1b8qYw1BsFC5o4UzpnwZ+0cV6LI98myd23Mk3YAVWpVokwqx7xeDM0TEICW+7JYVzwgu+t4OYfnoxCPXqPEl5TmWKHPF36Uy3+YZz8aQkXvxUnt2SIAUtnVemJ5lpsR35hX9G6HB4AnZtHkYo7SdS47RCXt+pE/VWF9uIK77HsksViF47vFyaN/SNzmXRmVq1flcRrR4nBsmjmOXOItqTj+lcxyDEVpD+bP2nX0hOEPDI1b3bONajY9TDaydkktwHlN7nMpDLlIRpFC+3o4BsWYB9EGnJJwYBlXq5Yc+VjJSknsarIOOgG0DfM/VsrP/SwhGFceF0yruMzr3TyyO+r5Up6/a9ece048X+e024jUlwP61BM6PlvA0mBKERGPGTZa31n54A9P253dXv+QbSv0h3ILTBTOLEE662dAGXrd1/yOZjoV15/hj/T1leQSiMWtp3Kn8i0OGQzEvdZenNRYZdpTntbsqrdDDzfYfcg9fvLZNNzLWinLuxwrqfmKE/pYUZUGJgVe5Q3aXpFmtsqigiUTlvleD37fJML8yzuE7nGpsSAApHrCtxx44Uso4WTVOer8jVrD2Y5w1SLnoKZpjItWHwR/04Q19bgogQw+35BUGgaD4AZl7aTNicDfdGBJ361MMQiayTSqFAHEAdPh1PTzGH7NhZwzJIJoO82xHUINlB6SLSgIHqhafFYiFIPQmpNzRVSn2g36WfaqBmL7RghfY1qRMoijY+FTX2IGfN+SMwJBzsHt4WyngV2OiK8IHcURzAq8+AE05vGDk0oysmo+fCjulqmbGx/BqgA12u3RbyGPzhIDTW8Y1OTjL6q+rOqSAWogyWCzST9TTQKo24zC0/1x/h2zHT6QlIIbCXW3CGTpKHmBaMFYrLZLDJBwOiaVV9InQ4lLPCbppc+u6a25aC2VDWyJGiebafFF/G+d2+97YfNPUvYs4PEsNXasgq18rs/nF6Z2ykHg3fhC7/Mj+BYJDbBwXBRSLAP5wM31fiwwzKbwmL/erh2wAH51eAkQfB7LEop6Fsed18aG7j0QL9/HfKLyQbOy1CsSK1c1ISZlhh00OobXvVv4fxRypuIhv3MhXGmuzMnBa/rU2juysnUrde4DRGpdx9u+uVEHssGba2gJU3SpIg0N+ABoJIx+5C8OXpuLblCmsgnWbi6cxcBzkxY8hW9sFd1Jk31fTew/d7Gq/d4NVsq/Pib+Oo5jlSyt5e4pri3OdRkzY2fQpxcRn8kGalzdvEUAheUMrTnRTm4NaRcHo7R0km1t7y7CVCHR8eF2w6ZmpmR9wtbrNC104Tz3wn5zaBrZLWCxrVp3QGeJW3xYXwy9SyqxmlVPzUUb9rdTSP59nwlibfESei5S80jJCptvLFRIHBLUJdqR12Pn414R8zpldDjpqrektIUBReA0RCnDbys3AcUPlLpYLFGIzP1DEnQIWYWv8vO0/XfwEx/K9CwZk41fXmZdN4KPdWUzLnwObYVhLxSok1CFQR1XBZX52qB4bb7bvIdAuxYCJr5ExlQI2xvDdIirupkpJu/UfQmgVgsqNikNJrpoAUuMypUeNF00wWg+DdSEyOoO759nMELHN4vBqKCJ8aSS/T/J/TktXGCWij5vUd1CzP2IC+k2i5vuTBtD+H+ZnaM8lcpgPH6niWyfU4gVx0KWq4wkvHPJ78nRfp4LGAUWL/CBZpemuHHPIDaFu5bTSv0+trGESfA3UimYS4zwl00KJCV4BqN4Bo4BaJeOYoL3AaSFxJYOfO8WkX4P1iKffNn/x7geugxYjN67KLlr5VbiCY+15UNuYUvUSL3r5NG24hPmKcX4ApkbWPseyYx5ooV7QhDDCi7RSUToo5eL3bPv82xccLXlAJWmnOTH8XD/6YzriouALOFfmdsTWRIoTnBmuOtK6cvOJ6oH01RomzPFbtFGLWu7bKyx7xHKChvC3TQJ3u0XbJDfSUtVED2+2pIlB6DNS6rHn5rB2pe9kdh+a8fHrLs+eOzWryK78f2+5wP2F9yHo51xhGpeeH3ZFyrhe4GpUaXWFMkUQFn+y4jchyQaS2ixB6/Q9GUv4Einj6SfLtkFl2ZXTlRXKnIs/fP8kbHvLClxMs1VFRkApDuiBZHxk1jbLrox673Jml4PIVbAaEE+tPlO2QVMxUsJuD223y8z79nxy7NawyOfuN9JQDkpoAMFyFKV0NxwC9Lu3fDJTYkzyI4cHh2wPkWuOFY5FbtftWyHyQrZT3pHBjAzJ0Z6LcLDW51LV+WJXF0cROQdzK/rRMuL1Hl6L13sYyT8PC7gowqdTnE1+oxppsYPgVdtmifI601b2myYE1ePtFJCRjcHSjtTF/GCec0pOSg0bGpB+6F5Zny6CvPiFltzQEHnU3ZMo+c0obnALN8qZDKhZocv1nMn7Xn8hxpXfZfNR1kWzfu8NxDvk+91Ch7c0VNjkWxZN4CQSuGGTGGKyync+iPGFmHrYtSg9NhFqehERQYq/NecdpgDy/Lxkzoh6UKa/mQIsWFnRk9OnBJdXfXaaOAyULpTes5zQfhUN/Qp/OjpAk7Nil/uHONkLRuLDcsOCZDtkdaPQk7Gk0ZWNOhz9PzFKlZ4nddUUzlwlSSxPsSXIdKjX2oIAvi4sHMPo5wGJo/OybIOOLMI31QdCy7Z7L0CejaoBBXoSKl7r5HCMjvwchAaC/lqpltBIiPbLAU71UNN1wTGFXi3wMShEWk7dbevXaUoAnvLK5u3TJJ6oM1UABlLs83L0vpZzKBJcDCB3RmU9RrVgeIXf8avZVcRwencTsAXOuXoHPkEeZBKCKZpHtprWJSgR1J9lS7RNMTjS0r52nDfBntlERl/svFleB36VVLSVlK3fkvCTakH98uSalyVTFbNA1b+4kR+Z6GxGCW02pFEfjE9ZaMS82OKVTysePhZZ76mi+vDbgzBsEv5w4lLZGGZYUONRcwZFceGHoaLnrfKig3rZlySbl+TciH8pCbCbgCdCMAGl6cI/xId5FGAT0Gmsu7nUxgnK6/QKs6j7tu6nqGoLlZyJub/lV87ic+902ih1A+99++tVwcG6snrsNcmWXu4T/ldgX2NaIDZl0Bimva0wTLmatg22OLfPVk3MX7za6Lu8KcnuPe8tKweUN5aV1C1+Tvjtz1+sLUuPjqhwQFce9Tn7cNK21EWgLjqOyCdLjI8nwMFFSQR3371Wr4upcQEfMowF/fvfSZWNbio7Cj1yIrnp51lIq/RxJgN7xS4TU1DaE/noVCJK68CDxNY1aIH6cAgo+WInSiQ1bSSQtYJUVUdXoMc5pNP2Wlb3QQRwslS+p5bawZOupbNCi4qFXswzLFDy4PlCaLzkm+YnkCC9kaFTjmkY6V9FtxsWhKts/JL4FjZlpfeYkGLGApfe+zxKGRlhz2AXshRqOdO9v0pYwtLOTiR4ShtoJthYJCAYe95PI+L4l61dJ6tEh2AINmF/D4pCQqlb4DJ2ygXjQASBn9pYqILvuhUWvhIeSt81553binLkNEdrU9URuyQfn2uB8SXbmYwYhSqVD30Zp0BW9NK/EADG5QvC6qztHIyN2IVXetENzwR20pVX5Bj/gZW7OOytgyAsYDEy0HJVRwIK6gEEj5N+UZZofGWX0P4B5H3kIjvJYLi9vAE0Ok1wmj/w6WOjbEeVh9YuS/qaAtkPZEyzvgmNA2UoJBvnyVGYXQnfYR/qnhtYMI1j1hKlxJCK3ZhAENgU6CbIJWvr9cYVIBKvHpwPZF5bHiz/Oir9xY9INjgRoKC89gbMIyg35FWLvtuKlqFTHUvc5/PhDJJD4NnKYVO9H4aqcinv9rHSbe97HsB5l3SlgXSf/es1AsK2TcqrAHB5D4K0/GCoCuhz6xeUkN1/T6ltZEksIkCErDmAZvydkhQvkLwGW1sZ2ORgxsC+6lPLWVOZy+uXEncc4LVDCkl22Ct2YwS+fDCMkxjyfylpQsBW8dv1D3h/J7c7W3mXQ8kOJ8upf2G+q5pK3bbW78sdsos2fO3vVPb2ey28hq4Jq7GgqIYOdz0/3kgNRewqgJRK7oXEZpsdMnBgfMA03PbAo5Mn5B0ueLaZ5zVJJ7mzKu3p3TpHKNM1JITTAY/xj/ZpknnofL3abEJWJB7Q/uNXNdGk4u4NzWk5FphCWaIv19HxJQ+M2XxO+g3vTgi5bSiJlOttXjfsuvERkH6SVRZ8KQXKi81M9hYK7uECEk/A7kVw20Jpm1t0HknduzGuhFfqYJy4lBHw3ePtHdUzNCHkBDEvWlxzljKZ1pBv7YGA5u2Jlqx73CQ/rXM6npdArCEzRUF5lMq+QoLGS/I1x3w8bsohuZ6+jsyuHlLG6Qy32qVgXw2n0Nvzr/Dirw5m52/C6XxQCWUTGiPDD1UDE+Om+lJZwU7YlYhS0jUTzUxEzNnhJo/mTVZgrrRDfj+HyXpOtCylPSDIZc9FDZbZSW1uO/X5SvWt/lcJ4PwfYp3Ol6cXndxWRim5rC4cQQlq3iwDVyJUwTtPO3RPj1z6oG3gbfDYIPnn3LiiKACYbkr0gKxm7UC+XF3eCabn9tpdvCeGw2ryUW808tWSvPqwHReHt6a4aqJ5z94kbvzqGe1jgnzk5bnubiBPP1Wa3gSBAOn6KjsA62xxnypwebXpFZ+qbziYVgBbh0E1xQpQtqUX95v62PWGV4bh/7o5oacxuFa+IPTVK4yrFILKcjVc48+URmNJcPc6Hm775zPUEbePTFkQxBNE2grhPKUkm8L8zKOrGZULl5m26qIecqh5b73CgXfRNL4Jt0EjxRt0jSLB4HWlw7t6nnkegFm0Zr7Rp7ZH7ag7i/wlYsM8Kt4IIFR9746D2/pALmywehwGB0wMVQt8DMk1M50U8v7qEdljX73diN3xuKq2RckdE2fB07VuMmBY6TzwAzidz9h2xIjt5dz91/m9Fe1y4vMJ43jqzS3PKWyudH2Twq5KbVG4eeNI5Fd/u5RfB/+jpodQpc/Ha4G+Juq1tVH9gVm1mKIlZ4yY0Kr8F3KTUUNpkBwE/YY4q8g1HQpNsHXbP2BYOBv7ZzxvlJ9fn4Xzza9vDPh6YF2gmTJTRbECOwdbBFs5Si8U1r+bAZGamOKueTILgy1oeqX9i63fXXZsuAOMSxJRxKoAcvLUnm9xJQKKKGERegtVJ7L8ssPrND1idaVTMgsMZ2eV/RZzv3CApi1pU2Z6Z81Lp2ZrcMn5PfYgdqbh38+gpr+Wn5In5DSo3iR6DTYt4LuM7BlkkZoiKG4n47Yj13RjkmCp6zyUTEQyR8WL05322F+GaiQ2Cl0GapTofvVeYuDHPbFTs3i+hWmCz0eKlozhgGb8yOxji5h9nhhQNwjj3dowNBst58sNB0dcAN6aRVcMvL3mgmVRgFzK5mhrL1KyyhYcVuUcYUpiPfI+ZtQjxl8oqqM5RW/1kAblKGPqOu5LC30loCGkBrqYR8FFRzWUrUPRBiYssH8yn9qHz460DdXSVetIwdD7wf4Fkjffyw2jUaHF45vpASVrQUzqdKTs/gooPCFJ849xUPsZDDM+1EVX+5buFyP+TscNJujzctRC4tNkJixvPtTqKNgAzFywi5u6yNwrTDB4UzQPpVcNFO3n7V2Y71T5rxEjq2sKBMBqyknkQsQE40cCRUcv+f5onPxzDT9ppo9/Oil5DSIFs1B/4ofI6XLZ5WQ80hDRcAdooHE0eLzYn6hm/y8WNQqU8PhH824+VH/vAEkwkMRAvZz2E1k4Bt3cvBh40esDM8wLhNcvYl1CriD2Sf9QSFtuYAukvAoZYpGchGagJoe6TCE2eeYFTyxGoFu1SMIHMbC3UM6SPuSiSnSiSPWhUvJcB3gceckKb6eWGxo99STDWCX+j+22mq+W21O7koACiB+i5VdUBMlqgczLvL2P38bjDX7e7j836aSUmeCw4OQhDQqnOKer1ZTNM1Fwh7zm/09iqkSbkwJboZErFnCZuF1AT7YMyBVtP0/pTcNnyaAuHCMTJrAMTm17AHA48YKw5EVyLs0AeTPOT+TzfOXqPCs/yaKEVuM0J/lCFLMVi4XHZ8eGIFWK1RTnLQ29DNBptYtJj19sGNlazqKnOx2gCXJBjmZGEjJQbCGE1Wi7CAKlFIlsYle+CizCa1z3+J3qZ26gsYrNN0JEkwsbgsSsJQt0WX5Uhz3VVCekzfopEqM4UgvVa8wvdL4qfxpFY4SlFGW/RMmaq5uYeOXEdC0PfDM9SBnwZ/hTFzyfDuCDjDJ7F2NXnxblJ0TBGxHRY5N7hD0KlGOrXKOCGTP/0DjC6CdqI0129gAWkkHtlch6dhGlJ1RtOAZe8zOfpHjpAPFQnWN86G11VMs8+PTpFxQnoDoZ1TIRvpGW1ivBGJNJKROaxNU7GDvx8/ZtXBPQrZVz+nQgdNhPc/WigzDcCu/FyI8/o4JUyjHT38VU0Fg8BgCYz1indkpP4lEhZV5xs/VgPAPmzex0VqYQY3BYQMr+9K/mGesYxa4nPrFKLxwRUy/rJxlM65z2JNPG/T/1rbqqQMDcWB38/vQXyZV99pHTMrZUrX5DNPFzhyOBqgObM5r0t1g5xvR76dyDRNwIn1JCyImeDFoYmgGSE0Z1L5QiXzlqkj0vElskgXTW8xKNyZ5IqYgXOMomCzC0b9+WzsqxN1B8DhIs59PzgmutTuAw38HVGw+GJOqejvAAjEjQcfRGpynzesLkLiUtijn9mRK678bCV/YH/R/cYRySd/GSbL0rwa1+LE3vODbvut9lHYTdYrWgT1eqjSMzWbm5iITy6FYQ+oOzIBaTaPxxIjMXARxhsiSpSJRSsqflzcf6hC0CspUBWz8FxUqgDUyA89k6wSKWF2hSOvxcp9hEteCJfOg2F2AiH2AId7eRFZH2YuzfV/VT947mR4B+fmCbzCcCwFRy2XLYWCafOJpIAAopXWECXuh/W5BARODuj5QAcNpLd0jlm9G2Ld9qXooVaKBKRoh+hmRQtaoCfERGkDSnhhRKkoojoDg+hlE1MlisKFIMMKzYNB5OWSSMhdzD5IKM/FkC5SlUDYTDCdRMjrg4/xqzA3FgNH50bqV1+TbXGvypU4M1vPrp8JwCQ2UPzDJAOVHXRJrRy4t3Suxp8xAUww1DKffkGqDUH2wqTs+AZX4+9ak/REzXndeiVAnsRQY3T36twbXLF6T0PvELTPPMi98Mgifs7FdVhaIFMNDRgsRdoNlYpMrPIQUTBd11nSXSzC6jH602sMDY5Ahx1SuH0zO9EjlyNlSuwJ2TdS3IDg39sa/gYWrIXS/SIT0MmZguby41aR4BYf1hfBSB0l3QwIyRCZiOu9vSdOdjhaUC6fMzBYjQzutpus9e8ZC9k1rj3Tk1PqUrwRhAiQUTDy494Ntd/cBVegVppyJGcNXNMx7GhBsh3cIkmkZQMunhrFf6gjAbZ+PegkMJ7KEEbOKAr9LQOSk93+SZQ2E/rUy0zrWzti8RnGzkaS94h/cX3MltnIpcPK7eC8zqhxj4ILiyHKR4YUMtKRVqJ7es9LjmCsXzpYLOg7cuU1cnoZ3KAp/PyxVUD70DzRxNsqKrggIcLp23Z9dtlwgsa5y+1TwBrS3bI4GI+F7m6aDQK7lyJM0CckZ9R64LXkZHFBI+js4ppoOFHYzTzYmTHlj4elvQfYZY4MlghGh/N2H9smJeqB6xsC26VIw/fUfIEaQQUqnaGIQxkxrR5o3eY92SiMSSH894XBJIh0kecngtJ+196Qn5tjlFnoppLHr8+QTOMM0Asj17RWNYWrADPyfV7+oCmuaNza8nkqFcoTplEhmSClclKKjroU9wKfMr+TMjD0BRDCxfFJCvVfAxcMiEQr90zAte56q0iR0H78eAccU18MbZdhw7FwxjfNERyVEJiU3eDR/Uon+61Gt21hW+Vvv//tvKPBVpgSZ1+xSVn+JkLWbwBQAnOODHHcFOCcOlGMNOiMs2qiE/RhHZEWdK+lIBTu1eHU0E4YxPftkf81sYsk3k+bYDyFXMVlvjaKF5LaXjkwnAbGpVZ+0aVomXQ2alGkEmLNvPIugXqTGWP2Kwqkj+3lWuOwQVmQQvoUO+WfOzY0fjWa+yXbbXrsTHlAhHBuVfAvgLubNLnXmi+NAsPzMRa2INcCxxi97pCfn1yB/WE9Xut1m5+urRbPCuqrNl01OfJrR790mFSKeJ2UMvfDGsDQ/2cDzJ+rgOVSOC8U0Z9nMCtH2fTWxfflXBIXJtK7UsT1QTxmfnVRywOFaesRVwOjBdAAjAMFnjkLq3DjLzpxbBNLYvnWA8R1kjUMK38DUKDtsplP6OizKbInFTFAoXf4D17KhmBXkqOrFI+UWw2Jc5SiuCtz+8nA2hzK0ZvYmYtznGHHmXXsVTt5QVTXeoGhWaIEz90GRbFj5zINhzZPGqeYeq2xpbGkS5dIq8BeresPtW9dJTeghrdcDLfIoGYSlEa8cwJGNJ47My57D5Z46e3Ml7P+c0zFf8UlYQkRjhBdX3hfFAr17xdCXDfSBOuWm90PKirTWn/pG5lXnI9MBQfQTi4cTNYD6r9V+qaZH0WiF2izKtr12UFp4/o+tMsdADYGwvW0FN5MYJ1P+gc6BMvjX3eL/AAQVk/MOcHxJR8GF1nD2gH8tThvUiIYoOQmd8+Ujw8bJFiWFM2Ph70BQNnFocuLoueyef7beTZyw53u2b23hL6ejWf3QGrHiIntSZXehmiBP9afKSH1MQDNndYyCzzRcqyBX3BNq4LWgktpUHhagNhbjGye9GXiHYqj/LtCEzzZHur6L/0F2Bu6aa97UZREFCOJdZjNPOMQSyac61nwpL/TTPsnjrI/ekTMw4T2t5zSE2SztZJz6Exhz0rDbTGNbSYcOc90aZcjo2B4hN9qJHmmmylk1ME4gl0rIKQRmRNt/NYXPP1L5EOMFWeZLSyZLLMAfQkDMQSbChgN5t6nDug8cn0auIR3HMT6J5XezN6h5l0GdwuvP7xG1a4BfGVGl4FzPJPIAhcRiRCtk6Bt2PCwBspVuodSCWAPRduLaV4QP0EgZJYIJv8T2MpdyKY/bWpdszSlyibWKvIQhoacydi7uHncFC1iuu9LxkCdyMSWHGBmuFTePXYn1AWTwfAtLn5iTccLBf4VDd6zi7u5tUv16h68olWRRGTRy2chyvUTVILgMM/Fje1MYzs59gjllHRNdDvtVLzp9IeJ0fvqO49O0JyZwuGhDo64oOtWrGItH5bWrWxDlNenN6gE2yC1zXNPbuEGiIPMGpzGhDjrzT2V8KDHLvKTY9or1K4uj08nMPZCRcL8kABEi7+N3+UzzCRhG81vCGAlqQichwQUD7SU0V/zoAaAPPmC93T0UaiRF7ipnziy6Uuisyq8VGG0l5o86bOUO/qlApdDFKkQoURSZqzxR0RZY2+Gz66K4lWBlKyQkT0hQ7KAMtENlSgwuUCgB0SJUTahUVajqNr6vY0/RaojrtugrEfz2cNaBOCr2vBa9g6QtaDyQgerXrlNkKdNBX7zkphqh6dJjDGCbI47DoBrrXidJAVTGuJgo+e4dbtjuuHY/app5Enq5XTUJ1/97C2BLVwTyAvFIVCAxoQwVoMIY7Dj4BCBc6QBQ6jZ7HJzYNYiQhBVYTwgT/HxRqaMbZD70oejTljqm/mOx1aQ94loTsk4mHgAN1HRSjcpiOs0XEZtQYNGQd1QMvhi4676Vcy0ubKhgRYFYzupV33sRy1w+ttN5K4myJEOXvVoBATkA8vmbyDZWjjr9fs4Nmw+bAXb/7DdriSkZpYez898Bf46HtFzHUEdSDaMm1o5/45cUwK65mqct4JWwZG5jy/j6scL/JblcaKodFzqsokABIrp5cycMOc9RKotZjERRtT92CAV4VHdM6f3A6WTb0G5jGgPHwOvmoAAe3v1RX8BbG778J8ka+NtTIVVCtKWWs2UOrARzkFTehbnDymtGd4mewEUiK0wZWw1UwKIdbX9LszhgKPZ2BRC1uzwd3Lgb5FRKc187Zzo7Goy1U9/5Z4nB1PejEtbxWDCu2A8UuDhIpGiLYPKgcUv4IOIQ6NvtlOmXzqO+Cb89073SWjT3C2aawL1aU7LPh6eYwHHDXIc5kH6bWlNkmyWf5oZPm9iiJ9ZUnSN9JDGf6bkj36WpntGwePsXnuSku5+bAItflIKp2QQPDTWf8CiKIx7YLDY6SDMQ7XUmHGoUpa8LicPjANhf8NKJpOudNQDiB6DN2sX+jzu2xbj0CnmBMLJS0EGwyZ2Y7X4P69BqmId87Af3kXzP/MkG+YFeBUeEZVvQiv4LH9HztLBFLLKFAMS3y2Dl+rB1T2rAKrZai/ohq2tghIjtbjSRrG5lZ7zC1NnyquQKukqDwI3nDfGe5C78gZrZKQmJtlZ87APvYfck8BowEohB5s8CQf6/ZJU1yu3SK5RW+D7obBrxaPy7Y+ZzQjPm6XfjKqOZ5XnCqKxY7EnPq3BByIyj1CSG8AsIfYx1yZMKVquUpuLskVKiERVTbvZvhy575k1tsQ2laCW+sAudpBZq5y2d3oXkgO8XRIJ1dAFdyBLGjYhbq7sJc6RCEnCcEMDL2AWl/20jsJpJp3aq50r0qPWupghu9mdCRay6J0iAiWJ9VmlvX2H3hBCCmJjEVL5Y6oNmdGNMI9dXfRFCwb1vuH+MtvpcCKjI9sqCIPzn4+bSlZay1VmG1U/Vh9hwoWK5+rE8F813/Kw80YF+PTUc33XiKP7IK1JQWSLyt3OOg6uoeeX/lDQl8I39/RCqTSznZQ2PpCr6AGnpS4bhQbFLimjFQ7OfkTH6MrDyAp7zKtRMdJ0Zj1D6JjPZ5ha2KDD1iJe541u7Wjo5iRURt8lGXc+2ZmLv7Ma+A2YS7/oDQrKyoWMR9aRbTf+O3eFRpu6sNP1VviWB1O7qHsIozW/L3gy6lPLtL9jfPO2In5ZhwwVNzrUks0kwq0/q33oHVK4aX86HurFF44R+to/rh0k52WQrr53R2GVJb6l+G4/6nhfONKuaqfgXeINciMN1wRldjOG5Tns1e1dltS9bRrZBPfiY46bI8bgFEII46s7AMD0ZoiD/Pi2hwvlUJeGG3Yz62FpSqDV+kE9BwlnK3/jvX2/FgtfQgctZp+nyG0AFJRt3hKohzAwd5iUt0709LlfIIoJLw2kjbvau8DtpGCM62UsCSCNEd+z4LfvstB1gjI7uYUXGvIc30UgVyX+R+qcCLKSq6HTrSffirsIoWwF2CZPPITnJlz7gL0WaCigDR304XSTwa14DnIg+Zit9Se0D7yJBp8qRoUKz0aEINOfMAerHs8vE9Y1nunqkq+dKabR5ssf+4GI3iu5BigDKC4K5vR/vr7wEvoIcd+dXKPeRJ803Bc8bj5E/wkjKEX8uTd9VNOgThaiqevWi75U4Gya+9gYCtylhZCBAPrst2uGMGwB1mgqqvpTL4P5i8Up3JWL9zukRt3JT0aD417u7l0VxEQyH6lv9xb4x14+0Ax/ndCUcBARS5RrjyxNo7EXB+owW0A4CxNofoqwRZ1spCqgUEjKPkfh+dv2xwFuIb6MNfOvhADeGNutJ1fI1HEzXZqmWKo2PgDvIsya+aUI3zlokiiZkoEmctN+Mf7wAtikDYakX7gSMDuucy6nV3mdfk/iirWccZhMQPVXnJhLS3mi0hRcOVtsbzvBWHQOPVKDyLZvTUm61+F8tOQgMCc34Cq2pc2szNmE2Nwxz/xTVekmaCdWdqZ46PMC0JqWXnIeECmWMWosQDNFu7FNmLi98m4zOREbtmsrYm/N5EgPyYPJjmpgHQXFVKEOoIFKgjZbqKV2vzgkpMB3QXFeYBAZUPJoQ2qlugr2Nu0pzxr/idZR1p6zVgTahjJjpLpdv8v/0xGG0Uw2g7Pfi5LRwc8ipcBsudYoyLG+mgbivhdbAvoewtWpCXKwVCTmJzP+6b5GaCJ/gYTxgRtRDNvIfU433+j69/eXRd/kdIE/FtnAuYHmrlhWDUrAn53R/ghAspTTycedC7Rc0Vb0RuCsRyro84Vmv2f+C2xzznCY6EhHCSM9zeHNfYAQ0A/aKyBEek7AZ8FlbT/9GMZoy0VSn7vjYIyhksF4m9Sbz0MDTUXT7aOkbbjGp6LbYgzM/ZcS3F+CstPpQAin8I7kRbRV8+xzi8a+ADk/VwqKjEsCsBckPel+Ou49QexN46B85+8wRTmIyPMV+dGxS9nQHk/xYOzujg4T2b89OHsr8YA6AIM+MRhrNF06whcb2Oc9Pmrie0G8yMEjzr3hGDPXhZw9qxdaqdgCCfWp0kmgHH+sNabh7ODeu17LjkOImHI/o2X/OuNUG6kNkBxNidCDQ2tsK67swIOMXQwB16J2mG7CDQsAtxFAfApht9kuG1y/nNw3ImeltvPFsVX5UdcYOy/vz/ep+pHbpbV/AKGnRmvENJB+7IElocneunbp98uTTmDiCY2Y8Fc6qbgtSKm+T7i24wx2V8vrUYB7pR3md14ttqUWPIkKob2p0TjTXKN/xX9BacLMx89rk019c+PW43G+cd/W+qrAER5e4uKdt/2yPDWAUBNjgLVRuZQveheVB066tEEoXdIjkDHW1wDfuKR4FSy9mi4usIuUjOkfu77iUDjFY8mvTR0xlPlDC9XAgxfhJWfGVHxo8NhKyfBr5lFJ2YJerpE1xjjkpFQVAPmH7nDz0TZtQg2FDjUKta+wi0XKn6TTq9+7YrQhC0BpaCrZr6jGF6vqnEoViia+Uj5i4HI+3rMEUf24W5xMz6OCu5iLu9kHBzVZC9ThT7lKQM2WmVQgW3j6s6VzOIW0/JLoUSKF0AnqrHmDV5nDoOUgMjZGfr1Cyd+m+SJ/otYSjiY/p7P3l31C9+/x/L379pCFszc7wg3xAWU1UqxxRVfYfwNIt5BKArH82Hv62+JEIME2ZMjYXVKoU0C6ypOcxS8vurGmHNIdERs2Kt+XXYYTzMst+G/pvXUOxBUE3+Vmb7rtXx8/9jqNWNf95ymrfU8Muu5zQHQyRlgA+a+pBPv54O4cCRXTwApl09UbM/WI9rPpUNKkmz6M6nicYXZcAEv3c6Bfd5c702KRBCMHrKQYO7pp05JRsImaISS7TMHVYL2xhxT1ecH6+FY9d5VOFtENDSUwh9QUumpJyEHp+EHpBW1smhEU212juXNBkZ54FLTa3HYgUPeT/uZM9RpB4ZBvqwqnzcLudKVEscwxHDOdiYM9bqx42zxmxxqHNNIYhw9BsTzNXTBuBsBNrEdzRDgETWNE58H5w2ZoTYlaznFp1EIhGl3LcVe25eJbscojYS/2+GOeBRoV8pSlCZAMSVOZn3uirijImv0m+L0pg1W+AuzQ7Mx9qaL1YQgvdVEhTfEaWStkl6vs1HWAoj9abx6xZQrHziguTZxcsUQpr48dMAGbJ27Pv9G5n/CcZGXf535mn1xFNeIj5tnReZgfKxDYRQECjzsKWi3D/4njTlKqXWccNSCovESKuxnyJdlRtAjLfZhJKh2AYMLL9ZHRTlbrGqawSsLThbPg8wYgqGagLIq6IlGR5tN5Kgc8Fco9A5O6t1PCls8tPMi+8YJp/cq65BgWJgWjYawAbzWEXDQ4n1imvFAjPpy+I8ONU07p+R1kbQTzbxz9VTh1kp+LE/6GgJlSOEj/LNQYekQFzobw+yp6oDyOiKq+pn+FkJpmRJDqTHHmTt/ReZc4FuH+fvEttFnswVJGkP4wTFLW6R9YYz4LNbCb6Dqi9bqbmnPHilU5rMK23SNObE2hoVsMrbgLTYW3L5e/kld33aaZyaT3MzfBto7A2/o+a8ky+00cmqTL3hlr4lxWGbITZqQQPMXq0ZbPh02tHwvGrQ33AtGUka+1UKCNblC3Fwt80K+QizoOE488DoYoIOkI5oSan9y/4qSg+sQCrBB9PSK2ffh2QkqiqA942NOPxYUXZFRAjWd7uxynQIHac4wQOOtyX9uTdL5lj6qBqZ/j0e3oa4jf4cmfoFZd9p/9nWOMeeFd3kNfdsLbLNFZ77bHCb9uw7f++SJedz7648qR6xLA+8Xp8KI3u4qO6C6W3eRTeIqPwtLdo1ILBB2MDA2YjVAJTVnsCJohbDCmFbhppgtUwRTWP89ukvHE58m4O0vJH4C/tqjPVgCnk64LjaiYShCwKd5rzeHo0wCWP9IlpmSwrfif6UTFyYDsssCWUcf24YcA5Qr98Ktc9JpU0AQatPa3YSvadLxMmzN5IubY6r28zi1Vkgl55bVqeSQoqlhqcKl0yUZVcZcU31/EvS2tHzpkHauWsiclCegRTYqHXFWLpGyJFDVbSZHgYXyOfx5vPAwfYkdxeYn1r0nqgKPDM4LF4czVQftVwLMJvyWLhbjQDkxut2YZyE/h71kQROpovEUhjJSbUz986lLL3xcvj7mJyKy/+nUwXNDljieAmknKJRs4t5fOugo0wtIjFgtloL3nkZYDamD0bcv98Q5gap6TL0QTMGI3KEZ2FNc2r5tswaem/ZyOmr1NuCJNpGfHrrWlBFlj1dHhQLRCupO7XFHhmlYsCOuciUOOx8soGTt98xZ0FBeUk/9kt7z5dNm2WFceN9iitdQ/Ln4TOWUhcoqIXv44K3vW8xN1uOzxh+ftVihPTYD1MYpZ4/FJhknGjUfz0/7YfRHcNknRSGGhlDSevevLMdH3h8FWk+ZEL/ieXEk+KBLd/9r/okuoQngT1kNl0xGvyifwB3V/oWZY+b6IFhbkHY9Mcezb2J0q469h0w30hXjmG1BnMRE30gM1kaaaAfFJinRaR5wuL5YpcmE1KXfgPZpNoniigRmEiFbJU147wAo3UI7ecC71M9ZsajWSK5seqWmfF2mkuuSROUvyOoRi+bkiueFAQxROCopAhuOm7+q7o7BuAtQ2Ek55BK+WW4fa3G8hEcP3IVK5liw5KyI19QZxYEKQrF+dvjDs5xEvMeIWgWvmGwMWzzg3F8/svVng2AtjFOeEiyLjZaO8AdO+URhl7V8EqrWsJ8CcvMvxrePBEI2hf7g09EY0LVUknuuVMRiw0KpCeRlPDx5PMRNGItZSt7NxVjGiXAbMTuMzp7Zaerk984mQKkVfu4r025yEqxklMkUSoEyjr7K9KBWVF5igGmkuFiLcWVEXxPBz7gOneHNpEGzKJQ4CvqcYf/YW2Zg7m9TocBvgX9mqHKYKJu6Mguu1yhVqcLygAOk5PU6hMqnOgaIaPkz0R+1zlHgoKw0qh1L5NwDGNBkrqGt7tDl08q3HOjQ7q7j+PqXM93aN+zyfwCdRn+/jPSx0tZcHmq8m6kIhPwO8ppNVvWuUEaplxhvmhmnJ0O2jSLa7FmFTc5BuysV9O6xEkYzqKjMxoX67E39ah1Pk8VXXoNa/46TaJXOebBBkgCoqT05y6ANQruTgOLMgHBxVhS9dF+yeAUmnelvR1l521Yd3sBDYTpHi+4cx8g7dFwLgtpk7K4tGpiXJ6dKdyuybdcfitHsyEZ7C2V8CWHLwWRO1xD6qTla/gEuX0WfEhTbsJ9qjVmU/R81VJzQY1qW0TtN2N3cZENwhc2lGAhMrPS+KT/wUFl12b8lXLcHBana026M5HIlUKgxXeCCD2b543wI3z0NrTHDsadRPEnt5ySokaSYeWpsKpOXD1WdV/CRRkeYwVyWAAiLogavpp+/78EuT86hBQk83czcwP1SytFb5BRbHvgmwKMWb5pN/zYcKn2pbDBxz+VfH5bHEN63SsPO+62JpHn9Gs0kcA0WhZQ/TV8tgudUvk3+AJ3srorfsp5Hx1uB9A11psWzCKBgxmEAiK0sjetmyb66cSnla9Yt+90ER8epGgB5uhxBU0cPoA6Y+pDgxkJl6wRms+BvfuCjHDkVeoOScQZSGK5NQrQfxf+vP28WPfW39af241EgO+hcCDaa1fgGjuQfyd/fp6D5VYVDYrDtyJSn9hkUkWGBCx8RT35KqYZ2fyxgs/3hVXowJL9Ow1EI1Dw54Pk0iFQfrlAcJwQtug6s0vWIrEDRWcIcPsLRzfpHbUchJEgPnrsaVqtz6KtTUWX2jxhBjAilumn83FLtjRe1BYEoQn0r69D/DIXFF0uz6BRCcM6jV9pwGzHpadRbKD1eV2vA8UnlGhSPhcF1X5fc9xXL39rLM9SiG6OwX4TXCYUgPxgMh5VRO4+d/uAQjX2MIce0YBf6S9hRAIWhRAYRkWN6V3TLqqTb/ChDb1UBZ0YELMHxCpPjIKDV30WKWhJ+CgfA+FazwsZ3B3JNNZRbsC8qrGfiLzW8F5bOrTK2sOanv7BDP8hnj8idWW+nlyNfH1ZA3Qz43oo/GbONreSWI+UDkJl/i5Ivr9HyJYVdx7I5RjaAOUKsS5YroMAHaQTK4Vsa88DPms0KKjd6ZcvPEJVI+wtW8nMY24KPNVtxNBbjWA60AYGRk3U+R3kHaN0DwawnNHbhPnmxrQYHDntDIFKKKDvl9SkpH6vyLbHcGgb1q4BqEyQKqNabkBB9UGktcewU3FtMzSpS5iaNUQW96r1wJw5AGf2XGgtqU2B14Q+IXypp708J3OPOEjSNqxPP6BtqSMuP6or3RB8pBIeqWuKYpVM4IXeI6bh2p1MndqD8/l00g2JFeoebzrlqzWPmIBAEWdZiSkRt9Cy93pW/YZHFOlXVWkXr0/o8FkocvEsqy5R6HjzvWsANetIfm/mqVUYuoD8/lIpa4awnemZEEHJGpXeVQFAUphtHwrUVRKgEWtx0prQZee1lWEysOqo0U30+R/WBsyLfldnr7kVnQXXdl/xmNkgDJUa5N96G177N0S6PHHHk0i3DaFi9KYNjSuNpIYmLX+roykyJIJiQAQfifLGCmVhmP06YT6XPuXFvsooUvGvDe+arLBbD7IUgcdAEV/npYKvfAKT2J/KJetWVqRH+5j9W1nIPid7D8PF+2B9rAGvfoybgdRjgg+NIMoFZJuQnrRrk4VsIoYmRZW90mUwherVNJxfNgAKdWkguZE64KeAPUWH25+L1Eaj4/+HOmu4eLAsBrWraeVTY8Fm3QwS1XnWRyJuGm7glbb9pmBJIY/XTCmCCyag2swZ4Su6FA6B1Ety4Cf/MQtlwJZ7gb+V8NFRXPSckWM1KMG2aOJ4/EDuZBfchJ6FCKQ6U6rzyh6+NhmTxADqaegSUMKc9Cq6eo8fYPsGQy8VJKQuTHGStLBIJfClzy5rRr+QuymNvx4gExxuBZgLqHGMOihHYqyg4O1iCbshWodAhEbbCa+Vb+ONEmYC3iY621aX7qdeucHC+WFxeA49TQwf87uVlfTrg4zXQeLCd/8Rvl7td0whh7mlot2osUJBkYDI9NeQtb7nyWgWm0SRJgFcVV3IAH13l7Ocn3LAIJ2QqJINJhmOENGBi7jrIqWUQnhNl1ml3voupTYoGlWR2Z/lEc2DDhzow490Mj9HaC8J2oEdFm70hNWtWTNwiYRsEUkbUjbzna2Hd2gn0n5q5Atc5APYIDu8ZKNFXuyjkMdNahUdgqUbhnPEq6wkRLJAYG2GDTiQ3lvd1ASaReK3TO824jpB7tNYzUrp9+DfW5TDQtovdIhnNAXehaE74JCZcS1Exmo1wZ+ehYR0CwH7ko7zUgrXQb8f8Vv2UQRoOP9HR4rSK6uMcNlZrI/OOlW0sKnEipp85IlQIvk6iVlCFJHYYYMUr1f1aBsXv6glh2uPwxgXJIQLSzApkjU0GNGiIe4ZZe5FC9NBiHUSNX8GbqXygHjzUoJr++joHeY7o7Y9LUusM8LwlMTdJEyBzshIuu/Ejd00BZ4Eg2H9Y98NVSbBdapaYduMlTCsIi3bfE0GnWk2d+cKkgcgeavWkJJMdTLhpi6Q3UEoAwqN0EXT7uPLWzF5/b08qJUB/qNMMY1AoWj27JzbrTYXqxUk0CE8vVjn+wc5k1GwMh3648pVRAEfArRxcJ38OJdDQB7dW11ZJTaIlPZiZM/GZldiMXz8u0ogc5LiAwZq6SRRaL7oNIZeOmX+ioWl3m1GDTazURIfi0Zsk2gEJEJpEVMfzZEyRofFWkUdL2EFLIBBOq/nSIRS+AA/zlcInS6bV5nl3mHfnBOPGVrvMDdJ6QHoVxSqgJty0is0P1ExrAOsOLAAGSJYfdTVfsOvzn/b4PGHvQrTMxymevYuyIVK03KV+wsbST16TyjHi8LrRMGOkqtkT0+f4rPP2wqd9j57uM0L7RlCQ46FuqrdmPDvvyLyjDj8S75PPZNYYH+RctUN3LokQJyZ8UGNn6S2gTwL3Nxa4xxfNcancye6Mh3WnallPFXLUa09LBRO3WaN4TFmSsb9/YxsDOX79fycvEQs8xLXu/AVJyEWGhKPGaRstY+0PqOXX6zBoTeV7r+6IKpskWLe/ZIHIezA1WIAbVMp3sFZC3p5nkHC+vf+X3ztpT+g/6R+ItT/96PBtYlk9bN3/9SDs6ogPW4GDv4Cuzq97A9MEfMDzVg4aJAmR+knBnUj+ZUNP+0e8yvApwdcfavBnIz9DU364u/8qAsHVviGUJm9uFbO2Xk9mfYsgaWZiV2l2JmF31ijkUFJpmZUM9TNBIO97dANQfRUpfBk4erwXjaFgY57CsZ4kfzWb4wIMQQgC/PdnFQFCkSeJlCUbQHBH9ZliNQhqw6Zimb74Bs2bM0oQX9TXVszyu/8eTREs8BB/w7evuKJiZ3T8palx7Aq9JXCgl5k/A9i712LuWUDoYD530X7vwmMyia8Th2o8/YfXG0KRx5VQYFtRbIQuvJ/OkMrX+9MXH7WmAXWP+CaugwC0I6NGqbjGvVtX1DaexO0w5wPvCz8sKKm8JRXgKRoC/7ZAUHRxFWjQdu+CjInIB3PEe2Dwme/XeL2ztowbhTn8djOBRB+vB6qQS8svvYrUfhsJ3v/tYvvl3lnTJ4MAJnKyOqkPzHdH2nmMPpXCwFYHpRU2KDLSC1c7cwSrgBdgTZGW4LQRbPLI31ULKPoSG5vn1qttc0njQNxZtaC9ndbZ7d/1RBUin6LlRTKM7MAQ69kcVovS5UCt8Dxq/Iw9WVpEzr5xqVwdWWCsyuGTl/CePUs1ppIyOxHx5FrLyVLfnB8B3+tJBKbMUUL60DijwWqKr4fG1yx1ugaRwPAsEg+yrgO74skQbiagGVBs3vZN5H+1Qad0KjxxL9EKy0QPzIjvuSbd2AHg/PP+QSdQH+mSJOEdtjcsiGmY8Jj6MoxlLan18JvqwpvmgH7vU3nNDzYFoqd1eQoLspWAXA892Pg51xFlHtu+AzvByeeNSAQnJ8EFhjl4rJqBTWRyIDd/NkQNRNzB5WX4PnQFdA8p1XQO7QwihSZM+Q1FJxw2nDNcFLNmQTunx0qfX9GuGfIVT20eFkbrC3rrQuMPaF3bdWFty1hGrKGOkteg6LJTHjBJjoC+ljiBD2zgMQLJptVm93+CTKYRr0a28tix3d5Okff/bQhW/rvcx8RpxoumIBXwTjE4jorktUSFCX35zejg68lji8vA5hJb0CymmVyRFFpzlL9gRTSY3EzHcvpTiyOXAgrz9Gji88ut4sf6Z9/EEAv+q3PN9BNDw9d3hzC2Lro9HQvCkVXal7y7Jnd+W9yAcVAOav7BIOYABff3qFCDpxHkK8BKZgItXt2/QIZ4jWslJ1DbAcJ3w5tyqMEAlt1l/LynKt3xTaANik1lYN1k6As4pHCCqF/a4Uy0ocN6t+3XJ0tPE1MSda3uKoa/fhsdO/5sDLA2Qd5p+tW6sraHLxpGHoDfjfUSk3LmpI0KJxkW6LM4NMMknHnwDhZww4o2GrRjCN12hZBO82NGmEDTLPe8C0WdMOCKlM1F2F5B0IR/82pgI8QZsM8pG+kOlezqSuIJKn/k3GZiW4ye+fDjoEzvr9TTJfJnpJ2RzcJSYpZCsvHrbY3faGoPfHzNgD3RSFQx34rDDaN7Q3hTogduwwZvS/tpGdqYn8f361rSVoczx+eiiZtQ0xWTH3Rs15AaRN4/ZHLlhYjIkFGhCAotbqAwcO22K7VHLPQ/LmQI4NeyOjxC6rRDs8FNgHE00R1pifKWl3+dy6GpburKCwkD2CbLP1r8ahVS8wHQflOiNHovRiiIi4fhBJakaZbCNP14ovRJasjENBgbk0tcFYgzfZWmIBaHMoqk73gr7o80RBkbFRFDporHd80t7RGoVJN4YFemf+Bq6dxCrz3rTn7s12ibvDOM3UPvu3EgP+ESdlIrYf00tZtgu58qVCBQaVOPG0SHPeXYadTX7MRKFojbYRXlqOvcXURU9m0jL8KYTWTksTnLml81VsXOjPBaLUx9l47AyKEmtmjPgqhg0cw7pswIDqMIZ1zb29Z2VU6gPU10MdLzmUU0w0s3Due85diOXzInHBL4SoW8UKSR+RjTWejsSK0WbNVIBMBBoezB0ieb/Xi4avHoLro8PGvX1tB30OCEQhmqv2G1x9X08RAdP/xBMGXM8CbhtbwxBwJV/lfNiIDwIVQbsuaHczk3w+vQ/vZxOfgJnnadCBFsI74evihrZFaUGXLRH3Ncx9Z4NwaEyuebNVvd9cNnMkbUQhd2cJTpHXMPqzC7b4ujEtUM/cT4/vFZdYZngnnak2PERwdEIubAJp7Mp7fHrJxm1lPHfTHf6h9zhIECBKQIiBi6dSvLw4E+uMXu3icJUQEegyVS0/Dy8jUgfODtok+BaJf6XiySDWcITC5ogxhZlNeGqMWdDd0bNTlPeKrrXaBSAX0/om2ClSCH2j5TEOP1tGUl+yArzmdVdu9fxwf6heqyHP+MSvWy9bBE3kIr9bR2zXszewXZK6bOfTEx6vN3Yovlawxk6ncbbWoyIjscrI4DN1WJNbKCWkOyEhcvPfXFYPvagETYo4UxLri8Yg7rD+ZVl2oqUbjjdqzVc6TwVAc+rLAO+5LAVFPRodZglr/TS1y5UFhY2ckG1iJuYxp4aLhiIJa0UOGrpmHfnAcKnCwqcIfSrHEKpjI/i7d6sAWCMxKsJOUJHSQLZbOoyi1BbeuzrVHaSfNJCy8N1RD+Z2uka278d/fmu83045qNTkYnZQ8lygo9/S573xisIi8JwQ6hUrNSR7c0NRGGFiRx5Z2LPXK30PUlXVpXPW+BNVBxWN7F/FTaz+WSzOYv+Kaw+mTgKf/KT/A9fkKjVXu47hkHxy12E2PQU1mBABkcSJMJXhhSDswCmMD9Cqqm6BbC4EfSOvi8JbWHMPUbhAgMULh+3JLnYsA1pyxnkiiC/oUsiy1IlqW0iY+62lOqrFnpM48o/esouZrViM4n/MmdkOHoHLSg5THsOH9pfgznWyhL8PG+Ao+fNXDre04bawPkHERPS/6ICMQRM/FGT7bOTFVreJWWwp5DiIq7jnu5Smi0jtAPMpOvmlemkdWFvDxsREejLOaD+NKwzTj0LLR2z2p84eDUQ8+2ePj5GdJ5JMLlvMfFQlwUxmendlJ6Qcqa8FRkqupr4cNT4/xFsWiEdKiHPt4RJcIatHAytRecKzbgaA9tCc6HyU4G+OasuzM/wILijyFpbyoPRBF1E+be5a/PQ1Qx8Eym7ZgjybMFTpd02LrPB85+lm4AOT8QRBiSFTEctlkwjZ/RGA0ORsBDhFqhyjZYv/JjJylUp0GwikRKO4ZfgVg9RsjwLnegKUZAs9P0N8UsG6ZAXsifR++Eq20jrW4kZcF1bxZLOfw8zSDmhB6aq3uQj2C5SPPHRuTTnEjDtfWfXdSMasbtjKorpBlUerUmSLJoP2/S9RLtRy6h6bsWPdmIWmXn3xt6hTMprl230wJc0KZBE5hH0XisJ1gZMOEcG2RJiagh58hJTMepMOrnqm8b/MBk2b8Z1ugDsxaHwusfX/xcY0oDH8Vs+UeOG/4lGpFvJ2vcWJC++rTaTMbL5kgJ2MSK8r5QCJQHe46wLRaObaXIwTsomPTJWmz4GOOiYf8a2Kkk3//gO6P5eKiiV54ihmwlShDV682IF6/jDtZunbm89EWWAxrLohcIyfL9cYDnd4L2wuh6AnQyFvvHvPlk2kzTTywiC7Z4HjVtP6uKfRXlKOxObXHDASCQrnZuzm5JNKyhIdl4oYWHiF1U9eKv1tJmqvwgjmvXbIftBBh2/3hJNv1nU+1UkJxo3N1JaqkdmZM12/vBe9mfidhEq3d2w35pmZ93H+lUhcXGmNP0AXEmQVuXidFrla/1zQmb9Q20si70o4G7ilLB+HpipInEyMNzr2jxUEnT6kSs7o0fNUwMy8sO6N8wuHSCM/VB2WDE4ZC3qnVnGaGowPuXLuTVDYC252bi5cqcLSSTpHRa2V564ihZBl97zZECP7RGXYkcCTZyeYW7HFrMeHrKlUqmd2FUPME9pDVZFypU6YfWzbMrQ6UXkvSI2nx2noHvxVBLdzB5hAEQOHKJ5OAASnCIxLGvrLY/jwuHN6eXeQVGwx7t2XOnyg1EwZL/4zoE7HL1QTQ2kHRRehBVmtesNZQrxIYgdGFPaZYV9SbNoMS6oN626IY0uJE1WLboMeSq1G8qhGfozYNj5qFKzXdusz+7I+Gecy5Z4/qIeIs+uj6HbYpdADdDYKEhFxs/NPwj+HWYi7FKN+qpwFwAxNzSysVNLt58W7WTaWAS5HnFZYLMe12z75znqblfjCgeLCmmhSWdOi/OwUkJqp2iUIk88kNdscpULQlv/Bm45QXCIsKH7gd9hZuVIe7dYi2SRBCY/IEVioowyRiC3QQhnC33HkUNdzRVmCswNevIJOsTkaI7nhnBYJhudovVnJq5gBqKJXFF6/JzViy0RKScp5VaqRZPY7Oj04ZVaS+MH5YYDRZBaAhVQFhbJVTXWumwX2XUcZgqtw+rK4+hC92RoJxGO23x/CPEEMdwhGkbsILFWe5GibV/0p9CdC3XRCOzuldeEMOHXzDNU1yN81vXv5gjRtqVe1d8YzCuI+urZCCoJuTT8hmG9qrrU4oi0u/Q1d0GTXOV/iHz7VYycKchKfUBTNtU5rKEN2hfj2KZ2AFQ55raoBgegd8DfA3BCqWP9nVVBI2+wRfi7TocMdcTpJxIDtk859N/DiUXtwi7VGOqF17OkwyiNxlmU7SRFutUGzb6RRXQmMVK0CxUltpGwETPhy0LOx+Hz0Y26ykK07l3krUJWKBd9drYtFpSi06E30oHuiirf1d9pyH2MSdoMwf8GRwrt/aocx/L6fwsD0pSRqpHCHm1kDrkkQaAyghpJ11fa5t/PCVKvdoWxmJBoa7D84hyK36h2uyvGvJ6GS4FPdVellBLEJtcD6Lg1eQLrLYOJ09VaYvT6ZmeFvf86HRQxJjxa5XFFCy0WJPSCvxsVowkAZ/wEcDxCQu/aIebG29C5q8n5r9fxef0w3EAkVHazyO/gINq948J1EiRw4wIlRZfb4oiGM4Gd2lfJvBBUGNHcdjwmC53BrAjqvJ/bfb2oqStFykSkGMfP8z0h13bhb4nLbJoFBq5xgM/OrrQCSpoWSz/9IoFA6KaBEgpDOi5truX9HYn2vdDcBfueJ+RU4gCkqdR6prR+G06ZUmrsEQqo3pTegoDZFlUjhNrF4Ej+3dTpS6lMr0v+AyejU94LC2grhpNWL5R6e117U22CaXAiSymwwlWnOVqhLJchrx+l+46LUs0gfBsFzWaeYMemUP1jFVK09KXheBwNMC2if62i4LXxytRAeQFFbM7ysl8M1UGfWPBqpnEoidQsTZIca8AoZfZcx4e3bsKxSeU8WilaEfFF8WiFYl6Nidgo0i/Y5c51buB4scERrKQl/+0lRncfeiTqIBTK4boN8cVusjDa+bySBj1UjZdEZ4vMyCZIdM+b6NNHpR1yaY9cqPuN8amjRmWdPFITEm0xDVUHWeMcT7b9/Tx55+At11uNf8Ixzz5gP3IRMhJk04MqQX2LOgTFklwlu5c0yvS5Fsub6Sj8FcCYXEBlonoZMqVQ8TY8G38r3A/fyvuEspJ0Qn05zd/X0e4TU84Ez0272pg203/HVNYsp/vx/jGMvqW/7c1ICjaTA0IonkvVJnYVpmsU9jHi5Cl/UQ59ZctMsozxZBJiuhVymx7wr3PdQaDptvAtc4ig99SPZCKzq7f5mUXvBS8InwXQZbQyz2bQ21/tlPLa+cwtlJMGadJXWBORTD2xDFzR1DwreIfaS9XGJUl/5wqSCTCnFomgYbypgIuvC1ROj/CPAKAxwkJgR6/0ZSlnelOj4T9ogLgPdTFlunlFo5hcZEfpS6q+yPLQ1yAZ/SDDAdkn9qGGXyMhQ1mIjPLieK1s6zVeznZ2M+rw52+ba9XLZvYJq/rTafNwz7Y2MnpZ6lQkCTGcYjx/74E1SGnTf0C9maO2mMFaJRwed0nL8JG5Tb2ooaaxqNpS9va0cf5r4AefIRBlI3LSaEMxZYL6psCThDu5nu3L2hH/YIjQmCnloFpjRgOKBy6fcyccWIHNjC2pXONGgKFUCyXwLmojNFFBqARcFtHIUpujct4SkW8o7wr1W8NH/6EPkQOcMfy3VtOGeF+/PYP6FSaFlSbZBSUr6WK1ozL8iPfL4XCwT02M+7fEdGLLKB9ZeHZx4eYXUWwkg6Y8jWg+GZTSR5r/1VUzMg/OBA4Q3VUhawE96Cwz818K431ZumUuEgHy2scwdpzCLBX7KpHLhbFHk5KXij/DHaXcmAiTtXvR+F3iTfSXDTrkdxTMGFi+ZrFTrZYu6nt7d79uaQepyjSH7uu0BsOoSqoHEWFAv53YQsw4MYofIuNSR3/PTkVxSEOwV7jrSVsTHQDD+T65D5Uqwq4WOY725cbIZ/SK8RaGoott41tZOpVpWp3QAIB3KdRIcRwjDEuTyMyqnb/YDNgT08wqS0Kc/I1DcKBNcgpARXqfsKphvUYFLSdz50SaCijR8puh99kwuCAzP53l0tnlrOTCf38WqqXswM7+9muJQN7f+R8MtjTa2nifmqqj+ioLL7FsY39NOeEe0fDzby6canaR8XaBwZht9z9YG2QrB9jtrWduTp0P+fcsEkTLnrjrGCVoKimkITRgdsH2FMreS+AvTdEuzC/AHE4jZ0bOqTp6diWKept2PrQmIYPHPEx/WcFJuKsaLHx5p5xc6/it+TK5yz+RYs1/0aj0g+t9QQKwstxCKYOt//50XBFXwR+mOFBxxMfl3dtX9Hq+acAtRoquLB9nsFGoC61XzvOKMX3PZpdqNBhWF21x1xlP5wHh9O+T5f/24iVDFXeW/FnjqG0doEnJvWFRcPeEc06QNAoaoWkNwE+95OkaKlOPCU7xifGxIko8HSM0D0K4otzphmxOz0UrPfH2muSZJrcEH6vs6v0Tyx+ktuLcYrYfsPV5sWp+EAMOJOz+pKBrBSubjaCUHepZmWJVO37v4ZrPeT6DsDuidFuyzZKR6SA9gMcPfi4WYexYR4MNELKr7LbgrmmhYs/JL7+1UHe0rxwpNLavGnaAZ48erD6++5qyPq1aWAWlBrxD8nc+aVLsF2InZUsqCB2YuimPnIFdH5xJIjA1Q7j8sTMjmYPcy9XUa4acIrYcwV3/GIuYudze+8l+pJ8Ei+Y0gpfRjSNYsc8xsrbJKrHlVQzCdsNzanLIM+mzl/TJnGGomwmchLNWiDLo5RMP6BDBjGwIukOzbsUyktHamY7homoMQHbVbWcsuTfYz7xyiCfb5EgKCoNRqVdjho6ZcB+FtAwDWNKKlgLen7VKSRWrKZ9IOvjOcBSNuc+YxpPkgs+lQ0Irx8WvEkkeKQKC0YOt4OL3Tn9afRGbQFzDXuF5Rrwv6Z9UwJaWzi6iXpU/+edqbBl25R+yFPdMBXUU+gxda1bbuFtxPEWEsP3cdM7ftVd+n9u9tbwGSYVOBDFKEFK5LeR+LBPMaNzAqcLsv+D9kac1i3kFu6FICIegPqGNFBwT+WLfWpgZr5Bu6FvP0GiMJnsd2u2o809A3RCWWjixj6kRSOK8sm85FJVJfd20keLglhrIe7lHpys+sieUIDGcoXoXhY/vzyvSUv1xbKqs4msMHWLAJtVO+W9qY1xPUecEexpX8eSrSw/SjMWkPCH/XyluNlPAbFjR/EnNf1rS4TRzwQ9NOmWn5ZgJb6LknQ0fgTfSD53DTzMPbDiE2/wIl5htSTJ63IwgTRBBB4AMkt41J7B8QM+klUhFC2fJed8MNVeDbd1jBp9Ra+OUN+kbDkz+JFay6nbmYFGDG8r9VDfAvPX0t2iglCPBIuAa3ywPiRsiz+97JPdP3xh6opL59/7a9EbRTzo2+W+hToVA6nVr0LzoDu2c+MHmE71pFf9vbB/Cd+Lc+HjBUe4knltsE6pnLIj6rxziQMcMzDj964MjIf0SKZs/gVP5rGeJHZw0/O7vI8CH0zmcR3VAYkTYnKQFKQIylHWucheQmBI7wJCKQAcLFuYBa4QRvMoiKU5rdL4R44Pyx3Jb4Kn3LsTXw8e4zUctnxHBT9Fcyjv0uJ/dkHtq94f9NytsW+wYsQAHY/3ztQWK13XjzQP8aOdxyZsPr9j9HS3JTVANVlC//8i+Zu3qxt4eCEsCo65Slp5GOY1xszKVB5RMKLyxOL63iPPp64rANHZr6My1iVlbeY/Jy7/kMP8U0Vl17iVRkzz9KdYTZUpJdgwPiHq00US2lWER9hTRi5r5poTkv7j58RIhvSodAb/ltIhmFz5gHFcHE/XOiovFQ3sJpvyzRVuQxmR3jikIq73h2UtFLKUJUF57QZOjXR8d35p04CK6bZBV88jO/xuPMYH2dhbFLzg2JZkShNsMNlsDQxB32g6a/ubGBCgsL/xBPpeBdFBxfn0j620XV2gVgsF6YAkiSD2HLoK4eQtz2wZo0sracj4hY5Edbd4ovjV1XOhKgrPH655FuzcJJDOZWiBGK0mV4RmbiUPCr52kL9wSh6J4qRm46sLs3nYMWkfojuvWn6h44FtmmYwE8xkrOHSyL7CzcWRO9hdkRXRAlrSRFgBt7q6oY8KhqRXWiWWiexjHPGoj5j689b4cT92X79Er7T+zvV5HUUtdX4NCmGq5a/fXMcfBsRPAtkVs6jzzUAJgkohskvWIbGvp6wpdzozInNryzoLC0JxJPldpdztdWsdLzbjK/bhm6O6jsN46hWkF2B+LDyE67f71KB9+tuFe8hh8A6CGaFfMoLuqgSjXg4vbbHY7dEzSIiO5P9DPmcGjQDVp1CRX+v2P1hHn7n/52B9dTtsV4ihMtIQQi9cwbr4/dhUiyw8PmIFIZS9c6gGdqAFyWVcnD/kIm57lBMM/Q/weaB/+FEYC1BQjd4gpqI+UZnnb3XUexFcB56eBwurPJTgM9EfLyETWOEg48nxFxjuMBCT88VqjUlou094ex/55nmcoqrdirM9FWaxn4N0PWt9a7mY9L9AZ6o64EKMKnverfAPNHCQbCcKxD6jT2KUW9+cDLqVwZxsDOiy4GEBdrPxhYl1tA+YibKaiwA2OJo6/EtlQaOch1s/l9UAjgC/lmDmVAxCogI5kTpBw1SeY06dXfHgNTnzcyVkhrlq6b1seg6JK7+2yM5o1FQqVn6+nqx+SemR6on/qzjppbkkw661A9k7sO687qpVSu1pc2pFBY7/kFCOomw+uKnDXv2tYGAZ6qGta2h7p+A0n+M17irVOTuf1S2ONeaqzi7+LJHih6uRTP/IQKXzcNegOHhkxsCyj3xWVA69++O57qTyAgV6nAcLKx//ma58TQy2J0vMVMmpk1iKkoQpOEWgWmZ+YVqg953wl1C0POiQNQpO8z9GrwrvsG0rtg5+Zq3O9jr2QC7BqG43Lx5yjSqatTBL+RaTi/q74iaCmm7J6X2zCl14C68WmL965VZAIuOe3TRqu3AYS7b6g86L9uWQs3CFYJkUXGDN3+sdf81irGGZ3HshCYk6LPpZ+fzk7kQYSiqYkTd/LISVeE7wA/eeYYE8oRGylzcpYppxWoNsVJlDr55zpFS3MwLBjUWwUqFyI7SgA+oUfhpduwd++b0YqGhdC6S92rlbsEQwCBZJtmu1RJ3eUV6El/aH36dDlSVYOQ2jT/jWQmxJ/U/XhfBwJC/McP8AJ2NX9vMRLZz4aCMTf9L9wjPvxtXWeTKn76wKKWChPFj1dvwnn68ABo0dMChIX9YF1ca1OM+0UAntjYggMI6zi6Kcyz7N8iK/RH6LJVT+WxhPz+vuphzPn2U/Hh/hYrAdUh2MPFs49Xqyr/YBU8gUg2IPBM5b1DOTZPLyh+YS3L8jESNu1INlX8rqL9iD8dfE0yfMTIm4fYTetdT/qDt3RCPxRuD9nJgfRcW66p3roB69qCMbJs9pQ0cu9qtKnDHpCii0N/k87img/wZ++YaeXALAc7eEa1YVlXPa2tWZG7ViCvknwZbaUdL4ds5H2n+G4Yqurs/SsBY0lhnI5baKx3FmPd3Qio6ok6mavxvmX5tZ3zBBYb95huDU8wGoX2ejbDROV5Ir/nQDqowXLoM5cqP9QHnUt6Y6oE14rIunnQ3SYXFwhDaduR5z/VUrLIO8vypZ621XMJd8IKLRoo/PEFlwrcNfWEi2OkcjmAtawiuojIhwoEZqtP6OwZvBZ967uaGYdsBIWpPGwXYZvMtOqNujrGYdBar3oqvFHRU9frTjBsYpJFxmzPM9fm6X24rjMcHZEZ632mnn6mcQTm761rTX9TWPh9F0C1vrHIXNXzYpy4vDDUAr9/p0um2VQaphIHJyzF3HK1t/LeKK1bQ8zSV6St/sKkptdQ9bHzY7VJgD/+Qvn16KBTuKiap6HloLYUGtiEhA+b1SLQRxxcHQq/Lkn+K4FPmXITZvQQO+S3w8DOYmulZoaKx4sQSYtAigk6m2LhJKhuIYumsSOyBArSCoNpdvUkF58oGIexTdJQQwyjN05Z5gNkspqiYfp3A+pmIJspQWNpd1cR8ZMgCOONBcMPNyMV8vVKZToLVSmBJ68NXe/4OHV1bEceihIEcnEYIkeUnb5WNntt6XpfBgLfLJLARMg7gVBCJflG5Qqx3hUnUZxXa2mp8B+tTojtwn8/rUATV5s/ryRD+iDoyHrdX3qUROR8XYL+s+v0gPokNUpS4Hwsc6V/R+bA2Ubc0l9nFhkelfHAXqCSaFtPO+Qp7YgVfREfPwfmUQiVl5tHBTpdCkurKJfqblGyDl+xmuLUe0mkx5snsGqWCu2AVxwk1VbGo3BYqIQuxjL85V9khxb301LB8E+aVODbFYmBjcTj1JII0YV54QeVRy4+/ZK+aWC1YiH1HtF2O80M1Hd+duZ7u7GNTV7Vs/e/IhVi3upaUqTcpCJftF/MRhMCX7f407dtUjjx3s17yI8DX3LUJPIVo4fEYGw4erqukzAIcpNQqHmTdukZlQL0JcEUBqzuVi8CdpGXk0hHK8IkDrqihd1ZFWwC+T19A2JQFuG2773J8QOmeRw8LDeCG5gXwgrdRb21ssgZmZjdPq74bgirmTcFFrGDbxZYq7Wt6BBhMRmiY3vboYN/c7+d8G+yZctVgUsPyy+uRlJLKuzav7pCUMPoPx8mmPkZH3Lu6iL6l6QC3g7xmPdRha5eJN5/qDa7cZ2YHdrRYIJ8rDlzwmOAqMdIMOjzB9YW8kuJMTnh7PCH</t>
  </si>
  <si>
    <t>yR9STaG91xC/Fdr4187UQ0CIin5qMbd28DgmYN6YKVpKD8TZPl132aJXNW9PVc20cxIl7WM3MB63Oh7BYWMF9jZ1Cg6ds/1LAbUHsXrG+jAG06C1AGLyBzwW+NI9q+kuLJjfPj8LeLsW+KGV9Lhp5Yv9fYFtAwvvSO4YPjH/yLTTVh8gZbmxJHgPnKIQeyFbb+NSc7OZ4iLJcQo7au1XTlWK5Ln5XKzLbhpLRkYtCSNnwdO1LLhPQRpllhU2vPc43vQndYiyiAksDdGwelpxL+oV69q2BpB9HxR2xlq/DF1GKUml34232p2rg1KrZvczk02cHQsxHZ7joU7iAwSlVWW8YcMTVEvORXKyvgj/VhsyFbpxwPKzKLnRb9HYoADACOP/OQPPDbfs+KlJCqBpFumvOBzcPz+YcTYw5WblCjnzdu/PG12znNmjzGqew2DRqbOp3fWavActKLw0ZkXD/Opz/mNl3JQ7w2J5ahvH0TjmK9iUSGU5VjiebjsCKs36b/xPCIzjBZhfGS0Rx2SU1zN+48054kCPS+KyHiLQjqMCKpexvvde/6mOXnenDv63M2b3UNK1qWVEVPBT3ObrT4HbiVkeio98K5rQekRsbrprbAYgynPi8dyxlNH1BIpzdCOLgPO038aVlcz2OP6Rjsfe5U5ZR+sVF+fomA5biWZOjNRxXJJD0I+qUvznP3wBScnoJwSIEcCAMHKYw4rhhi6DqAM3cdpP12ADN7vSGuIGE3TNgXBQI6i4B2KnmLj64PQJYNKmG0j6fwnVdQmhh3YeplHlFgz0Fz/mDAYw0+NTCov9Cf55qdrEns+znyxZSin9vo+UpGKA0LBgSIH82qyD/mdgtUVGHm05D0nEeeUoiPVnOdb306P6gzDAWKYX6J8Pwzy/gmAdcDi/R9AVvZEpFy3FWu6GLEiBS80fzELa/kXY1jYuSrkyv4rlUWR5PGiKbO1LkEmd3hD0NqbituW8M5zp8SoxHHzI3Mq9n5qmql4dTykKjJFQU1WJHHdrcXaOb2a/NsEAdcv4KmJfEAlV2s3+lmu/nbzkEN8Aba7DCdYJQ9LGOu1Tg6HR9bxhV0qSwL+5keKZ1U65W2xyKaw2njWVrYiliRSHqoB9TFGp9Uw+fG+PHPLE9/TmYclx3i3vNDZ6z3oEDGAkZQ0lBaekisCP953kGVy8Y97+Z6MHaPjm64OIUWBAIdFtMFOdU4S6WnnmRZYbcrsFYGGpbxeEBl/5tr6eQhq2D/PIzRZv/8TOCJ00c78N3MrtKeROCYPIxc0uqEndhL3DgRG9Am9eN1YFAuHGoW2/NSiSWJ0W5smmUAgjb191mgRrNSK1MT4vp03XLlz4hY6xdLv2L5k4SyccgLCr0uzHdJ2ctWoD/2fChpEgX9+GNReTkCU1gxH3QSStXiGNyJ80mv7NtnWTNqeGUovxxPuvB3njN8oP7wTWJYQmqXD3CQ6IxbuehrT3E7eO3cIQsEnPGG/R5eEzBNapfkjluqbKmGt3r7xtewH0iD+Zt7/QAgMIKZzZVQDA0brBGQlXcCfAAr36NZTzw1wbMmBITBDpIKPUcQjUtwoVGQ36RA6zD6owyZ4WQOQ9ZNX45UhWCRh4uf0meIhZ+hU8Q9O/Z2V0PZckmrSeCQnQPdmw+frTG7+AZyDuZ+UB12yffnWKpK8Smnj46DSJkUGf1334FeHd1/hx7Ogzy+q4/hBmtTDAV92qSpdHkZYfmXaNSkisui4J5nplfqDeJE5DmIb5XB5mMItpvwwxecW7uc7D5f6RSKJMB4h9HMEn2u9wYLqOooIbEPnyf1/dqJmcA873TikMISvWkta8yos9VZEZa04VX2mMVmLS0sBCaQBAXMa7oE7OURxtv+hCDzI9XXmNjmJh0ozun60ZMD4AI46mxnkKxc5eP+erM5YKf158xdqTBVyn/Hu24jwPkix7PYLHFnQnp0UiKvb3ew/hSjlZfZiC9NQrCV2syty7NhHqDXoD2ylIB5adxK34YI+Ffu/SIhD8kzIqH8xoxMfBrKBp/juFjjF2NCJUsrLjzpE2k+RRumUjyHfUYmZv6nMbVuee2SvCLQcki58jwQgjBQ6TZoFO863XHZPHSj95yJ3bqECG08nl0g+uJFX84OyklQBD2OYdOvkvNaHCOEcsSx5xcUJ+fLrsYGf7fQaZHlxJC78hrFKdsgN9BqK8wv9EHEveW07sLm4zUROKkuc3iTn8gRphINjg36CQmYFEivSJx9WMyQgr9ezvzYmn02fcwmbmpxjkyAneVFsPkMDa6cCxooOev6MWGtlWj2dEhKPh5dQw/UDy8xWl7M6oiJUWcnItjm2/ntFKUVNr1aVHWQ7lc8wxuPmpNo3ErqVcxUFBJk4szaVp08CniQO4opVJlC7KRCOLIu0t94kpckKxuqoeC2Dm8ciw8+WQckZLJDmWlj+f+QzpI4AcaZnTory8Pu/I4tM1wJ4n+yVxyvF4ki2FQJ/QrgwRltrDUp3D03CVVzdRJPhSNoVPbKyakee4o4mPvTjrEF17cLCUaOJHPdFUsKWgcjZ5NqYr8FKJw23vgZNzaOz5C546OISaiJdlC5ye89qAczrVWQgvE9rz4A25MuNPFWugXOZMbpjiC3DW/XSkj0U0/tPpDQ2RMhg1BUZ45LPVz4yTdecvQMS43Eh+CIDaT8/LuEO8bpYVg/GVx4D0Pgti+0okmo0GYAF3RcY08iJ77fRwX4uDfpTNwHms5TBIRS52hYVfoFrCXJQeGxobK4KZX6w04Q1ICqZpol/dr3TSAzkVedJs0KObgelenV8HNUPvKtliN2IddHDrwpvRt2PfeCl2FP6YONFby01ew7MSJWZ5+4ULuKtbvCQD1X0l2YUHIf1sFc9+mJouP+HS8vGXrHNCnTtNGrpAA12h56Qg1ASPM0Weap/vz5UwCBPETXsHkPoN6F5mVSdfq9nNrTLdosHzccVsrnAf22zjCmHltW5ivcYsVcObi4I0YtQ5iIBIxUf+GpFddjsFFyzzYAyHeDs5OQ8wFZbahdKJqQRy9CKcypiR1gsYAMGS4gJFULl3x6+nylGny+2MxX6TxitXH1kE10ZhqR5dTjsIBxjas1VyB5UZfbSURDOPY0PC/UFhxagycpIf7npCCbwEWI0YE+EEr2rIOs50QADDV1UGV5q1QKWQjWWBBDlwJhQIzE4Y0YCIzSfsFq2gmuesESa+d9uURSZzXz518IXKLxdR6J4MLswxT/o4M/kCsgi2VeDZVmTW1hXo0z3m3Iz6xUT9ywSiinZm88apuZdJtMLhLOzHMSzl34Ggj2nI9DWe8YI/UVSc0dqDzS+QCL69UlOZF//V+8BtMfmLTO/Gh7IU17s991HAw2UOs2zqDTK9tWLVK//PCLGjhsg+gArcYXuAxxZzsd8V+ukqckH04Avy/sihr++FP0fky9M1lY7fh5pw/dijm0R9knceRo+VecYfFUy1pcnun2TOLj7km58kGgOc6tFl0K7g5NnRQY97BajgfDlPtHihzN/gejNBFB/W6PhHdDbkCbZaf487sluv7BQO+OqqolN6uKsljC7PropDQUM3oXnA27SuxaOItkPOuUcl7DY86NlCpXBVMmJp7mAHD//MxZF4e0C2TR1x8tUfQzaSqGd32J+njXkTBg3rhxHufvHy1pjkjt5JYaRf7GV/EBClp7yURKX+K/JjJ6aoufyEhgRsKC6nQUxNn8K+VtpdeG1+rYHbKQo6r+EJP7IzrHGzDrmui55gXT2CIUwRqb/aKWzrtYjzj7IgqYrDmgdic5+ex+D8hslkBVxwSBvWsXM5TzgsWluGsu7R5KPUI99ce9zzwRzKC+8DGfHXquxjqdoO+FbbnC7nt7nOKyJi2O/nEugh/tJK7qNJCdsca4wHs2Kt3W/csH8WFg7SOswNdZxfUrtMFn8obYHorqP/6GLKwUTUvuz08r7rAVLTghX41ImWtkFUZzY9z9/E9ffPXKy/MSI3HYROVY8++LHmD2ZuUjDvIwt2EcEZlwD+3s9TJvII4LVbGLqrcE7aqLIXO8KFQJeu9hRbPhSNHMJJRqM+Deb7uwsLXukus1/x7bEumhHVXGXM/CKgjnnS2pSa2KicSjlHkoDaMDlEeyN8tcSgj4DLYagqorcc8aXQm1CEZO1rdGKDLvRABYvWX3gA/E6uNQ+9PLARWlvuW3FhWh/lskrwK8+K7zYzFfVbPug33c+lnVT+qG4YBMTDIMl9V2RDowgII9IuZ+paFA506fkdGbf+M55ONLqg/HrfZujE9EYbRCcKuFBoMRFFGQIKT04V5j0ssOE5rdcZagvdXf+g9vSs3sOe1txs4Tt75VZDUdH0wOH0DLh5IK9yzhkEYNg9zuNe57opmoA7YnOyD14AhHxqASPVoUdgifg5NIKAaV1KjpbqBS+akGjCEyPD5HaW92u/1Iy7lKnHyQS2nxkd6pozT/r0R5jxeXjqsE27OkqyB5lXZqYPIgkQIieQ3diFt3WEAgX1giHit2EoVnEAbph9mBQ36p2q9Gw/+mLQG5PK7RUmN0hdHOT0D0AgeMZ52AABfy5zcaRSFPSsVfWCLZb6WAq/s4tXIneOuJF4oO9L7ptHZqLmBgeHVoP03CdkXPZBqGSU853HP1Bz6AqdhKbiISbv1+Aml+6Wch6adshlEnjHhRGQItnexPwVERLGJMCltndvfMO8VB7tFSkfyaz/Bnb1RrV9qjomxGSBtPhvCpYoJPH0bu/9QKISKFW/qGd/gvgup87Q5dDtGNBBTBz7dvjXrSI0Q+waOC7q0UeyOPEKtTcyRxY8jpcsNyJp7ruTwpSOf7HEWQi/RZI8LijVLc7uBQR7r+P88j1zY5hshXAN8DIUWQbl0pXg24lGxBD94qeuCty9lcUUl/nVFLlD95AJiw98XhUoeWqcAGTgVFTPPAB9+x9mo6se/tP9ZC65+UTPRQSW6dG9vt+7Z/QNkfN6r205eU7EpGJER5iNGibAugBiyGkRwWnHKN/TzIJE6rGu5lUer1f1buytThX6xtTrOkleVZjfDKSojxaXTifl3F+D1xHcDZX49UpGYSj4jagLeudhlHOzc78mOx6aG7kXBrJxTLBOxgdlRmWEHxLkTdhQMqxkBMXXPcl5tRvaGycKifWIuZWScbzWzQou52nPXALZuWp/mIkXjblOEgaB+1yTB8xhWcgDew3nQHbrpAcgazRIPc4Vbg8xEstmQHGOdXs56S5tUp+rHR9YvrvkdO5qwKLUAAEZ7r2O7isXXkiPhjLV11ppDRRGEHQ/EDJ9Df5mP22LwcF/B+niStoL6Xm/PrWQzxLvv1e914sWlCY6Jj6GRBqGxOqbHF++qHh1kX1dUdCMAWCErIDrf+uk5HuDpY7oTAMbXNOR9nc3/WN/gNjwbtJ8MF4/b8BkFC742okj4qZRJW8oyUfjkoVzq3THylnStaExQDKNlwJw7NC85lmk7LO/UwibECYsIEyuUj/uQQ8htYWOmEQrC9HjhOjiOySfLoVfUgZYhflsRlV22IVWQALGEdAl+SiOOhG/TE0lBAVeLZdVtR2m5UstPA3bXb1LKELSUUgjxX2gdBQ05GDnzK7WxVL+AudqVGBvxBuehbtmK9Jl9Rgz+XliO5nqPf6hwvqz29TWGSJ0ctQpHX7wy9jny8y66naw86t7GvVe3gpiNcSdb6P/Vkfjv7dWmXBXxisawCg6qDTf+WsyH6r9jXuLXEllkR3QNC/4/NCk5wn7JyNUTXSPGtqfVwH4e2CUgH9QKJmTfCeRgV3MrDgU+iwfrLKkv361nTvXEzVHOGFjqTSeNdrKxoNYjddDVOUp5OlmvhORjHV5uzIhOnyfK+XC3tvs8MLKXjATJ6XofKMMOzfGJXxZ9SN85UC1R1RsbsCeRo5JbR37kV7Jqju1zIEuEf800T+9H2v5sGbcWOAazyW3ysejVcyX/C6Y5+QK+zYd6MhcR0ItcCW0RlItthQN5D95tlb/XWzXjgX3TPopAu7gwOYD4kCiFEhQs4MrwCfrm6He0TvsY0Rj3miBaAdwArowa0BoPGWN/VLbbWbLC8kEDA4Pzu/m/V15MnnIIQk6Q1WsgHfF9RmvELnAOjvrMUTO+0Kc880hAIiMf7gT4+a9VEverem2YbX8dDG3YBLqdPSvUf6rTZG39ARH60ng79SLrV/lTdbb09gCy8Yctxjyx6NVpX4mxZmOYAoLRlB2gIA00wG5tX0wT16WH1IxK0kodYuR6IzWh6W0/Pm8QnendWsp6yhB1VllFD6QwwxKVRFSlYW9NsUCZ435AVXPBtge0oy3+VFG+bK2VXunRaLvo6lkhg2c8HFfiqY9MSFDPcB5TceRK7tk5Cz+giMlUnDrBcpCprlFhZ23dpL0DTfGsjmrk+abB7pBK3IFCAPeJdvN2HX4n0cHrBY9tTytKG5DGnqQpAB7Sug8mQyFRbY8jmLKVu+K87O8C+OdtYmy5VE8DOROQEi7EuXe6gQX3HVXs4GTw7ckoL+yE+S4oANAtcGaHBVxuKABerfg/WgwfUYNZApTaN5gsOzrb1teYwK18c+MPjm5tPjk5sUYDt/Lt+aeGHJ6SS/Q0znbe/VM36A3A4zPHJDrIz5q3C/84UmvVq5FagR/KhWqfG2tOhwl3XAcD//oN8PUZX3/A3chALjQKXUCx9be26eaRs7UXCI4oYTdx2wa4rtGZnjmFl6d40x3x6mtperykz+u/Jd6QA5D+wmfRHz5xyltgLrRTaL2igiZjWOCHYo9XQpribwjCo2bA5g7sZ0zILGVfbOu1nCZRywXPGK1aSjl7YJ5ZyrpTD+GBhGv0tpTemxb7P7BVmC1DiEyTIFmuus+C3DEuYVbtn4+SzpEHul6mLlxU0WpOhVqiUY+NwdIKzhCt481uyVzcn5/XyVjOEv9yiLBOgVvSRaLRIhrBWDA62wUUIL1cOWiBpbTEeLTl/Bs/H/AG6LTJepdk+MklgDoe1EpPfv5tAqaclWFkht/4GQGxK1ViWX1aaoJfyAe72Oi9QId5dJGQgp45c+6YY+9daP+JZBftJcWk0JOJpv7Ri4zYLOdXUciZGR8PJgRWTrmCjlcC/fdf0saEj4naqH6UkihtxQHn6QSAJyC4T8EPLa8cm7EJmAHmVrYOjkwHgNUbfP1uM6sUR2i+5CHAqh+35hj0GlyNcKf3FafxNa2cDUsveU37HWocosuEgeJ+i4y6gBwZWie81Uly1imfvyDzoX2ngH0N1BljFz3jUCJ67MNGhDTCwN0g3EpJRCJI3YkvOPu8GnrONYKEuQwP3OU5CXxB0EbC8LhsiYwFBsbpMHLJ9lDpsyLcrktXp6PNDEN8jETc9egxrbsd9LWSIV0SRfTBAMxhIXmz0rfR3oMeHu/BHn/eVeoa+roJwHPMLZYvMxs2eSkEHO3hitPEgtJqJG67K9nIO9ALegpw/LjQErjzQd9lCxxzCgvDKi+MVD/hIjRT/4GLeQUQbjyANdAfOQ2oxVouRjAFgmFqJ84yp49YkWrhQWFm2dMLOFrBpuH2ZvU4QrwzGbw+Bbfde0lWQX3U5khPfpbcsJP26MJ8NUfKIfplmY18tlmFQ/g6JeJsakgrb/G95R3hcBka8QlOrEcupwC1BPG5ptx2up0mU1kyp9kjmzKuAOt0SzC03hCBttJt/1q/TG4sLqK7L5/wbe8q4npOG6hM2W48b18ldGzoZbAt/oQaGRaUz7eyzZkdyGcVwAUdHrlDm1nqo9q9W564Ee/Zvoo7b6beipNlZR0fpdmCEbX3dYflY5eOGINF3mxPY/jSYsnWLCF3jkUNRStz0GAQ+NJjmfoJxVaz5rr7Far4IAUK1GPNZPwJE+9Mnqu82r0keUidzsIPeDAnsNEf3ME7Ih/7bCXWF4jr3DGsuNOhGmKOeeVp8fc2pZxWuJw2U7gnT7WUccsxPl8NyQtWyfdEXXck2zTM9EL4ahuiIpzPza3PT2Fx5kEBJ3bRN/bz7A7uPY4krqLta9EmOrkL2Hlj8xHir4uf1+RcQ5srpm4XxCQy0bEV+6a9s0a3r8XkCtpc4D6M0JML/hZCFlIKZCigejtqNc0szjmX3rLXghhf+Lo8CjnwY8wv34hfvSIxxCZ8jZ6cCJUgEyuGvafg3pgDVi7CFs+qNI28vXiVfspW//W8YdJgalpud/RnXXHG+/jImTYoW+aenANI5IdZtjFueQ8LoNoQ5GaflADF62/wyUGBGeWf9Ogpj9y7LrW49bUTPAE8y6zqGm9w5dKsuTLNI59t4w0cvSowsMkRz2jPa9qTAlEj1DzqME6GNyQnqjXRoq3apZW7rPg1lKEV3tyhofzN3Pg2vlfanbvrIjsGtZDWcA4GUQmSaj9+GP5wN9rE8jWBqvknWrHRmHGDJF8A5hH4MHVQgPB5i5nzef4OpaQxy8OXcmSISLeHq7/o65w28oXLavjJX1Lb0QHcnm/mHOvpF+ZvrREMP7lwM/0nJ43ERqXwO7JZ9R4SlOqjIfNFpInfwArQ3UWRT5aAE+HQR5QxUTyvW9GMxh98T/pdn1acoHDUR/3+Rh8+AcNlERLSZBdx5q/q3y235xHXSoCVsKFN/3GqgUirOTRrFuKYDKBOpOb0RD2wJiYTFpVLKVy1wUB1yQtJoXD2I0TZzXN3ceEKTw5ZO4772xjQNUAO+0w0Ii84tBB8DLem/sPqNYPB3qxtCA2UTkKlUMCW5zOKrGDxJQCYoyUNi0bshZrh8kjFMkjIWbsBkQwQlDYLsuMIg/fYPUMmdy7dWVIEnj2GtiVTCJMoDLkU+iEWrSkld/yJFtnW3tmyuS2BYa65bcTA49jty8vSd6oQG7L9T9QsKZCzWO2ZP9/v+SfQ1tbNdV6W7qg+Iaifw1NYlyOIxUqOkHHfh3obsK7MiZ8fAm4HdBAg6K8LxkakOVc8AHjY91/Yyu/mN9vLh540QCiY+O92dBpwabgT8Fd/lGhX7Fbwb6I+0EmnGwo0fwu8+Nw03vKs0Bih3ZyxBK8IdWYKhkX+Mrn7HD9FVlONrQmtAFdUFw7bbM96niyc6iwrhu5ZktimcY4SkTcUSYM/V9gP7SARagyPlCwPjiWKGbf/emYV7BPfRxlA5dqt4eRCSBp5STGt7Y5f+towacizwxb4+BFK4Xa/HXorIkOIh4Q0aKQJia/8q/8WeYRms0BFeVAzlxo7wAwgFKNPLC5AG43d0kSIrTqJxVItYYaeKvk5tvg/otq/+bRjB6dn8H/sk8/le6gEfMaXJAEtxFKvOgRPc1NnQhTUux2yy43sPW2GPfACwGPJKr+Vs8kI4iEIAtsR+AsqTJzG1LxghVSqbM/X7x8xubPXDvvO6IukZYeWmCExgwLrGYgzYwf1fMMmHEjhvS0jDY8jgWaQJAldk4Mg/vcXiEoms++wuD+SIphb3m1xPBJQ2djRVr+rVN9/OeWf86/O6kLZ3kfFng8KSSQiS3WskSfFd6fZhIscYUc+IgYi762hJPH6eZsK74c29wU3XcuceLMHU45lCj/UVU6usaYNo4KlFXHMouHbkMcu2SpqpVj6e367VxF46LINlqeTrPkDOF4rn/AX7guXNAZ9kvqWOIs/tTE/WmlkzGWdqws0EiZGqwvh8RIiYlbBz6jZov6z896HzfmUsfG68G8r8LAO4ZaTKj1iCwFJ5rXCMs2JWiBuV0H94iE2LWoNNvfPgWlmuXGYINWMJDgmfEg/9pdYAGGh/PeAuf7A9ysNq25c7VymrwaUeQsFhocvYatbiI7eN2Gxc4pQIFUFgrdirO8VMoFw/QAY9nFnKDcyyLEjLPp665zL08DxHS7Rf9cYIkluBdWDZCpoddSkxU+PXZbrI0K5CR6FpIAsF8E2dG/Q9DfEBCJh0QWfBHKkofeE7Zi4QY24621rH0XfvtBYuA3eXJDISVdgEUCXUw4yKlNGwtn7hga0HprWfPIbvXs/ZTw9o5xrjpkgxU7aU9FRjZTLc49HosiMqHdY+UMsoKzVFYe6tBHjK1AR9XB3NgCBHzmsJQubn/jf44QzbUeL4T+81svqF+Zc8SivVxZJeneaUOaRPcCIAujYjbBMJBNtXiQcQbfGbiZ1v+OViIS6sbpPVwwLG2zpFMnU66W0D/lI3LW/JRQYtEyfBFID7R7C9iivFWUqYZlHlCyVtXYgeyjsaq9lTgHCUnvWLTzT//MTrECAYbZqFYvj3Q7rV5juxVT7xUttQ1hP6uZnZ6I6EqlHjFfDy7P6YMZHK3CkclI71GT8DzPmnqa8oO21zNp7G/MmsE6cLi7QeyJntUMqR9NzxiD21W7PA5BhBChqPhiCQQ/X0lV7zhgX/lDmzH5w4gw9Oalk20u7vV4UyJTJDy97/vf78ocr18CYvseWOZsLaUspMiAm0ZYmEZwwehx9LJ5e+GWavOsRbqqwXyzJuehfB0MulzWz1l1WvwI613r7r9BhQY0P+C+CucQlbMiD0Yhv3uSm/FbkOcw2TAZTX2uKL2/VIrjfaxwYB4v1xLJO9lWv2Cbhx3KmWhWGLO9iJF6WD825NNMjK1/orRdltMilJz1T0B00BcezPfluYJISvZJA8U1Kk7c8MWRsYjzvc6csCyBswyruO/bfBsPpH2m3XuK10jYuRxQ+68O9XhI8WHNe4yHGCcb4xCHIAPunBM1Vzvs4kVK5bBsxT7CAZEaMz1ypTuy1I59nGo1IRNXqWeujKeugy16eOFiA3QwxXGaZ+j/5S2oQKBvxO3srEmdaN5XeCK0JlaTQ+E+lzN9Dl3hmGyB97iNcvzK7/9aO0On45JMTdph0jdvcWMYz8PJ93vnaEqnkQPNnwVYV1m+onv9OWIk/r0OwPzw+TihFv6zeib7uAxsPyomTiRLR5XsKYhMtVohyDfr/RlREDH4Aejrajar840aJ/+e+t695ZX6H+sHuFtt6VFcSMaHLt+LJtbpgPbi+E5EdY/uuzZWNoyS8bS+ZwsW394aWA3QJfZ0iAYfZuzfrOu92GN8UtDo6P8Sfn1iY8Hk9PZrT4fMtDX1oPjBVCPfjiiFEeEfJPNClULYpP+9m5ctJlSyl4VjSapQ4DICGbv4y4FhzplZCYiNe0hxIBEVYNWIwqy7HYK8Pu3n8LAmgyFChzH7FkDttYSGyYo0Crhbu/dVPN8ro8qU/DvRAJF+Yu5pGvLeELNptUtWgK8MBixEZh/yXhmhZHBUJSlDaAkSJdAmsrxSEsPn+HiI7ADE16IlBkOzGCYzLARGb7gMt7fTyGuT7WS54WrL7a+IhqkxHNN1LqEHkSczcrJAanuHH96yaU4CWS+ykkna/nfZeXVe6Cxy6RFawfKjqTqxlusc4iqQhMPhSAKGDuLhwqOTQb92nxy74UxIo+atL1ZP068QoEaQYo/HxXOgv9MOkQwNUSH6zEcIck7H4N89d8epDSYmJrHQTwUXYG+SVcxU9oTvXHANfbFBR+lCO7cewFHUiJr7EpMUs8Vf8XIMOeWy1/RdhDZbhTmuHIDaXJTGSSieIsfOL0bOK3/aYw1kKBAozDMdglP0AWIY2BS+EbcHYoGe0eEhhSK1bGlamrtUQP1N0Lh2pxir43HeIOUhPdJ7/vrFHSOWwMZRgNKuuRCsfN7To5fixULr5ddxD7n4zSK3cGNEci+tdADcnIJaVv7zEJn6NUyyVcfFugm4S5/beevW5ULcX6Qa70x9HVFpLUSsllhCiYA63cV9CDnDHb/zHIVJkY5tnex72YWdWT37ewV0us9sC7waTauRQJ98a6X4YTCMiV/iFPZ6Vk+fCWUOoSg+LZCf4jCdNGG99IqjTHI8w+e0j5qpbdRfFUBsI9TwwoFSJ8VGkXrjMVzVxgZkQ4WcEEXXNpkghRkGIII6a2SPNolWhoMZ6pNxpPIlx5Eq1RsqZN6hgJxDlkrdffkHMmzV5pXcviZPcdJz4hiCpttPd42rBgCJ8Tk72eRlYPwtLthUJb/5r0nBUyl3Uyix2FAbxzDUP7uDbViQay8VxdEpQmz2e/KG7ftpLsiSq+POAJekjmVGmxxvIytDLV1vPmuPU/SvpY3G+J58zVn9EM8FsDZMuJjx7ZVhiL87YPvjaso8b2xnh4/kFsxBKe6qJa4Oj+WeZTxMqDb96Y/EtJL7E5aCI28TU6I/oIfh6wgqdMQkM6sbF/gY236qqGqbtCVNY+4vWKxInSVMLTS5oT+4MNDVFFu+84qZ7OAnyFpvPxdidNpkTEdYG3a1Tq849Y9HSlk5/fLpkQDBYQ+KknRQAYERHnrNOTmq4GBsZAa2iCVeog2ZDfSvedDC4F+8IBgrB741JJTD1m1HquyNHBCNEGREDeeLRKaFhM/bZm/C1X6XcfApRyRNr2s2b2NLuRqa6JzgZ5b1iRHLKW9aAJFx2y9qrb3q+nu6HxzS0L/Xka06q4gDsuzRdzWYmsSlS/SKt+RT/SH1X+N9UV46O+WbnXhXWyacHPfBRpkhkDCI0iuFHjx8jq1nA6apYwaxpMpzinnMTnKHNSNAf6x3aahbXWdNFJWUa6uzS4ONYHxt+MXymVw31rVPCCbwiE9/z+jxkkValzXm9VBIxajW1q51Q/hfLctOofILX8hTEoBGUss6v+mOS9f088O9qNrBVO9hvuDb+AnBnwKe6QuL3Mx+cEmnya1eOj0pgrf06k3lv/ihCFjADZC2o4NK21XZYZ5QE7IEGgzDg7y3tKenKAPIlIec830TvVFFIxzng7g1eHLui/W15HXz4s1oIhOMC2/z7d1wn51XNEO/LH8qvpgF/Z35PHiMgaP3x1KwlU9q4+P3S5N9mF62BzFmaAJaN9nrvqOyuynkRDxbk9epH/RhvrfYfGuMYFFcBUa8KmJLsu5ze4aQLnm5I1eiiFOiwYwLhAzBDmY8M/8+J7dXTk0FJox9sG8vhcPa8bQu3RahJnzljTbrKRv8ffO2V9x3Fo+OVEl0pD2Jz9AxcL3BCX6rM6Gj15KrRsVnVgPX1ygqsrb9yg3Qrb/h3MUQhdsLP366SAIDodONgUwMdVDaq0Zqb+MyeqnG1DP0EZG/WE5A0G1gdCJKoSt9+XH38uyN72/G8rcGXgPq2HeNoApw4qASuiLeJEUt1Vjq9zHE7VeeG7owGKoLa3wIqARKoxU1ZzV4He3bKcveSkpIn0E7r30xtnMpfulfe0BlbYofIr32DItwgjkYeB1k8Lrvud7tOAnBeekTNg2Pc5c4D/c7mhkdVpFZpErYx88Vh3lWlbRCghvZmpB0Xh1jPY1wofhbcgobSwtiIp+UPM13vARmZ2rNn33JPI2iBRhZQuETWJvqqYX6hn46X28K1OAFuQtCJjqYfz9R81PR28+ETuzZRlWpwYETVwQHKKDf7b1WfEL45yQCrQwQAGmMMyLLIrWOkBS/DGcNcGcpx4ATZImJUlD2mjIRPA57fBYmug13ofzPMFSL1LSgjoai/kh1v91hAYgLWdO8dV6//GniN+Qs1ATQVAtmUNSeM9i7A3hBe3M2LLlaC6tLZesS8/HrawiNbycr4uc+x+rnkYQsiQhRHRaSnJbHqOfRyQMuNrXJ1bX05N36H0wZPD0peAC+v2EpiLJ3BISmv6AK040HJr1u4wrCqp7vRPqHdym/xvBNsmiGE8NJdbksb1G+kCyuTyHkLfLXFARZj7qmHpnXaHHnQ5WljOhuMTehWAwBJ/8SLoFdZrW3K8eBjVRdbv4BblBWc4tTrtkJ6YFg6Gn6mbPk9iRu5QSqn8SqHVjiuORzqCEvYhh8IyDkUQREoMrG4loftX0Sbb/ts+OGqYnJPo3kP6mIVqkoJtjNPyuASCP6ivi2r3PV2Ax/+xuYuHri0cPdlYDIfaxItGxGNqr02zH2MI3Bq9Ltmu/96Kzy6Z31d7OLLY3wmuObhxwt1cgrpVfHhIkalD4T+Bt4S3ztiB/3LGjV4nPu0aK5+PI6UNJ/AD6EuK8wYr6k8NXFHzyjcKBMeTVVqp5UM3L2GD2HkRD7ZVUkqmN9rFpUpTmAgJq+5tx8zKWhwqs6P3ylmOz+Pc8SlvElpJ+Hq2NiD8Rr8DPn6du5A76P2C+//S6aHmXbHQtbXoK4iP2dbpyxLR4KBx6JaY8CLYV7LmUWI2yG+LlUuYOahvSnEn+8LtYysiX0QBiTXyiaSnXI7O0yGsTIwMy9rBmCNX82OA8RBGg26C0zhBVb2La6t2mzUXQbg5AcvDzRwLjdqrMhvpkf/WuDMPbnV6u0flMCt6kw8y0cJxLsXgk/0Lcb7eSTPS5+c2UbOgsyK975ifZb3Gx71A3bbvKct1HJhFyvP6do98tCTRf5a7dvVyPYyzuH1E6TKGEOClX9hZc/LxsSPiEEqSeZobR0lDzu5yUKqShCjrg7lXfRhezWsuyMfn6eCVCMD46lO8kmbz/mUXyzAmGsnXlPV/Cy95Z6sc37351/TGdgrtgA7RKPjB/6tDjl+EA+bylUlxj/nqkh8FwRI4XaPVBDW72xabumHExoi/C6dT0uUUvHOTDMQ4PVpCG2TE+yiZXYzve9Nzdp4nJwasrNvY5XrwJ2pfPUwgf1ADlOjNF45mx8B0erYBmoCYxOdEf6ktMcciUbb8USHWAzAQcGm9L1u6VJGiRD767QXnBeqhzelYuXiG1KYUl4vzCKO0bmIObGG3g+9KmJs12MIaDOwGDPgaV3H4lCs8qpc7Hu6qBVktunzQNEdWp8csLLeGvpVGrtc8zdi+HblJw1ypzFbZ8EDrytNbEG+RgdU8Gd3TrSl5PRB/Di0DC95d2rHdOAsT2bz44o1iTRL7qdAH4hE3CxPMesPhGnuYvJ9DJom3jWztXpY0n9pTOxeTIIWjTYyP3VJUwC7iXuDiwRnlIvYL+Hcr/o1Y4FUaASCIwoiOnNPifKGs1t370xRr7LREzRotqTF/zFZIoyvcxggTqwjvvoRi4+qIdWuEQ3dGGtyp/2/AyAiGW83WbjNGK/UfFa3Y0hN9jz39CgdOT8r5FOyu0xzW3XVbKroQhZw7j82KgBrbKHOkpOTrSX+JitKRzoikiAmfqFUEhNkh/3D78Mnx+ZJ+7ZTUyVC5aA8up1NL7meK16/6x6JzEeSp0dZ1028jvre8DWlz27hYfOubKlWndSkRiNCwAm/4M4HhuBhvJ3ivsujHopxETd4HIDmZ0h0DuvDq5WfksR8Qg+tdto6wvk+v3TRr/8wGJ6bQOqXigUR+33gr2OaNrOPOKCz12D52YT6Zjor10fpeuM2/j0A6A7MyQ4D1dQA4USDx8/bxmdKqbz7WXpN6UCCE7XHfdrUy+Lj/MMdYmW0QVktv3vT0jKdQYpqSu9WBhzmW42cRsojwgihstMJYIZTOVsMsrQI2oHZ+5Z8IuTHcQscvE8BVzRJWEohXPqrBwl0X0pCSqH+HWlHO8dO0zGJRAYr0Rem3P+z2z61nPNpbrgvV7uV3nXtKdUwci2rFgkLGMkvQl8BH0Vb7viR4Ze2VYWkq+nybNz5o9qmuC9M5O/7Tg0Iu8ZaORTAb4rfqA2v7eemSJ75Q9mHGcgPGzQkKgiNrevQU0EgiVv0gJ6FE5WEWzy74gnvdbjx+8qWEGN9NZO+V8MiHURWma9Lt8znO82GfCxLAEot/P1v/S7RLLjcqx+JOVIfq80NVUFslYOf0A2FrrAlpFcHv54EUMmVZi8IG+UtfCDNTFMxw+ts5Wna4NCqltNgGW1ncREo2HDjoJs7778FMHit8CRO8S4z72PzsJ85msAvVXww+Hb7ail6PXuc3g2aVXsU5b7Dt3OhCuw5A9Rrm5FrmJiUDL9tl/pgiSyHzZUUrwTLOcfodom69OfV+VNVB1PJwckneRNWw/7Ib/6FJ0HihqzSvf3kjQBduhVYG/yRMqCuZ2lDwwLvLQaeQYBwPzUzynSOZL+hRp8jRJ1DV2aCBAxiGOVNFAG3r4o9ce5FO9U5MSD9+J7zULm+hc+CILO9fKEalc7/RuYx43jeMBeswrlvdvwk1OPBaIImhxypo+dwXefZa9ah6mIimO9lVYXcno5/0NJauTNNnwEc9s1JXXcv4iwFWP7TT/c+JbpVn0zjEHfqqRpw8XpsOom6VbaMG/MLOdiUCL3VH2z+Aq0wCq/QKVu9dTQtKk078eYqGvRAxEGGnThVAbk7vHIxSX1S5vJ2q62x8FMV9I5AY76sYayLvatbXieUqA6jWODspo6nTzO1piLbRYJQ1ZxF1j36eKYDzLA8+foEk8wgdQOOblUrwtCiRCvOr24sNK4Y4ILCKWh7WQ0fwcHyaNoZpCdyZMmwT9zkwB2X68WdenfhMlsZOw0CcUsN7zLO3ZV/Sk8iBQY1DB5GzGKG/WIty6ZxrVlRMgpCZuVFKtZG/d4CAHdDUayJBdvZckyicbQqYFXn9XXkK2zJJoGVZUrUlg61mBi5FKty0knvckXouY4+N5CH2qVLED6Zge0ioD6ojTaOIgR6QD8GnUDMHxIQSjPTKjS1yZVLbm4RlSg5aJ3VHAjMKBXR4STNI6sLP4r92yBW90GBWHpws68e9j6ugSnkQqffMZBqIsot1EOpwtrVjiUYcChzoRABTwOB0jUvr0Xomx4M0d8ogkwrRhO4h2PiDr0de/rCR5S8zKdnY36LrKX/QlFaa8AqB98yEcFZUa19KgUZXUmMFXy70zk5KV3KwRXjyL2oomW6vRKjikMzXLfJRP5xvElaXdbA+S/a9rKxdlRiN7nNxpx+WgO7LXpTSDFJGqRb1gH1R0TTzJRKED9lAWdITF2CeJu+IzhUy+sdUofET6D4xo3ELIaBtkQ/PCVb7cq1HTIkcKNLLwXa0V7+LHYkAoQ/uohJUAueYKz+BWWXVjf29kIg2Tg4WV+5aQVuedMLdGZ7p+ecp3d0rVrCCa9p0qx5yG7Lfp9HpMkkqjH0g5DdrTb/SEudLfnzPgtYnX2an6IThN02p+kCGXBd/nNcUvGfL3w1qIPo3MFK6xCgxJGg9PgtmjT6bj6trZ1oRCeoP+dDZUyK5i1Voqt+o/OMhQ4j9BIP+SebozAa+r5FOu1lJdGvzCKrKg6N83KmeQ6hVm53XREA8wST9HhLRvjJ9LrNsCInJKSdPZCo02yKT3Fgku4DrD1Mo4faH+AF1J3mEKB4ONlDnED8bK17BVaxrVJtjDoBaVXRSiORc+k7EHBBkfZ+e08IZdKNlSlBgUN7khIscfmY41qM8ye7zUVm2WDMNruR+Rl5ypPfSGgGVgTCWFpWCDVvPJeGcYsAdvRwWoRaJOBPWSPjtT8fE+UvHE2IeaHVtKP+B5aE2O1waf8CRMjKV1E5RatkKYCZ4XaEvEtiiWXtt5k7b8+1WGRQCzilpwi79OAzbariz/FGa/7w0cpgvVSoF5TPeJw/6QvsHT6lptXj2U31ySSjjgsdZTe948q/ndrmLxp5A1cKtqsbkyHNpb4NwUAyAzFCeRgIplFpsI+S3LDRq4mrTxTYNGgDGR8tGcRUJkMdtzkO0p+Ph2ZHCMbfKPwEh52hnTWTKCK4SqgtqzM0QeYRvMQU0pGLgiQjPjK6tm9wRsx7slKgE25m9H8rpitaIRjPbSg28ppCVQhUkJ0knMIgOmcK9INr2SjcZyZPHnVLn45WmRiqyYRyEv8dbUkBwi/BcoOZn2TAmYf/m8Jxa4NM7Uw8HpjEkn0YGMFExy5VNolashAJ15pO7DeG7J1qccKXQ03rBaayiTN2w+CYp0RMosk9YW3/GSWLTAPUc1sQ/5Vl4I7hli/G3s6/Av3U1o+1hruNhteekDXkjlRdq1vFAXfPI8GmDWggp7ZluACAxFAhq++lM0S1r2qjn2ceUhxJAeijRsW/Ew6WsSklmchfo8VcbbdfU3loy5nohCZffXUhMsaqsc0QVxOM4yfA6vTAciT7G2275WhgvLmiy1kVSlyUT9XJYsYRSnnxGb+M/8ameRd4rcB9N4yAUGIn+EszVOaL62OUbLC/fhrTdYk81d5e2ntomRwYb1leAcJzOxsNWI6GzyakkPLX7d20q5JXbE8GKT799MRW7dgTn2+BoGozJxPuSC34Bhy4uxgDf00mht8RWQJ5z90NSzwtJ6cQcVvq2mPdmk73PpYF7XfdRmlvUretvi80uhGDMMwvJpEVcnQAG8AeMea01CJ+wiG3aPxp245ZIQkxgP1eQZzfRghgrf3y3FgDPJU89ABund+39JRpEPeekRFHf1VaW0UTpZilYdbnBIJysAnS6QPxdtAj3ejoJ/lyWfGArXWkYUl5aJGBMRyLAYdjVXAxow/P4t5Mk4N7qLutp8n9XmC68Eop69kqq7PU/7peHJZUFrDVLXhgSdgjdSb2dfr6KIMsuh4XYujDiJ09uRQbbFA/nRCgwE9M1snBoGBhUp+z4XUqS/h1BqY/Cben+jKedVg6MGfXLxhKYYezNlXof3ZlLZz5/5Ug3p320YOQFodqIyoSQmc01xgBBhSMLqrYtu5nMNTYstjqgIsWnKoXXkMThjJoBTcTKdk/IbsSlhQi2R6upe5w2jYIZp/Ys/bv7nLeEVHotg5nmS6VV0WSy1XmBNu/4YYqu4/WC0zpIcvMRshkgY3Ecu7SMmAmlomXeDYA7szteWU7O5XbjWdDxAVm8exWvPnRh/uZIdhAzSkvSnAC31xny8WMZ3EfAmKjH4eIlKguyZh/rzu+VEX0XNQl+aftZs+tvu4N+0OsgP44tfJOsdqFswPrlqXxnSRuo91OpB9h7Uj0/RD7JCyxPFq0NWJntZYxuPo0MGXwMYWkdJVIb8aHEqf5aYeLRjMRzIAyEfbT+0JS+4xdLUID8JeM49uy9wvRNszeqis45Yer8FPB5ZPlqb475Q2HpUcJeh2OlvhxNFE20kcwHKzOz3nXpCi6WnI1YL1y3xNfv13rFJC3F/ukXwP49zRLlC55c/U7Ng1kFDlhQZRgN5PlM+LSizioqoWEQE3PRHtvbnaJpzeWX/NMo43TOP0kHse1P39vaXjk1i7h3+gmjetAr8VhXwVR3mGLqLWOvIk0HVJNiTJr4gYB4x7LxNJ2ipW4rYpt0RHKzYiPIqibP6gth9O5N477PTTqKyyEYCgxmHnL1nXXKMW6bLOfaKJshftmVYKrAzna2zQFT7wSV/QZEyl3dXUIU8AvIox4PwAB/lrmBpRkkE4G6gu6dzHQ05JLmPb+YOWJlvnlwBN5Dn8QWS+wE4dtWjWS5Jr6honb6RzcMMb7xZdz9bqVLKC2cFSJue0vxlnkHffOJT2ay/ltYsQ+tiHk3iCUIDKX4lkxrNbFCmNtFVSsngU5RufLzpdFMzyGPRdwLHH3x8oFpSwFsr2nOvoxCrry7RvbEagIYsNcUgHU4WXSGz/FKqUxIJvk+TX1AjI3dMuBzM8UVldKxPsNoEwTXv6SPYYn26LCW65xl2XILNag4/zdrsC8TYBv8Ch88XTwBvJle6eyjxhFVoWKFriHJneGFYqz4kDoRZuH8cusVrmAfQiImHLT7ngbFxPjuftAbZXa5nIkt2rDp5Gvf0kaFL3CVREaQx733BCYIfg2ZFNSFUxruyY3hziUkk1fzzWDA3jHGKu5p8NfOtfTCjVqAySIg8v4ETG7YJSWDGyXHE/GdJtgXxwOtuA9VPMzEH79s7Za8+9UHTOJDLeAI/+B7csOydKULmih5TNBdbmDZNfe9VN0A1H+CiNLSwx2X64kJVtKFS5/w/QW2757QjcONTIpwSP8XW+U5Rydry5Sy1SCgrEJEGE675dky542q2x4o0wTsX/ghroZslSbkX0wc44nVIRWrO0uLBDk+RkpkwBkHEzkixPUQPxXW+pUia4Otv6Qn26fSgKe/YBP25kGiKPlo9+x3N+PvQvTD04N2S0bhsuJBbIWegfdciDfII+G57Z6VT7VjOxzfSiMPc9AV7sMK2Th+72M4NQq5LY42Kqd2ycXI2htOddtzhLGxqksGT6DDjjS3kOf7tPlzhliKy94W5U4aglM9sxDuC4H98/nTBZSVyjlQ5+5EIRASTE1Xq+5ilftj6+i7+muCLi4G1O6utpUIqESZRG5JZ2DTF50iskF0K7OaxRlsxOQaBUUHRYJDDeM8EjQ2KWbSKmxYcqwnzOmj32BzkEUowDzFhCNI33CAo8VdMmqX5mWtAS1Hocdh5UFf/1zBLP7z5kxHXQkCEbO5uwL+2VoCWGr3iRum+G4KGKnvj9BiB0fzCAMXt0deoSxdjHGbnwglQ+psSNQqB06lTOD0cP7ta8x6GFxDNCx4p1WgGVeXYJw65mfEXpf8nH+5KyR60ktcITO7dIPUuD0Fe+UfgHvsRHdo+jqdlEtnruBr4hocFcvxF/3dcCSw6SK7H5CE8PBp5SIURBlpBbN7H91NKEPzHfU9fgDqvoK4DShKGGXCCnWCUeSgvn02S0c5UE0iNUwjiHKYPsJfYjyHodp6n+ZbvSl4qSyh4D3OINnlaW3MK0ld4GaB+olm2+mT3DqiC6Yh33ypQMWXY07Y0kKWvnrK+g3YtHQaoROv7xBuEBlk9sPuz+xkScvNjQ0a1rgv0vypo+LScxVd7nJ8uDAaKNi0cHyj4jIPhWrGHqzm4E8SZErgNfo4YHEoTH9nsxN+TkBcwa0VVDdSshfKuDkNitTXCCGFxopMIpCpq2v2k4xfSliVo4Dtow/VnifCrkuFLoNA8s0DNbKbxjzDNORixFzZQp43ms0tmFBXSB0mYu9IO94GwXljhrqPMU7gaOxard1t5dgZkrUP9nStkNJ6UHkn2D1qa5RtP25+zeFhmwmzNeHXfy5KiWY+DMXet20tw8u2gBf3j7eYkZHu/TiW/PFZHe5+1hA+NRMnI4C5fvjMkvezQSq3L2OQBIDHCVS/J+/BDjztvZpljtO8Y72jmiDQeRwqZQ/NOdtorBI7hJ4HSbBfbCLKQNVSbrofdn4YKkFnX9LNrzLcv+lH4MUseLi4lDR3xfoSUa4ySoATdUEqq0aOJmW01N3tSBrAb2VqUAp1++HixVmnbWv+RsyPdDdP4nXD8BEiB3aQOlcr1H5kfE+oimoHZ26QVnktJenRq+c5ZrwuuNzOETlouDDgQTwMNrsSJ2DkD+pddrFLA8fgMdU2d4qVND/xrPoRzr94X/XvT/A27uQSZgvoZNwC4g9yWxlKwzw1bo40Yp2Lg8I37Y5OUj8uVk47G/GCwRg3NAkGdCDQOOXfNjeJtmCrv8106/6Wueq2wZnyV53m8RBaR+2qDg7/L/x0h1N1TGu2XHep3zKJwBlO+gERIZGCVt5vpmz5qyvY3Bv7wQWYR3DVlwOb4wttRSf2BN3q9JKsaWucfywtnIZ/ZHFcSoXkSjuMFzoL+YJo+lJdV5Af6wh5b4LFfSpvEtH5o/tX+E+VE/LGH3mDIY3IWnUtZOL+Wex2mxL1NTA3eMOddGjUTtPWSB9w8bpG7qQwc/POb0EV+BvlcTz6dE9Z9ya1FyiGDn8UAfP9eUd6r3yLVGUo2e7HGiwe291sy8/GkW5gW7sS66LSSMqEOXLB+ndArK6/kAXcwyp3f3rbWn0FuP5ni1IPvfVAjskFCI4i6ep/GOYmy75wKNk5Rb6XQY0rDTeJrY9ZzKe/N3TqoT6IcW/Hd3a/9oXKZjt8AI6vjgpFJHpSLJKVN/W6396h0JCttWOaXs/+UxYTJEJ/iYz8vTqvG1cGQbu9S5Waj2OzzaJoPN0uAxRw0x7mfCTAixf97SmVjM0EqXHVSXNDfhiLdhFnNJ3wcglMNEFrpN/MHNLpT5S5S6vlv6sAhL3COnlN2SXgJDajhfrWqTM3ZKjPXdntTR6zLpUPf2SKJF9J4/Ky8lPi61fVLnxMjfCoRxZFsHCjOExN4Y2fBrlemZNvEJTg1rhc5UmFRj7gKkdTclgn6MHmmGxyd7yQOTKrN/SrCI8uVEvPQlEPe67IYgnKjbKCaiK25Sm/mXJq4x3ohv/WF8rHWKaMAq9QpwYN3qd6rwRDdN9d4NV8G53Jmkj20Ek1mZ2AoRJV/lQQmkQ8Im4FoFOefAhu/R9drXq8wi32/cSr7hIBGrmvjFoCa/5XbdvgM+FkcWZSKofXtZnngZQk4scC3z1jKiGTjw5vCCVKKxkFqVCldpzmPRUqL/Jvskmmve3YjhL6zx+kaaEeouIA4FM3MVSRaIPZoEuMjzKv6FPq/9VK+DVKFdqlyReT80LBsv4EXuiCSPvvUiD+Cm9EvGYhTKH4m6pH7opvBwuSJ5/Kik/DSjvrdcTyf+pfxQ1CVYxVzKpweim+37XJ2N/ziMr/Z8z1eLGsIOoobguCxIQwplQousputg8pEEWC7OUuSsc6DJj3lEtOYdE5BIKvrWajugZhryY9L995eNNEm7v4KaJiKKr/Wkd7SOozRnzaoMIq3peiqadG8iPO1w6sI+4wUGWGJVAJZO0fhhK5CV/dX9ze/8D3wJFWWvQ/0csRuOt6BkKR1i3ydGJJxi8EKisx6kfnOYBYn3ZdzMyzFQ5GB19eL+eiYVMVYmXnzsbhM5u+rYj4tbPNS19A6Zd4m/REzEVzop6GEdNKuMD0h44gz8CKP1uxsEMppwRJpD2hF0zofWML7UKuKm3FnAMIAKwSDavn474fejUdUewvYGI2i6FUNFzMKVSBgnSc+Iq1MWjsmpDbK1p3jeYtPCB2+3swLlzrq1MmWqkXxvtx1jATYXTBz9mlunn0CO2kF+BCDr2N9kU++7dYa3Alwzi1mz5RlXkTprm7d2Im+pqKzQSC/RSl5nMaJE0jBUCFhiBfXjpzjCGaOJdVXi3pas0mbQ5PIlmzfeBMD485MgUdm2LLo1f7C2IiCOZpz+qLewykJC16k7UNVyAQan8BccjOk8crT0WS0kT2qwbDQV2taGjVWvfsqxdKJZ7h9rUnR+byWr8jYiDpx4YMLktYEosG1oZMpl+nf/k2YTr3QNOCoqNdiRafwE3io8h/ZP3F7kDfy9I3bYPHrA2qOTQlmVqMdvRspBjlL2/EVD5Lp4ygzSjr2u0hJB93m+i++mS9H74EU3zZE9gHWP0G4osQgg4EPLmC4oTco74xU3b80xVn/wYvdM0jFmwvXL+7Z77LNpmIXDSvUv6+X26D9GJhBxIFkwLU06IIC2GS05Y1414nSuhXkHPUYv3qKGHDwZRTZ1zuhuAmzGXEWpRg+zdsRbpAjMYxZ6a7rY/y0R/dlnomPRXczj4VUrW+rGyiEBFcRzdMWMloGqon41AGQ97mhYvEWrSRwEYlfqUi7ZpbeJHbCfsK5ZVv9e4SVUuY4TdOQnxrwj7vXR2MF8hOWVC6qqlfKSgRvDUBqtHzzYntwZLI5CskNJct2QqTE4DfmGfuexD6l6lWZy/8+LoGJzwSfrvmSAFUYlvBOJEqY1BugfzJ9FMBhE8I0pgtvbur6rxnK6aeY0iqhsRx343VQ9fOzy/xYdmqJeh+SstFBB/pLCP+z726+RDWD/6xlY5LeTQkMVICpvNeJXIBOONTxoaekmuu3fmFwILQMIkWvN3/aohG4F2OquA/oLtRtuGx9rn21iQrzgPO+PCG2byNHieVGFxAhZ6jL+rFhbXdp0uJoDOX9Kj2HXcE1Ze8bLMiQoH/9F4VjjbB4MpwT2oLm3LkvgdOB0PJRfTPF1r1RI7w6v0rAiA4yEiVHaju1tzTVikUXEAPA13hYtM0Be6Va7Dfl6YjmursND89Ge6QmUiz7NQ3WBdxEYmHgxZILuGOqlpd/rhf7m6Q5G5dHVIxq7+CueFMdTURdm/KJaySzfOhwU6kn1sf++XuTgJMkRAO7c11F7Hu53VxwVzbFQRU5QapmmzmSN3jItUD9SYkgU/HbzNanr4cSMt3+wbr9SbABAs5GJb+g6cFLgxLhsA+fBoXntC4I35gOjcqafPAbeOJk/bt3XjNO+F7mIcjzBArseMbtnpDPrtxIi3A6u1ss1hY2Cy+tnR49nZc26ywi46qR6vn+sbImco4muR3GAq1Eis2fh7I6xo8FmbC20r0AHwzvlPuhpw3wwbgtGo2FTj0PlHgZFN6BfLObmiEB8wZ8yoDJU2RPlwHRNCNoXrjAcRowKkuTAvJyXmuUBWdeo4+1gag8N26gUAlZfzcjp+DBBhvpv9KnbPGEeqs8dywhnLgC30zRv1Lmy5uS3RtVGMoYalH1L1TT4QBIhmiRrBT0wWeeDMJ04ybZBIdus4r58KStn8dUc1mdPC8b7Bg9lmVToF9LiNMC7STrBhPiWM3Vwl/tdvuJEr+timU/N8DX6ZA0VHCisqg3YNQZBrwhBHXThyJvBB6Dutu+rYlc5wpR5gNiv8sOEKcH4/EJCpl3SECPdumlcLyC7h3i6cu4Cn5fQEEsdO0yfJZNo5KNOBJPU55d6ejQf0bw2a8D51r3jVfG1RrkbDkMQZg8nTQrdwV2mbF/+4X0FekGjPnKH7wp1edUO+WuoOr0O+9OKc0TK44abzqHqfL74BIhzXJmI18icAVOdBtOAzZ68dTElubwz3D+rW8zVPUmMIrZmkuOzPtlqaBnWnGLKK7T9Z3C58Zu2vvkxUkrRoE3yvB3i/wmjBYNR26rDRBN9QSqDQM45o9ZPej3G5qqko8vTMfrGM2fMtNgRwAMrgttjNiAJ0wnXhSTwhXW4+5RUo8CbNhFWf4JLTs5E/mHYph1pPg5nU6VP6kEAmxBE9alrJr9g8VRxnLL+qQAAS1g3rotqpw2F9RrBYDioTwStWBhm4LseRPoTgCP8GSSQPwi43A3x/hROtTcBSctPG6MO3MTwvQkLt4k+mPrHMAzbiYY9NgxiaRZMAn7KarbD6dWjO2jzJZnpVszVypZN9yl/T/jfIwPufAb8OxaAB8TKunYqORATstQ4RLaa/yep/wgV3kuoZTDXkCpj8eGlHB9tEvo0WCH9PtZdlE7nWu0a9Thpp/naA2inrXr19zlEX7DS8oP7dRq1n3/U+rQPw3cx2uF2AwF/TKIomN+7Jiq/ZMEa1e6L98e5Pp2Um3h8B6CdomaTdOF/r/OmsUY9VcPoTJufstQWNFSkrQ7061zz0k9lo4iTxCv0EwN+Rk9SwJxBZZAj+qFyr8tXaC7T1DCnbQZTOBvK8SjQLz4pdeTkQy4V+w6UQsGtWj9VtIp3ri06HrJYsrVrGOpmA4HeYP+i/my01e3BSpISyDrrvR7xoBr2EOiCWCB97CU7XYB9nQF1OR1WZOci8p++jSL4RM7zhm66F0oTZVvQ1NrsvodCzn9b856Ish1s3aFt0J5/a/lY9pcVH9McAAbxNxsZXLQ8/G9jx/3YuoPlzXw+ORQwlezt307v7gH777gYh1c9QubnzT3P3qgTaLl3JQkqn7ZlIpEsrIVEGkkD7COMTaPkgtPvJDmxqoxNJCFiJT/1JiTDXK+uS2TFTJtOnxNdr4pTMvjIhY0Mhwx44qXHEJTxLt6/Ob3nwczUxEHNzCFBimot/3DSfn33Oq46k0BfoIBiR4pGoFWOSxRbbNxbojLd+VCpR/kNUjU/E229hnCJsrDrB/XfH5uNTjOc+Jsd4r6ibFeLYHkKTDct1vjEFuQ1avmHKyMu5+0O99fLiI7md5Ue/RDBflx4KRq1Rx8EgMfIznjXxQCI3Qszm7Mda0ndzz/cnd1y9/wRx9JTyO6VvCE5Ui/m3Hl1tPIzgN81BTXePnHrI64AhgbVQAH58R0GWuSpFwbOi1XLwaXgVLZiGeKNP1qAoKKV0m/B00EFrDRZ+w59aOho4AdSM9OEJgZ9i6AFcdVRl7FsLTNWmDLlt4fkyH2Qkb8tdmU6Y4LqTCVtEK8GoUoxU4kNjrHjrH8iICyBSRYSlbY6tNeb7oC47pMRTIOsN+kCfu7U/Lby0+b297jGMdgaB/zlGq1sqeZ/842EnnawvWkATlbas3WvMgzWZvBZVLM7WXRjrV3wmHHQYncOXcf5CXDtdTXfiuBItJV2QwmYe/ChGTCnUp6dLdc5soFUKj3a39ViDI4kPBHuy7LBVdmyyZvMVo1dEhDponZYObOR3DyLUZcIOjdZGoK1iDoaNxcWwMz00khXxc5iEZFMnH1Qv0Zckjky9NWiHQp+BkODCec49v4YYhzvahEpNcRbvjea/B0CC9w2P0F1fZD/ubxo2Z7SabhSmOnDbmwtTUs2fDli5B55UsG+rFdiriL3J1OY+j75s0jdaxKKW0Wc24tVhPzcaAoLf1P84S2U4jRXyxf1MmvV2YEIkZhYi1j27NbVvKiyFYiCeRwGA7iPAjmaPB1513gRxoIGyMxBQHIoJ1zXs0tngwGDatsMtlmM139aFHxIYkMEFDCNb0pwPdTdEjLViYeyVbw3qAZd/kgvarW9czbz8Qd1iMLP8vww7lMVIm+UmlvjLGuJcxK5Gmz5qEkoRehBNCRfRNSt3FNHQ+JytVKfslzyzLlZ6tMDk72YXZAfgNKyR0EmGIo/p3uRGWvkhW+DrHD2M7zIdwcGvoPWGF1z6EQY1mSByRh9W9esn9frOjjoggmwnZEfZ+XnREkXsjJYm1QXA3pJ+pwn6VrykNaOTOw+0O5/HkSLQHsa2H1YRcjvZLBpHX6yKtbb9dJX+6C1hMnEISAAD4GAMKFbSkRdOwe/RrcK4Uw1Xk+1Q7T0c2oDvytFkIPE/iIo7kqSuVr1e9oD9wExDZH7oywzrcWIRJ5Os1YmZquAeLZK4CR64bXOHlmkxfwMNSGYtiy37DIkYIf1UFkkBdecKEFAcvSqv98KnbNIwPUhzTuzjK+HkLN7CYNbeYV1/9xwoLuA1S0MaoLiilmKNfDC9jwkQkym8h9k+5SdpR+lfXUgqgaZ7g/uXrHBatAZC20ELAxTH/I96bPcx9cP3cL+ArT459EnGXZyuovzYwCfTZX0doA2zpShR4Cb5uW5HoYu21obvDq9Q2Apr66e2LIbxKebQPpYiWaeu7Kh+9PlIG6BHfv0VFZxHm7EwFVZMa72OT732BX2fR9yEFTZ0GFbx3Bk46r+8kJTalkH2jXVaQF0DrrupqhN0ZrvN8zrQQVcYaffsm5q7iS1b3vs4q6pH2mfK3DkyVu3RejwoupkwvIG8M/3vbXmq6tHYxtxjeFe9nsBmlGw4k2s9zF75PtNYh9DZm4nSJ+uvGHBLQUSP9QDpVrKmU/Mro8vrgEecY650EMsEu0awoko8u3fdUQKXGZk/tVikvbyf6pm4TruxEQ4boaXUMhxbwI0NemF0jJxdSMdvgZ7pCktoAqGJP5VQcaSLpmmZbtrtJAgKCvLNSg6dYRjgWjGjJ5lxFwRrJwv/SgGfh3E3jhvn7XkTNOGfK5OxvvUbeWZvuVnUUzxXytmaXOtqpTGZiQxLyRSfwlCsgCjEf8Eoy0GjtHUAjsTAbgs529XCWhUeh/XSHT71L1MVJGoSL1Kf+MMM+vYzOLsOKmeuH/H4x+VP+4nc5s4VsMfiwQKlDajgw66+8NZ5O+/93WB9sUgwbeEbTznwKqLZ8JCA5pFRBES0FCcP50DQCJqco7vvb1FLNbSxXjEi7q/D2LS4+dZOBWpnu21YmiJcXeXkq9XRxFuiZ3wDynYH5w/5CY+PDyfu1UGj/ywuf9pYHysgd67lsqIygb8oIul9jxdyo2h8MQmxQH6ogIsR01FDtEsXOXTMwqxgqCx1rDuIIP6t0uSbtbrVw/e7Ql/kxFx4GOg8TpZIvxkipisQNXUsIy4J/dW75vyGgO3ZfMIwiuP565OgONNob+inZQufiP0fyvkZMPvpIBYcehnxBg0XzCWkTY6SHvlsHOWZSchzjoBhQUES6St+5SVeNeNgAQoAf0AoQKOxeh0Io/14TKO6cY/KWGOsu+fx4lrzMSMPT4y/7KFSfEh2MseLY/Bwa4NVKQTIvHRdqeJFENHQluE6qmvRfV0Xv3KocMaG3Yc+JyKgvW5oDN4PJcQXVvVoms4aGbB7fsYzGyaBzkBjviI5Lz1fIedkX4Cxy7xo1pXfAAMMM6Zps/2396Kff3AHIAMSr9t/lWxKABwr4yN2YHeqIwhwUk9USaldmCxQXU8vo6s40SW6z7c2v4DTcPzlugzQZHmZAYQ47ndJcwp3rJjvP+zhRelZAwGoj7wvXf7bMw7h86SixEgua+AF94xu7mfJmjHZ/Qlk1PmJf5ExVxGUIl7b4Pr9kCPQdHEXyPeFNH0UZLTqhQk5oOeHtOT2xG+bIdf+VylS0i1GzwivklNKK1OFZi7dmp3OPBeBCPDh+F0g+6Uxyfk83wVx02NiuaLlOyuNhgE6VthohCSCEbvwj4M4L8jwdio7p90+Snf6f92TATLsoCrTLtlHd6z01jRPL/6J93EgzMSeLJSPG6N6sxy7TxoiXEIOjsDnllyhoQGMn7jAhk54oOa5K54bcIwL/ObB8/JOKUBh6/StHMmzSCqmv/dcHQ816/J2ZzksoSkUuLn0nYLEeimVmnxKOm9WVW8S5zQ3L38PDWxSzJKlRr1YMbfwls6d8zUn3p8EUTGvesaMiOD7tGrjHTiAyLu2EmXDLPWB1GbNa78hOQFhhR0APUEi+YsMdJxplBc9cNR8lWhktrzebG+u4Us7oafvFAWpzsqN8dvXZHWYSpcckTX+ic0TFNxY4W6McgUpoaWMDmpP6KDBv32TDR7c0ayK0PEbc1HvraLByIZdjn86ysZNhLjZq+hm6eIzLtpZ1t2XRCrCjj9LoYDUxK66NY/hMltVKOSnZGy8wrtcAvw9gF0abuh+5mZG0fnXCCXxLwtxwxmKxFs3SqO6Zo+GUUBqgLo89H1MexDD702txLc0FdrL1BBU1ZCTX2k0knqGA1xGkHZr4K/S7kAVRwwTusuGen870itQqTyHi5khRzJ2qKf5azpwMuiswVhinZe7HOPP3WF9vGkUpgWdI7wL+DJ+/sxs7rb8UaPGQjRaQLlBfbp5JSz4V3zu0sel7I2zV854fiAla+4oVhVVg5DsiMVaMHbeg5PNuwH9d1AxyDSuM1KRfBtt+tjBq64ZOz4twMMVYTEIJldTOYh6IcC1SByW3ylbpBAh54jUGPL1MAJDgIwVFJQdZFH7NozT001Tckl38KdZQXydmIUYn1/FXD0ImuMhgaoLdHHEUKwF1uF8vOKKvF8zCA4gdmtwmi1zvsteZraNoYL1Ha3jiT0LamCP+qtD/I+BTQ2V2Dp9J6s8ap/W3MPmSl+ncSsMPspNua0ARwE4oMt1UXjG+EfVgwylMrNJpjgBscPStAqYdUrp2lMzrpixCh5pb1abJ/9OwbyDLzAvrlaWDUc+kbPLF4sWhXkCq0ktvVg6NP2iPuOOEzkQAhMbl8B7dPhlO4aoo2u4wmz5/ORatPfUa18mRC3GGqP9r8qaMLMZskUXxOXw1R6hz+27sTHxzsV9yhku7pSFTuN2NLcDJ+xd3487F+9+1XPiZLt0Lf9xI/uqpDY+19BKhhCgUZbIXmzMY+qb5A1YtN38zW2sf1c6pNYNRQsK3TT6noC5IeXbaR49+4l0mCO2H5KvL3deg/2jnCzYbdlAIVAgGcc5UY/aA6ORNpQwODK84Hqjv2zlCPrpdQw5o9BQtuQw0CYson6LBIyn/ZRI60jS0f9AwAazc0d2QvJUUlEYrQkfNsoA6gOst71RT0FfIMQbIrx9deJqIifZRh69wjawp73C9aNOQlUhz5GDKfGg58dER9KmmshOJhCCiuZpWTMYumH7kq+94bMshpslh364RYVaRG2GJqV3U8+BdNhOYXBcpMdQDNQb9IPm+7p9lH8ai55rV+2s6ShG8MuvRIm3est5NRaNx4rbat8rob6h7pGvEUMuol6ziyQ3PbuTM4+zN22/5aMjOQrYsJqCiCrRh7BFQL4T+3fPJzwt3BknWyH60eOUB/kZP+7qaXCqlw2nxdjxyZpR7b0tE8JhLzDr0cIK5GNP5fum1HdFJReH9d97RFX9vHxCNUge8GrTex4bFZdVG8dZLTOA277uIpheNR7Fq/Rqrde+uh3yp+EFZ4Sqrf2ixLvFEdTwMTnM5SOeMucxXMwbj00KDZnbp5dmxzgK5MnF0SZOqoFRsHREQx4shklBmb97Zu1Q8YMHaMeB9rTzFpuGSEr8VZ5vH4ZYnlFzIZZq3/5N9rVnzrEVD9psYSG0/FyzJSmUFAYRMiqAKotZ1FJF0r1fhcsxboBC6Xg01FXL5oJFpiEZ4r1X+u6qtLQAOZUDgD/uZvX+fbufMyVsT3NJbzYpHC94SmmDtSfwj6sHKxLeLmQTVGdS4v+6PAiFUWInXPvWfMcSQhZ9Y3JIyzbkMQ2Kjec83FWd6jCoQxUAAkJpLa8Hf7eSjnxNEkF4PLsx5+aWvQe/HOyFRU1dA/hFpsrmdxaOd/GY3MwET2UM1HJMF9C+tGhzI0/ywBURtn8kzawjf0FrVD88M3aFIjMGwLoATFChHXqC/MTZQiqbl0pMNK/zzJt4kp1Hixh5Xd4omkTp4hOwH7usW/J+BhNgoEJ/DEgMhQWwE8a/Blq7kCNNvZTEV64dwJ/J5oDJEGNBE4i6xLZMuz+XotJrW0Lw3EcSEyBYtDC/5XFX1EzxKDujnp7Tv2XMTv0LBPYE0krYpKC+jkunnSipNcTBtvLHqoPTs6Q8jY5zVvLfMvJMil15lhQVW9BkwhsOZRWeYwXDIIA5UkNT/1rAi38Kx/oUSmcf5Di4JpwWYAJc1FuJ7xNrKgEpkeQoOjhBk+IrApiPZPm5p5iZfuGlOxN8DQKQYeQQ5VLyyzVLP4PS7aGpBfrb8yMjTzX3+9WNf0imF532kDRgPHIM01KkeM3Y8Z6N+L5kN0u/Qgt+J64XYJRR6B2WPzq1ntHXD2c6jCyPjBsrRJ/Fi58MzVyBKwL02pwVSCTUkoDUrcCvg7Rh6ejcPhUPPGvXDp4Wazuo7IeNigypB0m0ScdpnRagGeM8s9tbc5cwkJ3dFhRyvawx6Ea9ofqfKtiOgMVq9CI818CXQh/St820OL8d9kh1XwHuBPzLWyvh0z9XG8OYEQYb6QfcDSkYeRs6zT71mHMZOcW7xtnEfmyOlu4QZ1Sg1d/nE+H/RjRnTuE/k0gCIPR/Jv16rddOGFRXUq2sowQfTVWgaCscR6Vi4HhRm6QcOUlh+ke+lWjI6Y7RDrNUQDEEQw8fAt+ttno5QCXn/nmftSx96szy0TV+hYS0CyHDjWgOUCNC7AZvC7hZ/wqLjJb6WuwYlHFn9QY1NMlxpc30JUmsNXgRkUfQXmHTaP69lHwtoAIPh3jE3juP/QgiMWkCUUIVa9c92TcBkmDl5NuM746I8Q5CVQuYPfzQr0orjXcYbULOevzbXPXI+MIyivodO+iBoYiNEvoInpGXt1OCvcQxyK7BPUUQ2S+4IV4tqCCyvqIfwt2BIrU97rI81UQqFPoyL6ACY6qdJWi5oT1nHf7WKvsm9hcH3Qv58kvfVAwsCow8dLaiyc6CqgqRu90dt3/SM+mvlp0iq+ZsEUGgJqmmptFKdDpuG1OqfVok9demoKYz0s0Ywiz2W3OekrGxlPOXA0LQf4KhAgRI3L7xsR8NOsGmUqs8F4EmsNQDLFK+CuMgGT3KKM3Loj73POEPAiobX9g9vyk9eVOYeP0YZ6g7iZAos36915fTMPtJuimkmAfNM9EgIL7B8H2jajop5KMM12YEPTksAjP5suXYq/BPRlAPf5xj5Ca9gR9/qHRv2x7OoCAB8VN2k3msgmVvfR7FcT53W+z1QQ6JVACosrEL96KcC+UYoO7qQ3WVYs79Jx7gLAT/QC0xds7+TsHvUC0P9TyNRGJEMHPIEKwEpJhqkYzm1oqOThZfA9narzX6FwtdQ03I15Wf+V9tKAapKcy9a+nh+eqlO6dms6AveapSJ4ZDYdpdef3Ml3xG31Kw/o+pkeEuLh4XO/0bcb0YLnVmoPcS6RTqo8YSeTl6GNGtRpD1rOKcNdJ/Kjj+WpkdubP2ZLofqxAPuYhHZtSHhpvjF3LV4uzNyCdbGDvQjVjqGPOGeJfO5JyWgdHypqzol1xOyfJr5DcwSI5U2BtnbaTeXjTYc6SzlqkxR2W27T50zndVNtDEkXc//clmbyk</t>
  </si>
  <si>
    <t>2I/txbX+r8Njs8SVcoszzh211IbTf04747fT8fvUjW50dYcMC9jZnGPD0/xOnXCX+ll82DSgpGsFBHk/Z+Kk1s92PD6C1MNZ2natTvFvIKW6gWK1vEDua1/JJof983zSugjP2IkXFva8VdEgFu6NiCDSH0j7mYuyjeOWsnn+Xf0liqtF3Z1ZOg7oNjg/oBs7eLCAv2brp/OjVjJGUgyYlhyuB3GIMrbcEvzGuuh9BGfxJfZh2MqiyxvTk+nlF5fdN0a/xOL8Ji7wkEzTnzzeOcP8yHVIFo8Ix++i7rNIHnWlGIEjT98VURgKYNqk6MH1iqA7mNgLIZXGkt/wXywBpNQqek6soqamcIWWKfDhPrbrKZlxY1ZHI5wLryRrwpPB6u4oAvMAdbfCGh81ecCzTrH8LZYxc2j6sS255Gf7eDCB+PMf+n11IUfPhrY4q/Y1vXRz8fu13ZCif6T3hPwBejW/IC8E3DO78EU3SuHz1HkKJfT0LdbzLhRMvUrjfm/Oq68PCM2h/08W8m3Edpf2HfbdQJLmEIbDx6IsWjgd/GiYYs6rKi4Ck4BRVAOTuaTmFi/++lGuCU5sKUbRt7NOWmP6tvSDz+6F8l01FJF7Y5C3oV4wLvDkS6YLeQ7cHPYsjzavHWh1IzPbyDwNnnf2r6HG+TW2DGrPdUqCUclvya5+QNwcj7hWNbG3UC2pPH/zwN+08l4xkcLrNuoWEA+QoJSzgwJBlVEblYdTp/23Kb5Kguwp1qSKv5GcglliNmfJcmEOOl+XCj5UvKIzaHKPOqVUZwWDKsw6m0i3kcAmY49fpH+L/lPFvjUUqQknnzHo9701XLmbZ1wRdq72/X/I+tyKyobs3rvzfxQdpSX1UCncfY3sY/HeXVxjEsS1W+HWRAa0TUg+KioouqtgRKXRFPoeZdl94dLKBwbv7eh8Ikv7efkOd64eLojyikn4UeAPnBHofvUxyRjYPe7nA5/6QQVhW7NJ8p0HqGVrRvRRecWe1wgXEN50kVvI7nP4hnfogNtz5oUoxut1pDgu9N22gHZQzhLpvvTsEncivkB/dsGylIDvj4pTVIEp71Z0Hn+FTGn9tzbm39OBfA2LiDtoqiC6/wr3QlFPYhTYGZzG92IGFj3Q+pJEh079BSEdIFLzNr8DMgi/z2G9XGjqOO18Ze+J1kVWI+WjGcGZElu4CzO9wC5CjjkKqlogsx73Zu9/iHv+d6CB5GIhHlRwLN/yqIHFCvcCBHXwNvmnh9GofIE7wzDoNZ26/YRbAUC4WbWh81LGeLeVrs0v1hedlSQtA1ZyuLxbOqHzciDH5Qm8FANNPX059Bo0mBNiL3idOdID1zMmOwPwM41onNbZ1F8KvGTNh1k31UlpuWDrGxKYe1C6Qa6RMpQTBXJNFTJFoo+kT7aCN4EYvkwodWPrR7MeB3gRA1ize2qExDCO8/STYmryO9DwXCiuIm6f55pg/S1HmRGolDnqYZ9i3VMGzJJOK0uW1MWNLCcCLhFUJVGknhy0F0LV9+I2uKqpTwUY+HtOv+QZ4C4xydqgZ/5qAIxxr1ZoeTLGhMe6XCUq5sTVOSZyO5z9MC6ZxnO01/iN1+6VjhBYLFDYFzM3r433IKZLt8SH16Ks1vP/fYDMfppg09S7Xb9CAF1ZFTd1ShZiHYSO+csw0n6wi3ZUUFKAjZR30whCqOWn/v11bVG/G9F1ZEIeEyGen8CMHWvXSWJ+kWX2gsaIIf0ANN7O3cG/AYePCPDk8N+yr7y5XnFs8C7NhlIikvecehZTD3h3RQOU6ndsGiXhf/UIBiQpnurRb7rV8PjtIoXsF4k/KZyuqFyVlOr28NGNZdwcubCYaO9B7Uer82FpvtYoZSA83Tg70nnGNDCrpEwYOOw5moVKBWUwgACQ3VT9WcVAwSIhOs5U0gVDha9oInfRuq7U3+EFfNypO8qbU16JeMF6ilfsTNYbG+ZYEbYTcfGdeESVgva9QM2qFEhhEHJBo8crY6KdwrJuxsqOVKDDYkQwV65jggDk4ZZzfhFnrmUJhJVA1xDcOtkNRUAoayYWSVf2mriFlIu6ZtYGwRAyqAj2lx53NdIV7nDzcWxMaVqmpMuqa8K4dJp/jEHPLQAC1pibrQq8MGRVeYc05kO/0LGvx/SmLOJaGwdNC5wUYvxbTyeCqWcFgk2ckO8L7Qfufd0sckw+eF/UFdJmjrVjpjpDJgJGcrDJAHFOi1dCkUabgy2/iyb9tjG+bEgO6Rto9YhsoXOdMwpqM9pXjgsfVupLtoQYP4B6se4Ridw1XYeWxuVkvzFuldS1/BxGdvW4DAJRtxFaS/X9L5UFhUyvuRtKF6K6DWkxYoT+DODRVqXl4ohScqT4maZNQXpH06i7dCL9Tw5TflL3ELZchRiU8u6zX7bqaO1RK7KpqoWaLlW3lAi58+nlIF3DMaHsiuFxN2eQmjpvL0VVCxL4UGuliQlU1+w2bLaL3qHJoQ31Qoumr6idT2XO2/eh0PQlEuhYWyslIoEOETrz0FU9kzlzzjSa+hyJ1xKtcTp5WM+Tlzbiq4jzy5t73gjVpYPV2Nboeim5oOQ6izfbjTHcKP8/St6P2CF7kRmbqW5tl9UoQa7hJfSqpnUohJMNOD0Xf/1VWChva+jpQBXrAx9td23pP7qvjp1Xs5CWwpDvHsErSJ1M3JYNbTu4GwQkxJ3wH/xlue1AEHpnC8w//WxEZuKvyDpVaLBcXU2WnLlMji0l2eP0fDV1/jF93kgcMjGRuYCEaasx93bSu7xqZLR7GZRM0FObIb9KcrZgDBofk9EV0/4d9+vz+P/4rZzGDzA9uDwTWmRbA4tdpWCSt8hzl3kMmQCuL5N7N/2kry69qxQbZm4TXrF0Hpy86XUJN0FHcX2mk70oZD/+sMIgWLN+Sajt3i6PND7tKqruA2qV0UcVXMjZKqNWaeWKGho3MMQXfDX5wJ4HcBTB+dZeH12iKW9KMTAI44NFsNg4a/G7GpSOu0Ksg1FhlfTdVQlxGvd5Qa4emYqMHefixb+EpZwprTvn6USkFN7pOjyN10I5ilWOfubPE3ClRI0+vCLnVk+xoF1UIM/+Kgdui9OFP/FhGMaWOilJ0smUC0lmo+fwCY6419B9kkkuUMRAYGHNsxEPzltfYg8hOWVmSPkRqUyb114IaBGMmq3ojYIaP/WfNvPnGDRVMdAu82ibkcon8U59Y5Ynpcu6c2WdZ/Yd2ueO5/xY2eWa/oyQRrpuE/u4zE0Pr6bG0ZiuC6scWE0IJSHQmGf6YRCMYipKxXggt1XH4NdjLNcumoXJZ3Zo+hq3WoNQJRIjiK9F/V8QiuLi36+q7c2cefMOLT2iN1En/E52TKHIlPRrVQJK6bZ/b1MBHKSNgCedr0LC4g+FwlDzWLsrki3tG1UPtN1HUc32aaNzDQkEz2W7ik5lOSTDqNOdMcTEafd99PY05keX6/HaXfz9kxqCbZBEMrnUgdglzFNIUShFlszeADF0v0veybOd3QOrHJPqcpfND2bI16X/GD9tK3/756it42WKE0kBO7810CKT+Z5MVXbnTlItb1leCVHDcjpCZJNvMIa9kkDA0azvddJM7hNpcAx84hZ+xhRtN+QChZzszSmPB/OgwW9sneJP9pGBjljjGsaMzC7SRhgwDC4azu/kkvUZOI73vlD2X57PHGGDfe3v8/MzR2uf92M072upkQisS9HQbAE5zWk0LaM/AG6AV29zzHz/MmeWFnBn27nJbvtIYg+qkUJ7ByZtDuFCOSMUnWtpj+pAi+xf4iinvnhyffhI7bmoEhsyupf+bAjXzis8oME/hxebDa3BtH99wrr8PwqJGrdc3dlaq4+w3BR83j42+Pl5Y9K7DmHVhnB39gzIsV9zLSCCi7RdCYjAQV4OWIr7c5Pva6VZiiXqelhhm8xED2nfqTfw9KKgFI96K03X6jgsXnowFjOuDHbjTy0VUet20FkpDI1+o+VJyMW8hspBP1PJBSPaIIXh+K48bMO74NwanudfjsNk2dBrl1wKj1gd40zmD0UlpdF+vDCavyRhBuqt3dD1Ao3s99OZX857vc53XUhrKwhPeYJSTCxO86hKt+pucCu2pUekCgl41Qh7TRy6NIion7mvK/d8Y2CHvTLhBKw/q0mbzN9jwMQRfCvAy9YQqbD+PMCuxRJ2cwzC0FROUazJKBj2rV5B1bog9qHUcZm8W4Zt5UzPpIkUDyNzYnHsi7A3oj5IQweytZrA7os0L1H7Dcp1Jl4WtymDXvP/bSLnhDisbFDdts+CeHQlAu293aT/D58Dw6n+nn/PVcDprp5mvRtU1leujZgEKAanyrIJN7Ib0v7oZXD7Wy/oeZEcNeizdjNZ8SkN1HG0K8f4whrCqZkfVSE3kRYCNA0wgD/YMdp/QV8j04rRwqShSKcNqULaN7wCZXmdJ1h+8fx74JmpxGYXW/saaKEqMwF8oWTqOtGLg9/btp8WM0XPQV2WO8q44aw+xjr+lrJPn4HHTQl7+g4tau1sY+uQnuICk16h47GDBe7r4C3bjwSWgspmyKg2o9o7DZtN23+mGvQTw+8CzkHdB8i0n1tfk7kGfKI/3As1Y2BDdRIM8m83JM/ksGJsYZ+Z20PKpRYaoqy4iT3C5gLW1U1reWFzdrDYHm7iKg8PrXDsC6kapZrj74CNhFJUoCEYl2U+KFccE1oMuP+QRQwaiqFtIw+wXTNrKBRqn6ABeDjCxqf5kZKNDwoMfaaaj4WIjB4CrpUJ2qpOr8bJHl0XLP991MxHycvTr0Pn4PSAOxrs9rWJtaeW5TxoKzEvd9fFo/z67SKZi7jyRI7/haAhVjeBfgUlnzfdyljhqY3WwfxkuPArLsmCD1QTDlutETL8LqROcXRCGgWpmntHAKkRjdnJHf6DTyI3Lh7dfLjxJ3YAJ2aSiiZyFT5xe03gxCrFxGirJZ8VCwEcOFIRiraZ9KsrI08fcYW6s2qHS3ksxFoKLxRM638UGkozkVVqMSnASSFvRFXaOPb15uLd/pyT4e72wfQ1NE8Jx0rYvD86g38EVlNFltqFjy+k80lrTmzyOyFPfoczc5SjJuF/3Dy7Ny3FAliM9GpEpcsku1OQ0UWQvDcMcck/ePKZCgMhB1hSA9BbHO2WVa/ppCzfcc/C0809laZDU4RRMFt3hWrmqS3Q+UCcUYZTUJg2pwxW+dnnMi4XHs8ZU9qfIZRYSu9sAcTYlVlVAs0MMLvafv6yNOAm80qcJORod1JWScxFdoiSqUlnQvoYJAN4zvV079ykKw+/fBMSEeV2xhep9+FPnNnDawzvIBsLv6pX2GHLRV1XCfclF7bpTZuDAQH2QwG1w9Y8kR5XOGnqYOc8H0q1DPqnytOrmLq0xm4KqI/Uni5ltQRZS7mcrdih/Z+Dngb604yu4G/yZuHfOHIc1SrYFc1UeXj6eMHBxj/NGtjF/nNcJy4MpCrgnAuUNOWMMbut5p9aRb7tv3n4wPU2TRAAbzmjSU7hLAopTn9X12kJZ10ye8sTGFwWDFU45AEZKBtmY2GuftMKe64647zo///iHPX5Y6d5JiMrEocxqvOv6JkfA+7xs0M3PMvQ5o89kt6KhVtoO8E4Y4nIydCNAiAuZPN58oHChZxVZ8wYKQkKqZKn2mY3OnVGOU6UvTZG812n8W08TyumbIV89aSr2G15YOItkDcvKyLLBWHosYwCmugU4lsGV5mAV2h36G3k9MspWYkYUzwRPUVjtlj/SKL28wUxE1Tv8xGAzARj+wkXwmxrrvBjBDUwpqC9pXmz8f0cU31VAaqPizUie9JBxMMxL86g+ZgNzRPUbTNgyyWFjU+dpdB62YjTh6ciwdeOnozAdXddq1mkWS6lGLihlqp0AHqB/fpDJjKpLB9WbEHBk/htihtRkH5HtJ9hp13gVsdydUlureHELhc54O74cG9Ojt/5FJ+Ea4HWs9+vaFzTvC418WJ8nZF3WbPKvFhr2OQaw4QOpZCYfF1rSPemtCfexmjOqr0ljP9g/npuDn1ne59UxHTid6mRVoaUEalLOgtrK87mSuJ6k/tfhBfgmkbCTJ0E8CGBJfVuVvVMXKH8zh7aFsO1pUlIgEIeIzjKox17BH/OFcO3ulkeg+mryIJObOVw9yVwEl1L7PDovs4UlDNQWPdenu0P/nLlG/TfDBueZvP5shl0zt47oghnTiN8azYx37HCmo1nb2vqbiJ9m3Xw3jcXF34eGbdlwF1mFtpjvUFJbL/+BSF6du8UjPQwUI+TA6fykr4rJadJ8dzNn/lx4Lt1hgfEHTaYgnTNeLwuoanoqrFf7XBVnZ8X32NjDyXajK/4BjTvIi3mCcslZ12SEXNzFx1XyK3l/zREBPjk39syeWkdfs3ThrxuCnJfDgQd0TmhdN10Ed757Nwp5aEpFgaBjhIYidelSqwYQ7cLDih04cKOQe3+qMdR+UElIWWcOyrIsOW3mQuGFiLBQ121XdfAyjD7xFuxWItKPhFwDw9B/d8M3YWJlFN1dnu3RCVU0vNi7AvBWCoKRHY3XA1Bq8+HWlDo5zZ8bGw8Eib8eXseHogl3AISB+zGNlRpgohcBy09Wjc/3dDLvxac0aNIdt3EF68MNV5LFaWVWPWM77GTXt5vvLw6ty6Mgt8utBd5PXy2GoL2NQR3nMl4++luUQ4VQrx49Mijmx/aMGaTNrJ5Y5NJ2SUGSiAehJKHo27tL+4M07jTaRwNgDxRFbEaPgKMLwm1nZWWcW2mr//ST2MFvyOxCwoR/dj65YHEn92bjTx0TZcvxZftkr8kxOyhjGK6OnfvfAygHQWh7SAMZiMd4raJVfXun0+HlWho4u5weXNP78LoWTQqGuJ4VbxkjJXgK/2B7GKXtunab9D4HrBolKFOkaEw4B7LALZ7wR3XWajizCKy1daBLFDCvboGsg0rIBKxusfDkpSBc77eCUDSaYaNeOj2gsoFhX2ZSVSuRSxg1scITsI4hAyL4ob3A+/A3URyylpcZXAxIoH16x+VlHqUZH0d08IVcSzJiFRlnBjl7S2IyABPDy6hNEs0Q2VgI1j7hoX8h/RI4uMr/bn8LbMcjXyhvPAvoE2ENNFh++yPPn6sdoSVtKKNwPSJTS981eobYS5ZRUUKyqQzoUH022OXyZmiQF0dXgjfz7RZODyEDwEhrfWl8gLa7stPSmi94+RxGQ2AeQKtYq4ZrV4CuhrbVvPWwPHqXv0dJzGhSMBOFRcdXkiJx28LwxpVwvELQ0IeCoWH8FInftZPoPJlgZpaMPLmIod5StWCZLujBK8JjCNVRflmX/gxv0B5yLXKauTwNA401nenM+8LoSPs4o37vCm9J2lhb0+5Z9eERzqPYObVhJMjUpY3q4MxnCi1eCW+YgBWq6pmbhp24XOAxgthN9kp+JSMza4yTIZVi9nvjX2R79kaIntd7dzx5o1caKEoM8Fr1j8cw2yV5GWSaDVVcRAhbXUh8BRFsTNop5dG16EU0OlAzZG/oAcb/FmEU/fPgn4xzvwBx2o5q3hljcZP2zUckDD0jXAjyMpIuNJAXZkLFoXgdNsbF6kDEbF/58r/9wZELX1mXiIpWLxRaOhokR5NSyOIk70KzCdw5O3VFxowDWxTDprw6bJHCy5OYxD+ryzDwScIHaoCPitYGnf1q0t8XsEGaJN9DsI6eobSQvHRJ2rIE83vOjg+ZFiyN/S+NWr+DV4dAMuxezk0Nvo+S5G4+KYJxieY3eKWvL5A2Qwcbq0bLkV3+X0fwC1My4T4py35SWvt4g2agHGHzxHEAP61xOFeiYoBazIHXqhn8IE3geJAmkx0DDvDdvJNsbITymbHC4rAP0dSf6e81L6m0hdGTdmtGdWes0f4elL8RDBvjsvNGDajunO3ruESECENvvXdQOx9cTXhORtLs/u3NwcWnrj+XNDfryOgMpKnE0mua8QYmoSTtpIK4pEANKufXLkgraViSAM9WyzLouVsnIzbgkLfkVFoHS70DdTgXCYM3rJz1bC1ICUf8lig8glORIViGQ5gokTaLXGLyz2oC/B5IhFw9kdiwBXrkiP67nvCA7P0On1NpBO6GtpYZH7mpd0v3EF0W9mcUJcscKcGfVazuIbpVLgTNz6uWKvLhJkmB2YUDA3YipYIH9zzWBBojdlcYhkPf7tbQN7eZSyhf7nincOOiNa7Zb1WKkx45UOxVxYK+2d86BJlIXlmdE5TaySZSNPTrRZ6e47OYKKbsn1n0N7um3gvGEZQJN7eXoemFNqUNl2RkHcjXuTmnltI4kqNa3WFSs0YlAOPGld7A8RATmp4sj+sS6gzHuKkZoU0hguOV4Cyd2qMMehVswyTRxWjnngi6AcAQlYQem2I0QDnxZ77y+98DtVi5pqPcpunsGRNy0eXGcU/uenl9GNR+HHbD/LvOjiZ2rTEduqOGCrg5iO8kA7wt6OmQZEDtr+PRvSfDzPS94iK0YKoUX6fLWy/x2+W0msXDBenv7yseR2LR535PLfpG4lmutGyYtO8QIlXmpvhhYY/B6S1gHS9xq7PiJeSBNHIq2gfY14Q7ptE4ognYoG82d9FLcflLoydsG8Q3ff5pxX+fHN2jcaqNVcmVWCkZ/WtyGt5uu9uhYQHGFiPA2x71hoT/VQusoVEOu3NHh/E3lekW0LatdqxVshXN3MoKke4EZroR9azfK/V0bp2/3Lmp07WPCDii19aema607+qGMdXaNvv651Cja/eBRz8mHTiA1XwHe+B1RevzNTuWm86UWnZWG9ZsYUTkHKlxxUipJoGJ9InEiIq+6neWGHhNu+N0+Eap5ZpMGAaV31xrN/CWPQ6flLKhm3GJX/vl6J81U6C8v9OL0HPXTZSuDR9PvOFPxNMz0abKqFLejIqIpoRhlUYwakn8i7ss6JVuvCNrRQo/m5UrsHsseRkGkik0RqqGrTsfide2ZESv3OB4wveFBm4lAZ6bPNtT/Mt67XV3aGTAN2pwMDRloHuufAFGtEzKtJs74XSIEqIEgC2KSYlOvB2YHirwVPHbo+0kRSh8GDlwG+wK6HFlmPgME7cfXo6lLZMaGv5vTcJ+RUPAvdmZsLU1wWeyZ5U47INi5+G0lbBHSa1YT23HxIJAJf4KMZ8O+22dzGvp7IhT4LXlE1UAK/dkkKIqrDzuVbSO1bFno+4EhhHVng8xksPS6tgsYWuETWOAg0jHxckLbRhQcw2ct8l75cpGu64aTO0iTh32a8pIjUWlzvpnctSvrxuwNGu8UQgA+F2iePpbFVrQAgOzAF8GtPQe+/gQ0yplegNNIPegiWcoh2mPQrb0Zt4URmOiiUpCC4WTlb82hsnVQ3pxbvb4s3RDGhHmElTiEW6b9aw+qoS4zKgpJVFnVv1OyrFNLU7WURDI/SfQvVT/NKvAoVZEgSsGKzNn51PGHkLPj4z1tQnQMKCNm8YiciXQxBoZl8VAQdc7dJb56jwtpsyhIjlkQPSaZmqQXv7UcVQL8+MgobpKgZ2kceOvrs8rNv7blyf9Rlek0vlgvXZ1oXIN2rRs6OT4CiTsKLeMooOxtlmdzRonASgRCkxkoh0FfqFTRAQY6qN1LbkHb1gn7eDaZdUnIodHdIOHuXnmZzs/7ZEfnL/uFprTzneSk9/Bx+qW5pelUyNwIqU0JceMyFt72OiSiI9H/y0DnN7iF2GzVX6MFCWL1IIdw/DLgkv0StOrD3FdaZUZjXpvtniE3loUv4B4RkvXdcFt4iZXf6MaM7ssbvOOepUvrVlcfs6YUcHWF75g8pJpJO1XZXkjr8jnvc7er5pfvTORKZ9Ecr/nnkK7ZdSYiZDJnyQmMfbozknEXOfIn4MAZKYBL520gWPR3Q94SleOS4Lu5yRVpdahc49TE9Cnqo5B+vMkohfIdqOzIAm415RvpEA7jDExyqlV548JhWGod5oA4SUjpn+gV/P9bhqba8Op0O0jjhgm3Ce9Xpcoe+N+uIXQdP+81ewAVzGp0ZbieLLgt/8rCjVeU5WBdIqN8gj/cW30b38RMDYfiu0NaIHZ6yCczCsqEm7oSiZ1HOtbrfxpzDEJGlA5CeZsGmgtiHzdezCu+J9YEnFkOYgmu3iusYNBcvJNmHJ9q62BRNZEChyVSUeAw8LNixVrEHQgjaAX9bLd56pdYmvMVYt7wFTsOvmJk43P7y9GYZg3KEUl/uqlFhY8kSqu0ItSPNmiDuM5IoN/a/su6BXNvWx23P3n5oCHXBo/KVcSQwMEOUQhmle6moZsASu3rvm9jfpGhZ+Obk+XiJcreLfgqp4AnlAmqo3A8cvg+tMnwWdYPjwtemmHu+QQZbyYDgDYo6PRmlXifZKpzqFdd3/o1fapC1Ef9q+7mA1OHeAQOJzRv61cmBiL/piPE39JMurxqfTASnXHFzrePyTR+1SZ/+YXfYXmQtVNrORuu4+vI2QWootcSNce9Cl6jIAFrM0dVuu8YHa3yyirdGI085YCzQvs59vGOJX8YZbjJoOjY/3h2TN4Z+KnrTRAYDy2y+GLyxdy3cOHMBZa3aN+HmAEicwAQqsBNunRDEHOH5W9AKyBmpFNe0uRFESz09Jltn1khpoH0Pjxhz2y89+iANQsXkxV9ZWhhmLt/LvgJgZ+xovhjcXU0l5H3SNUAnC4rBH22nzPMC99h4Z+skAnvfSV4PZOBu6UmlPBH/qPjuVYIDtJjtVL5KGh0c0lwQFKfCzvCpVcObG22tsX4OBe1MKMIvmKaOqJ/j7oOHtyEtTyUOXH4dygB4dGTG6YWDn1PTuX4ELREdTOIAZmgXp9mSV1mBFlig6+GSprsyJ/i0qfEdiyer01Wic0xNmYBL4WCLfel1rZmzwS9eKu08gz79HFikV45UXBKtBP91kRHBKtroR5iqrmqx5VuI9TgzWFyO7SYIe+nxdmKxbne0/rdqOdT7+IRltzd64ceexfICL+kkg18JPtzLh6xWFOlW4mQ4ZJnFaS/8DgtOZ1otAhRm3We+uVlodu/Cji1HO9ZgX0tZiK0MyYYMb4SF17LpaWYZAcWD3gRbrtmTPB3yu/k8VYRIQtYlgbGIhQmARbwEOCFoBTdwOzxDRa6m//PWCMdnOD5j3pMiqWuO51ZHJ+pAPOLmfvyVGrVxPkgzk4Hvx8uh0jdvli3857uNO3A/GweUms4E/Msg4YuQ3ndObD63X0+YxrLx7dPJh9ruDohpVqm9Hamq/UXun+lx96BOuXy6UeEIvtkUsV0Ww18fB/UkrX8Ty+IeZGb+4M7OwSW1d8/F59+TIYb79WVi6bF3dAbaLVI4y8yYHpWMvVJ9JJmr0s7K0LUe9+Rl9MxYdyTURJscPhRXuIzysVeI1JkCrqIjTZNJk22/oB2lAUWZMSq3rIOTu+Q3wIdSuLzeepdOP6aDpn9PFSPpZ+68wm4rCs1Ee4kX4GQf9Sr1hsa/5YfwgK4ew4DYNVWGUiwqN/bBJFhx3xHkw8oIJGlQ5a9hFibmmQ5NIT9HAk6A6gcx/uCMNDWX5Hq2bvqehEOMw6VB6xiSadYlxXK/kSb6XB84ldyjhHob236X2I3JeHxy+7cnYwm7QLL676iyOgr6hoD+1hiNxMn8CJyYozdWnFtc/xCLMcFIJm4nRD00CekC5BAThkhpezKlNR59fVxmGzdCVzWDJ6lcWgcQ3ZleQI/ZkmgFe486N/jTZpJDpwl6UJVpJ9lS4XMMt0deEqm6/Gq0KxgGAFJqhIte8TQT6K9P0A43Z3qkBv9I869d87iWjoVbzRpJHtjCUKtGYfqHk6bmnNFk8oX7TUPihP5rdhqepsIR7Kn22nWVglJsayH1F5pTfmaAUvaHlqGjLrWJKlCYzbunOO0jJF6GoD33DUnCKRo1OSUa49DNbpk4LNdiYdwB73ubtTlWYUYAHyCcUnXYyG532TNGCd1dNolFSu79xbu30FsGcxsUS9FXkC5cM2q4tPchEEFI6EuZQnO3vPh6GjsJl25weEPYpqHS3BC3f6i1nXzmVr4sXnCxDBiAXVWqky52Cb3xYDLZa1wEIG5bv3o9TmK0hsxjvxs+gExbi1c1Y39OSjwSRT37U/UmeNtrblgtJPWuPGEfkKX2zLn7yGtV4PfTytSlAlYvST2UIRYs8tBRwwR7yUY89AT497fei/1df8ScQrgcmmL5gBKztNNnbji/+ZeIJtkOXp4f6Ow9pTOl+g9hVuqqxE+yX3UUnq0rar07q7+GJoPH4PBDl6gSsqtbJ9QqO2K/ESvW2Su6YOii9AGOKKK6zu+JZkBlmRrlfENI/89PWMVFV8DciGZATktvZ/cpErOq736g/dE2yNJWtqusSLyunT+IHM52/etBH0RrJrJVCfM2AtQqDzML3K+HIfZ9LdgyI7I0JFCzgnpd0PyXLsHPJeWKCt1NmwxToahAhPRudzeLmz4+uVgP2O2Lipi+xumu3ZjcBqzOFp9evSAS221IVdy+NoCPxNBoXxW/MAHopwvwWig1W5W6ULWp+K1G1Dnq2UFeOUKEeW2HmH3+NIY+XPxV8tJ9+DBwzGru1VpmLWHh9LQi/ttzsLa4CmRyprwFCCxxRe7e0gRnrozt30ylcBEdBjFdta207n2aaex+Gy+iZDIsQLJVzycRLqw+zamJfq/p50rNwNMgJjIZLfDYdOTf10iQVsr3geyeA5moXDtdNlJ6iA6AOk236H/lpKEMIzBZit+qfGvuQviCns7eW/zAiCt8zZbWo4VPJ/FDyQpN3JVyh8NX8oIefj4h24PJj9Qgj2c3r7cJ5n1gFLebK/8xri0bvYu5/tGchWWGu37xqcnn3BVH1JTnELyhA9ee/yP0LqucnooNgFH2EnF6jNUl9EiDm08MDnAijMLK5Ixq/09X953koDJREJwcxuWPx8YGP++oEbC1/zDYmGzQRXEwRRZc7u6mRey76NlkIBMTy/+tAiKWnXlO+mMtpkh4dlItgLO/6mHNLCNmKvS2UxLl7nijsTCA4HCqTzqxwUF337ivN3hJ863SuTYmhXM1ppRV5uNqOGrh4yP9nkruFLp7r3W5mpcAZTVvsUbsO9GVs/kHTpxicchp0yVwSqAoPxBXqroxUzUkrPD20hlbF4ZPSmB75lv/h1h4Ef5aIo/WfP7V0LvOU/MxAQzmSCMBRjl6dXdvM3IgqR2WTwKp+BmaoXKbAEcf1Dch/RnW75fLcz7S+aFZhNVkhCrvmCFg7DsF5d1BSVeE/vhW/egzbsBXviqoHtipqR31/ZkwBqgICGY4pE40zXRgpiCkf2J8KmRruBShTczql9hBXkVJr0HI9q4qpXb1dRfOvgg3Xlom+Im/lB+fLR5PbL8teLOqRnqewyVfrfuy0aR2qIH5X4M8nae16EiurjHvFwK2ibyqu7QZ4LHxT2d87wtqRTEXTXrUIV0wl2uUJUri5Me5SPGhEDZmHpmUsNMpH9GSHYLyLQiyyUA8jr4B/hqWvghjrEqFgZugkcvMr+rLJ/42mh5+3/eHVdT3aFeG/iUztCyxYOD6HPBuigJ7h5Ml2ld63iWP0SyXz+TpQ4qYz3YziIWcx57aBngwt4F1lxRYqxav8aLmNIhCx35l3ThmpUdELLjYICZDGsFdY8JXSof8T4ItfTUGgFTQESkrqfxQpfV0xNuAwJuO3jSQIuMzD3B9o3lrPen8J39ACCxMuB6jacCkl0+UzMbL78Ur70muFENR33eoiEwnlZeef+HU+v5pkmrMHU1HzBSgaKJ7JCvl4kkBXKebGGlwMg4dDGhID3bhAF7u0uZmz7mDRZa+NauDR4kqJIceSRp8oCmYllDO1nbTutfhqsD4wu8UJH4SRyV7QA/XqIH2sQQN8Jr+D5eiV/OJ0+RoZpnrdzxl8hq21POw6FcsxwDwx4h6JR6g7d5HMTpgmJUO5W0LBZ81hEuFkZ8ly5+yI1qkV2WW8jed6Otc3lKIdMgAo9HunSbZMPIVpsFnOi8FS0iS4XP5fOH8NctWUhdVpzU0BtziZ3WeGLCt8nMp+A0V826Ye3yKFiMQvuHl6okxVPsvTr38NEQqY0MbeLjkxrAXwD9pypWamAgRapqazaCVXEbmaRW7OjNcCMoO/jWgN072EVcJmWeHfF1Yn2vWCnhePA8yDIU2J66UC7Q6jzIwGqwJoz5lMzss08ywaKG6wqLMSsxcCRogi4z1LHNYU2cWLAxc+PQw32TYGMcfuDjOftb/gOCrbuuil2OQRQPV1L8Nc7q6g98Ee4lgQSKWTYGgigAOxSt/16agpMJErxDirF6ZyjlFzSD1hv+Ho0q9equaEqh0GxDXXyFFF78qPkMcpX80cxd9Q2aOqZkiX4lCGisFU2n1z5uQSOfBLg56pMT5hADqRlf0UZdcG7AZFSdnIaGZrUpbiDt7IPUlwt0FapO188whSg25rXVWyMe5O27S0bTPtW7M+EhiVFOGg8DDzaFXKaPZIv/f5p6EeLiPvaVDqgqY7FccCSIf31eThT306nE6oQZAgG4y6lsIrxwGIe0hW5yNkZnDDEqAsQTk3RDM+ZJ/mXSlu5coSNXokvTOjDAnZUtqer9HEhOWwFXddpHjkDRCi5ftZEu/Wx+nyDB/OleGS52zuTVqNYl4jmgcIaItgEXwyFBo7OI704FqLVWcdPi6Ldx9UtpUhyVtPWoyDITTiPBRcwBqiwPv6y61rvSTlKvonzScjqTfkwBzi2ocUsVgzcOZRQ+iuC5DWJK28k9JJVaieC0My+bZIuTroRTRiSkjXjbMiRFc5HcXO6ObHshBoERClPSA7UzSqQTo8Cuv9AXZEYj/YzIyAAOB4Mre+evmekAQ3xE/UOzI76HLzCWhzETrBCNTL/PYtH/y5R5HOg9dQpnWPC6lAmLrGzYEICB7mTtIOjD0IhmQ/u0JDowdrBAZa2z/oIf06vl1kFTfCmqvZ1I3YyUT0ltBgIDcyxknj2CjeiQ+yC9s1wPXwZ5MKkjM4z3ns1dsv5CNFeHBLpZPtL8c14dmAJdxQyGc273FOvgLv3oJBhpwYIHOUY6FeURk9CppEifkq34kB8mI9o0BGJLAyurhhwQzvf8/3tyftXC4YvVczAtwam4+8cyNa+bTAXYrZN94HpmvNPVuB2di+AjzkHq9ftG57Uasb9zD6INgkeD7G2Wa5yaieFs47xYt+xZ7AsMFYjPWqwZFpBOZIyBExBo2ZjY2m7c58Iy/026B9GuUZomkrObWHkrLzzQi+YzYB1SBr2YdMwdWkeB9prUqbbGkM7gqVyZo1BD74uEv/tdATFeXkA2q070+wv54CQ86mOP+K49bU+Lp91XeAfOB41yGP6ZtuIrSKXT6QUZ3KDOkwMshsYmD6BDqIR4zXz28ivOpXoWnsp0GBYSq6iGxpAhEPk6R8YHmGq7sfUz6yCAGKBPFdgQ1GmYqzaAILpYF2KWGoNTLdVA2USkqRUkgP+CoCdGHJmfEmLRA1Vu+MObEGixUYBntUOOXn4Xm54P8W7pg7+WgAQ+npPKT8Wh5xGyvl/AJvHKuP0k5Tv54opiLhFfBf0u+Qxa5Nb5rxoZamRkx0g6gF+9fHtVQWZ7KHwHYem1h88OnfjBh0xMp1jHWCHOdB/6vXX5mRmJ6bb40dorIdU11ZsynT9Co7URXdoW5I3y1vQElDlCfgUL1JTpkjFiPNp2mNfftiKvUVXXBu2RRmnmMqweuyDe9KyrvVb/RNheUTY/faTULtCRKUVu/jf71e2uTN7VDFwmN4vbSUKJnb0VFJfRqt9WtHBqRZt2rYembpnPzcKT/URRsnrZG+yxK7xmSRX+ScEV6wewc3qnhvLxW5QAAeOuRTH1SzWZhcxeZUdYZsCiIp+iltoE2Use4MbXGHuo0PjaPmNocVrripxUuzWl6MW9i7qTK5YdxDk7CR8PZYatGHfHdRCz63M41OSBWiI8AwPGtvLVnlUGJxWfOb1Y116nZBIdFW767KtL70eySMvPbbhxPCpVb39+q06XjRQznRP4ex2IcKV9cHQi78qjqlCxtDK1a+lhuuWAml89AZwUV6xGhqFvDNz1xa6gqv1sJ/PEaG3rK/105JPQJ94SGhXW34PsORFtVfYdWrVwoGrKo83ngWidnLNlKgbN8yc/cyiygVDAlXi6xB4QWF5Hc2b3TdUrg84jb/sFqmQPe9DHLBvTLPqEmB5Euy9FfFmJ+HdA5FSTKxaAelD6fLC4JwdPQIf/UYJs52fEfxLlvxI2rxgnjMO3qtUUqZCqEu+5IdNHMiR+uYyciR6MbTSjEylvLXcwC+SlHbl4TDsy2RoXsFdPn2u/YYWxyHTbsfo2Ber+7BC8SeE4dv3AuEabmXCSbMUC17NdnldoHrsWtBdDtH8A7Iw71y24rhDJjdbjxEf8tLWMa5WrAn3sI0FkolA1TfHad4Yw3+rXM44Sn/3lZd6kJZvJ2YO9uofSTgTEjOiLm+0JYfGP/5dqKUiO4aBdxD+w1hEdqjXUjdyy9or0i9EMjnkroIrEiZdCa5b4JHv9RFzMINfIem5U0gInx1OyvwhpksZk6yCOdqnUNbCyxOvgKXyIwiXLgjVcE1LLX8/DD6oQczAU4oOQ08iDo87bIFGHPNMpziKbjV531FnfTFttPLxd/OX1dc2KRClUp31VqmNIK8uDunWieywGMQoed7lwfsq5cFuqxtGGSJDIzAvPi8M/CDnV8kcANbiTZc7K97sqL4BtWbVfkRbIztXEUH/uJB8wYCLeOQ/4t0lvYgpJtofV5PxtkE4ygEjirSO/jPhyZgS1cBE5yj5xZBGqpiom08eAOO7+/d2e07aEpuRsf6Y3nlkT4VpnEEuWQuTKaEVij4csMqjFt7YXK5upzH0IrhrFs4uJ9qYJgx8N3BMq2Tbk570kfwLGg/v8vogNoZOVWiba1Yg9ZMWpoB1izCoYrdLPoH+EOMtf6m2voEQ+6OqDzNNT1KARi96i0cxNTnHHKbRpZw5uxfBS+SNihqb8O/y6htV3Mx2Qk9m7VK41QA+fQqUjn0/PwjmP+c228k3eC7oqbOap+vU/L5puo6KtiH6XprjZAMDe6MV/CSxK9Bwg+rV1SwNieO5dPsEY2HptzF1mEatKYSKhUVO0sr/ZBqUo/r0cLUp+9+vcmaRHjoi1gfxXfZudm8pMl7ic2KAPsZdWmLoipY30P8uNrYIGdaikeijP/CE8IEfiQznlCQ5nJUQRCLsFo/MOpi+FyQ4W04N9TZ9/uHT/PByb1xsBw1IOPjvuJoiEqW+kXqpQapjef5ra6IjlJBes8f3H8pd35yTY5dDSGDlKDq6E1AzL0fiJ+faG+X7nxlkSxRfBDgSvFmBojzQpMmPmot++sOW2F844Cjs8ZIiCNCQ00BGgjYJuzJTjmMkFgZk0hfXyyCTWotK1DMjE20Eh8Z8/O+gfWJLq41yof6SSMXOtYn0LnhS+HbtWqCCbEvLvGyzi4vNQ0clnCkxLIHJNEEUlQD/2juXBSq7e83dXo9qxz8nX91RMNEvD3iJHEhHZbj7TTxH2n5xhTbJhZi9FJ5TJoJTn4GEHTvmmgjpGbA9eAOWhQL+8to7SLxAf52H2TL2IIcoaR/kESF+p5hVoXMhvXBHuziGNro/nVPaMCmlMMoYTYyNihTlOEC36sei9eOUhzl+844/93ljHZ1PDjERef5XLqWCtWVbWz17qtCV1CrG5qCqU0mM89aZfRgPZoY4Ua1/kObWXW/+fm+MlU5X9TpUgmMec4os5HeEjb/Ss6U8Q5CsxXb058YCrbz4biznR7RS3lmiWtX++Y9xRGt/ak1MbCDmeLBhRmocJWKaUKgwzEtoAD7burGejjgygLnBu6eXl+EwVdIGVthpskXQqMxqYv4j6e/Exz2QdCgnu3xdYVcbVYYj0OOgl4xLZwd9VHmEKjHInF5O4MX78HzVCMl35aqQBcPEMKdouB9+vsqwKLESmGbqulOZLZANmwpHPHkOuq4/tPXHNixuDHt/cgvK7mTmsCa3HPOL6m2IuwJMcjC/bpQ3bqF7g11z4i9kJKc51MAojKChHyiRecyEprm2IgPrpmBiZdJiMsImjDKm0SSBq1FFg2cawJaG44ouGdg8QFTHQcePq9kHEg/klSANZVwX3IneyeynG6A4ukhaXIxiSKRsiuRvmyD6HBTFsKhV7EBQYqXZ+3OzRkHFUMDkKrOcMaSUe7EnqPFy9t963hRU3FOSRKZMwrRp87UndgD5BXGb+zQX6oeUDtWfPKKIi2xnOUqnBQzg/tvp5Pnu1E6+/NE46AHtNFv5JZkCqVFd3PGTnLt4J6wK+qvCn1VA0DBRRkGVEwGkBKFHMEpbR0/qcxsD5t8ccQYx4QtjPZNcNwR7FNxBTkGu2AYxvyEkpo7z5C3zEo/wDUUiTwUblh9KdfwXjDh4b06UJRX+FvyNnTj1oIyCVib4RKrkPZrAaNS/wHGPHcIsaCoiwCGm/2w20dcckQelG+TCfN4W3YuFWJm/hsCM1Kq91/lUk9Or+8K2E4swYEDIbfbm9ZH3Ybv4R8iiZ7HOlF4P8XAhkrZwT/emHX5Kqf14ePbUmwdLaZvDIhX8KYofhKTHyLTbsqZHOVcuhJEWMwvbHWLVwd7CDJC9viSbAwLvo4mbZwsIk4hcYZYpriTqxc1jWlDqbzFw1PV5lmJlKnYKccLWOaHVLI222MH4gREnsYQ3IPbfZpDoLNrhxTtVA+NfcSeWvWziuGlY62XNjnUpNjb0XsbWKXHdsEwrZ6H/q5y1aEnhaNfCvCsc8eYY9oyX4PZSnGaGYXoJh0VpVLsPeiiaEaWdgWkpgHz4OnqeBfqcwEm1UM9jNNVOQ1g2Oucz8N5GxMmH6irGp6UBbyyi7yhChH4p1o67FflM5zhKD4cyczUyc5/RYNFnuzR7dXiYXRB1eMfhEs9KDQaxqDJaHFs1WF/iEih+k1YuLLXzK07Vgt9wC7aLuQe22nQB7Ta+1ZRqY0eHnLBiFgzwDrVElr/7idC4+ieZHHNLLmEOFHW7SlP5zUrVsX88FZzQln03Dh9by319JWEpSu025dv3gacjy978iqO/R/WZiCYP4TwiRiaYCwzCKbfnL2br4SPMc4pG22BnK7G5euxIbzPa5o8fUePM3mkqpUU3kwoB8JrgFOCFH7H0eyGVF7rWUIvpj2Ay2CDBlt1UXkZ2RPgRJDAg+AGrlm7GoAF/Gx4gyA+SFUNuAKMliDEOb04LaOjFvaBtUSHBDknNFvNYxl2EVzggWnGRYiq3iZOZN6kez1I5siMkFnEhnR1WslofAjRU3XZq90t6n4rq6f2NUgwgKx9C368HSK/ZUBHK+1Q2hlQh72bSvgZ9z7+IHZrKCttfIx9t5xSBJywp2HOlFSFCqdyBYPWWyXcRyBx4UbY2lxlqQgoZI5CRkccL3hmv0fxU3bT6fhopB/DrY2tjrnt8UcE4JdsNihV0Y7vy28YFDDlp390cSM9fKQ0SD6kfNE2eQMgbcBWAT+uO2MeoF60ju0WhiXvvAK+L25bH2KHwG80+egnXpu+rTKYlzJoIfdQFYcga3AzN2zR83ejvaF+QjhHlOWqo31FprMzBJmhHy+syozG07PesOn8Q2ilSpC9LKacIp/w/+kCwZxEoUoZZAkUw45u5cZardRqqMXcKuESEhKuofl4ZJBnHRqZPHRb1jtNYtexBZOJ6Rq5gTstvkba0L/EzoltPEavUhl78JjSgCw8X+FmIgR0ndYH763Qn1ErBCw60CR1UoaZg+7E9akNunBMJQPoRoG/QQsBInGAjothKojVplIkU8SnTpHfU2XIPXiZdAgnKW5IGyJ09hGSDYW4Hmcgd0a2P6OWZiVyZDZZGUwboBigO798YreTn14OQk+LISwA3keXAOpBJdahLGmamhDibmFfVGP5HKeCD+maOqy0a3g3E9tNtGQ2EoQj9HDXQXr6GbNUFdbr0PuwUb9MK7jOvkHKE+iID+jb+dDq/Ui+4YlfTnYc4bFioNOZgHWRAvX7o53wedeWTBUi6kPUm//oyj5csZwuQwe6FYC4USdne5Kl1qXCPxdwMy7LdWn28lXunRv+37UrIQbtCLvRy12xBh7aa82MD1q7hvY4K079AjKYevX2n4Eiz+DlSeTd6zax4C8U7Sdg5NOxaVfhs9xPw2D8zBlYAvBtOxXJeIZpX8RwFeolWzyvKtgISWpVfygxCKI6wm6aYnnsAkjBO+jRWAEB1NBD5I26z3j7XD7RtsxDvrqbvRo3PAmUS21qwO0lH7uboH0jMyOraE+wgFwS92FU06/CvDdF/HYpSg/8SCZTnc1r6DGVUYwMUXjDMZXlUEbcn8izr0AWOZRBa+7API5cOJbgh3oXWghCi7OemTf53oifkmeJXAQJLqhuQ/E/6IPO0G1Tk882x7zbsG+cIIul30F5qVTHZ/1CCsELcZB6xe/gCT5YlelFVvv2biGz0s1qPNty1cwh90ZkAsdxY/xHInDTU/WkKJmedPWcVU3YDZ9oIvbVb2rJabXwsHNsNNQwhHeIAQ7w08zFvFxw1LcReFovndK95Do93pS1TzbI/WgtBKfUIevRvEgEkf5WGPKhn7qIW+YAeXRlh2R4sYESOyv0b4qiq62o10HZDOkbZxgkcrzCk/SkxMgCkHjf4nMCDOjpdUDm7OXrMO6D/yh6QD2O/oEYOf82YGRJhnOPfce33Jiq2DEr3A8Wn3MRYJvEtKsTRlimMm/v1eqdhXsJZvqni2BI45lyy3cQiyL3xQl6dHH/szxrYuAW3Iu6ZTXbvRDe6rPX0xa6XGGVchGA3PGifbBKK4pH1e0c8NVyY3uW2PDkMAIfUKnLttEB70F4Tz9Z2zREPlnccw6m3fquIYUUq0gPRquVSPTQqNo2KcDCyVEm3NbtSsDNNIyun12iC4nO9pj+2Gdjbf4bUNf90QGPthCMN4Ltnc/GbOpRItQTtb5L96fSgVvd6UbfoHsV2AADkT4EQ/cwLE24rRmBAT/Rj2hjYCMevXYqIPrpXjK8M8oIspS1aAOFsmiH99N5zJM1JLBObXcVi7uOHtFZj6FYGSsMeLFU7Px6bs5TKVwnk6x3EGQiPpOfzWzqgG9C7486DqygXmHWodP/aNRYdMejs+iWPhTNuvzA1o00sgNLBj6/sSGJQKES3ZqchoO3swsJIOW95saNCnkujWwlX9o1gQDZlnfdP9tbIIVqUNbjo1WhKn/iI6qA+GkefugpQsKEBFo5PlIRWEGjUvs0pv+0srveeplqR+ICtsMUpUR2lsL1cT6MjxryyU8xA2sZ7vGnf9oambQ5QBNa0KeXBmemJvdnEDtfeVAjn/69KoVMHY9otDdBRKojiw9lPjqBrpisGRz6J4snW9nwk37bEaFB5J+heANSMXGV4hwJEGv1ucwqU0WR41LqPGqLqwWvPA2VgQyMh5AW08StifhQPB/HUd7AIWRjamwrASeUPdQknvDvdAX6EZ+1ZCPfhVxU/deEQy1CY32DpT3I6UYLEQYZb3giTTy2rocqIwoKGlj1L78jg7jkktfJaj8Fb6DR9qCIERzg1O3qZ1HHfMqRyBXpz7cGl3N7wZ78JuoN7FDZEszVcgpvYxsjU7RH0nA1eNcaTvO1ubYpH2nYEQliwBFAr8gvQZ4SD6mwAW4mYvrNTxt1LQkpLqLKlaDRAenxZk1feaXGzkHXdqFeA7QYKrGYYj1tbSrcgFmMRbYELu04Rn8SIPxEvkoQlFfxZopQVfWt5AykNyNrB1CzM1P+jaZ6g+EhEkWwo78DNfC/YkkalpKNj0dnvDUBeMXxfsRLBWrt6QxoAYSOIUSGxVBdtM0M0ang1efVZspAUEDFv9+4VJX+N91qPPguBxydqIMVAn1pyE5lWUhHTNbH5UuGVALtJSHAw7//0R648s2UBSVQuvFb+rOqtoN1XtlSsTMl2axxQ8c90ZfJTHiHMeprq0IVVRl1KybP0w6J3+eRf2bChJ/gitNZuevviPb015upEprFRmcZPH3n4aW/kE5kPOe3DF5EJ0YMhygXXSfL5JN6YLsbD2MLchOIkrdaoHbDsvqVQxuSRMwpVpRS5ILijmyXvBuQhxfN68W/fmqiL2sZ7AT6/77j+cFlUaS1cHtxNb+ulzjUg8zgmjBaQ1Y3XCbjO3x3lUuaM0vGpMsHmI5gnmdM6e0BGig9748fA5f8z5HNJo7sbjpPIq8hvKksv/JUfg25CniiiGl7wCy9WnEMZLPLDmVqstu+iylkmIm9582t3XjZGjda4fUm3Bw7KI5rggxWYACgg1rwaOfil68JRCUhhJQ7yWphvquamA8ElpkEGQPwMPZdo+q/v8/8x1QsmKGQr6dK3nh6UyQwBrHbNeWbk0D0VPvSyRsmdrXRMqtpEc17bcQ8ytKBMPQ0Kh19PbGAZb0mkQQaz8WGAWe8xDU2sGtIRsnC0FopailM0BQshfGc+/UzLJZRqTSSpfus5ZckF6ZBGpkeGqODa3DAfribnzgo+SirLTD0yDkm5Scbecnny4zYAxaI57YP774q6gC9AIeXbFgnwpEIhGVtOLZSb6YMrujHe3ByJlApgdtlboRYBrE+Xt9S9LNQAdxRjmzqu0+TxQQX3yQqlkjgvS8AavkKer0nAhH8ri+41QT984R2qYf922DKPJSrpiNtel8gzJXKvAPkmSTXaWV7AcQgXeb9cJNiDhFLezFghgN2VAd5exswgTmpfPzi1D30SinIn4NuYErb2xl5A6hYC/WcOr6ytXO2IeL0wD7Pf1m2LR2KwXNtsBukbHHc9N6gcZ+olfrzQycfQO1awffjGWV/wpuJqIachR6WkVKJhupdifO4b/OQKT9vsWMtnirXNSS0md3aA9CsemFNQBGCa6tVZcQpteuWdh8zYknol62oMwOLyr6DoTkT3CSpTzLblm3x0pFehhk3adrZr3Kt55le5dzRuq5MmjYWUg7kLUOcWawFX3bCreH1X6UR1Fn/sLreJExndWKSNaDY5iNAWTOAi/XNpxGIcDRIprtNgIVf5D7U5B3dQI+5B0ZOp3AAdwU3/ooX5SleRbJL4iepU1jv8bTJ83f0J7KcqqkuY84y79+jXAmkuM4QFz1asF6+AOFVparN6WtpBxSGFL/RYhXrwcvqbWPzOfSeZA84y3Fr7OkkLJkoJCDM7iNpqUkVPoXQWmdeUUoaN2Pj8+pTiFhYvR48r9kQTOHCiMychCYrRitddhq/McgBAH6G9qhIIywZ+/+Pko4QkcRyp1a33dwGjO2taSKiZzAUWB0YRgW0pIVZ9VI3rWissZP2VCWPUf47f9RtC2dlm1s7L5k0xhzy2IviikI/DM+f1Em8K3G7fPErsZU2GNSko6NDyGp86glti93sWrToBY3EZjGv2/18XZhkSo7Rb2KkNT67zO+h0FK+tNiMey97JzccrbZTXrUUwgyZkDFMgFRETl9JEEEnjafOLr+cpqSssbAw93oGSt6q8sEKB3fkRdThu6pbxutCQtPGXeL+WHaaIq/W8z6L/UUtzuLmgJl+giFiXi8oa/9FYcXSPToRYyWehYOTzSm1Qk8lNgRZVnCQSnMopJxHJM5PVkfUzb2zxRjTGJXg+5El6KBlwxQjW/rnmRrSVdzNAGbQ9Qdn1pvjWMJo4x4WZ23WiPPCIMv4KBtyedj3TGkZQ68pJICeLCFBwbVVmRBTdcMnQ8JZTw8QEJesDRzEbPi2J0qk9VYHLDpfED1b0b9JyKELXejqgcBMtCTPNYbkJHl4087DgbvmQxce7nmWkQz7rbDC0Ic44XLokLXutIc/stPsbwl70Q+rHSo6uif0zdJmO5fOX9odoj6Ycx0GxQ4sd0Ichf43KLB0FhSwCbOMsQyMRCH1gLc/KC9g1k3uYcw9sqsWOcRnbOVYk07qQL8HQzaDTwNmfAz2gr+fr0rcl/yhl8Y57zNCF8u4lPrsyfiBC0tsNlAjo7H3EtzhRTLpYF9WaoTFZysExS4vHyUPEqQGWUwlCCHJXQEjaCpWCA5POynXwWtxbSUmqAizlHbcBfrRwe8Cwq+MiQ7wGhIHAyCBYn57BcYDIKg/xHoYpNO8BizpV4I2CylVjCFfDtq6fqJJTImtCBoO6K60OagGJ1iGfknNjWCFqwxtQS3n99Uu6hPDUS55+NHkjHZHztshHqjd43rAK89OhQ3yhFhrSVInU5ThqfEAdL3h5z5N25d9maFJe6X588WXloKJFRAmyQxsrc1C15BkAth1NofWeRr1oPDtU6Dg4AbQQDl9lOsYFvvB9Qta6cVKbJ8AXjtdtNbuCvNxIrXCrOIUWJHT+cUW/AnLQdB+ydPMyWUTL9LVo/fhgIudY4Wm81KILbtWMKWDvjAT9VpGlBPcK3AchEpxmpV685guhqI8DTGAlworm0sUPzrPreGU/4uRQACHTUus1FXP7Ayhn6zs6n7JSmzi28uQLlVoWyHaQ9YEqHVr8FaihyoU9kRZtM1ynZAJeQ1fuYxv4gsZQSp5APLdRYHum8+StA03IuLNZNl84VN/iEuQhMDDcVmd91VOo7TI1YOCPAkx3m/bgJOwvvcf+BPVvUdkz9j9LQ+/J8OG44fJ4t1AWQeEuvQlhlMNQUTC72AYyrSzekBpfZM+zvI8clGQZAmiL3vSVCSkSG5wMVBS3O6DplW+L6aoxVV60n8E768iT6OOQUgB4PL7G/U+Ti/zxJcsm+jthoQyco872rEz4sT4vKFGNqGTsSrSBmLXZ2EkOlF8J9iZEyMsiwMrgH9hvwNP66yofUkjtjGHdZ+tyYHJVdNL4x1r+gMFc2cw6zYeHykQSBt7tCO+CR7Zqc7AfNBNzy9v4Lu+dCcEa7WR/jm868+8yJc0Yl6lz/yiXpHMe2p/HbsTpDIpwsODVcbum3JIIfE/rAyZSyAZ62afJhJxweaCgqQucXshuJFM5OTM6Lj2HxOKWh9rKAU6okS/qVORKnq1+GJQFEpXMle8UfO4eoEgZodWGK0v8ful0clkKV2f8IdkPVPg5QfLueZYYGs4JbpX8p28qa2sPFlEXeB927yjw7VpqCONie7QY80TXYq+yYpcTJc11OZIaVzeX0JiaUIRkjUxSZSp4tVVDZjAXuwDQYFMC02p1HaA12pPU9Ecg50e0VEIiGd5C7YGIYzs0Ev1SqbvOzRUY7o23uEKwjOu2gaZLXZ1+Aj4nw4/u3QNzHt1nKvWS3/qmQBl45VfH4ha78g9QdUgQhCQRcpHgPMX7daKnewP+gTQOCiAQqFmqeGK40lgptwuVPpSATvqSSjn9tTChpMmukQwEEpyU3IVeaA6TXIky2fFZHgu1/GZgmVwP7S+X8ytUfmaGfeofRe4df13K/xJ7ALEiwQqdh2fv/grMgPIZSWWwz9QUsxCEoAbzAf0K8mdgxGjaAIRWrdacUZYzL8fQPjimH7XJuTuK0hhYYEYaJbRVPW8QtABvW9P3fvyX76ELkc2kgsv3jXuiwI2CBgrq0bkcI+ey7W/scQVsdBMzRUjm2sGQ9JCFpJSPfFGvAtdAAY74EQLvbtypjTckG/sr2NjukCfH//m+wSum90n8yllnZ31i6tiK8vebp8rjQI8hMWosHtc4vv/AFqwcf6YH6BSxc5Zn81vcPO68sy3vGrYTBXA3ZN4RXCRMM7RhZRLt2FehcLvdecp1jKDJzfsODMF2V/ln61fdQo1/3ORJLuXORDEszYigpB7qjPDKvA+lqa6oR+T4L7kjWQzhf0MXQQGE9184HJT88be70w1G8fLRIhAZHch4iqaD55MKYHdkTCo8AbkmYO30P59d8FIbungWp8kVuhrIvJ2tkUy/t3JO0wEZriCsJHFaVdj4fZafbfsM7p/BTS2SzJw4S89nRuVn2jovx8p8kYBdy4Pb1aB9Z8401P+qTAeVOxHZfgC+/FOEVk7bsoVFQlcVSXac5ixUHuAqPjT/agXDE6q+0WFmFRsJ/HoJhGUz5XLwCnV4TV/QJbZPGqJG7YtJsjKnDg7GT2Q9nkrQ6JCKE0lUfrWc6Sl+tplqdHc0t4d6IO5qPlfcXy86OTbWRGPqnfKGFLUQ0rJT1PQ1zwFKR3LQENrWy+YIFAGe27nLv/IDlYWvebtU09cSZ/Ow6QvFVceoRMf6CF6cKkxrWglqmxhrIC3U7px/xA1Gtnz7Ex2aRj7Cc7y133VyRQfEg57K4WeUUNcE5pu+G0rSfEu1hWe7jpbOYunCi7X2XJiP+ptaVzzDbFSSvvADigWModb5sJhztmsr5L4vX1EJehtxqYy6CFnduZ9JROpAusFYdh0hKIL7xHYriBYO6ozIo46FXuRDi3mWeqb4eWFifminE8qHjVGH1Gk2eZqqDa4NvzRMt9EroBopBnl5Ek6v8mWgqci5HD/Gl+kfeOKMOMVgCxS8d9QC53MJJYNk+aWtxh96/HA5zgzzV5bSQauO+QBh79Z3M/HKwcP8yO4tObx2KHAO1LsnBjKDJUToBQwV/78oR4fteUHgJfio1OMT5lXdg6jtuclcNFSgLbURpgNb1ogktowA5g00cWkypUISy2Es2uX/pImfB7hBbvKZHni3gQfEk99SK7kE+K6oeq3gDn59ZuSuFX6U9trfKESs9dPlb/cMZE4mqsb1IX0NT5IbD4joLzCRSukohq9V/D6Ymp3TgVmLWJXFm3Ldhp7+NN9N33tgBrOCuLTbUblaSlZaXU4Fd33BTiPdO6cEjrAEemR0deCDYBX9o5Rzf1mKR4jFNMikhfnVetuZgd2fyiQTKOpegCCbGybCwM6ZYnv5lfQHW/Y0k/R9Oohs36ssOU/2MbqTI8YK2i5gj9WYHrLQVTw9wqaWE6tmtV3sI6lNtZvZ3ZFCjgf/wYSfordP2J/b400WhMGs2eeiKc0ZUCtV7H45VGDWoh1kF7oHQBEiJX3ZjLykWHBbRtAk5O/DchyonPp85GR39eXxCPtRHko2WiJDGEkTg//2aVbl1fWQUeDDRoqSlAAgQvDUG1Mlo+GnEjHRf77iVylLPxMJlQAD6LLocoP1QRzEvmmM5DqYh1bztaF2qk1ToPf/r1ypy7/Cs4JVavgnRAf96bcSLYQj1782oHshY2k9FCMaLLJkCf6zM0YAXttqzRUf3lyKswdAaPx0i+X3zEH3vTd5MEo4j/zmQmZpID3bomd6uBvAsevFCE/IHxsXIz+mdaFiqlyt9iZqyuvSR49GXqmeMXwSs/nHEU+R4on417X4PFAPjIS4zyIxwgeQhVK/Zom9kwhUo93Bo34Er9UNEf+lfiGEPb+1ppnQZkSwHc23FVo9Iruhp5UGOLQ45AKEF3BIGJgG+5gK6fqjcHDf12zQyqbLUc4A7YwM+lTQF6Vdez1ZW+AgrNYPL3NPv4vikr8JW6pvlNVdC12gOaDYR4PGG0vpQVipNHs/gPHjMMbdibF6Oc20+IF+V10sZ8OCG55LA2t6nkwi/CqU1OF0ooovlOEhwE6m1vY10xSjyBqqIC75fMecG0ctfZU5lFDlsnG7p1Vf3akftWp9wMF9A3voLLA4/8KYAxZ4dJQp1hi2Vc1nKnDMQTOT/jmSfFFmRI/OH7Dvv1E7VQQfAuS5vsajIK7uUmIvcp6sPSuwmB/WcpXBTScaZQ/sKw67s9fruGjpihDqQkLFQuEcrtbScrGTK/NGkjY1F5axDfpQPNHD8orZw/lYg24VLClUF16A2SDbVfuPAERmj6b44Zsocfy1CjPk6EWACL5srnocVAiNSxPmUU8nDdyonnQ8BpFajyWhmRSKXhBNWQqyEFZP74eNDjXfZFyCAdfE8JlBjUN2F9Ri4iC7DuUl6AZNym2dD5S3gZaLPW5yfM6gMTBfztcy7OcoTyRbSBZFvsQMgnb3EMn5beIQhPx21/nE6ftoGJr6jUFkf22KSpRNs/+hDEjBVUATd97pubVV6jc2U3F8PCX80dQxIhMZSgjWg6bSb0v+LYRTvcnLevtZ36FXkm3QfV/uXkdCM9M/6AgxBp9XE7c+InljSwbh2+UP2MQhgZRqqFsva8xNHumo5K2sioea6ATFCxiM2K6/vWC9LZCimOCHvvuPXmkwQ5969NgbLdrADIkBGQQxLyJozA48/1jdBESbCNhHfO8W+xeyLfNWz20JudmFK1097z+ZT8NXMM1MefN3wIVZeydZktfXCS7MG4sopEZePe7+mTgW0VS4iypKCMbpYqME/nnC7NG2mgEfiXbwqTU7zYnMCat3za7OYchoIKuMMK2gsnIDKUYnNI2Hlu85WpQ9iLtLBmU/gTDoSKLBuAu3AJ2dyWe/yQ+tCtO+qgeCcFFPl17iQTRcoFtdzVs14njAiXhCyA6VMgOmHNusZ6qqmLP5vOe3LMuTyFKRKQ15rzoCYNtMiLTT1N0M2ZsdG2OB4rY5iaITXh0r7nfMN0Z1oZikdD6fHWxcusMqJlnKs5Mddb+mo1LBuVCgRpTygn3Tnai0E65wN9RMqMH4H6S4hhXSsk/Z7WIc8dBMzOPrvalbf2j4O+pgvylyVnKr/ecI5iV25KpIS9G635w5QCPKJITIAoUuD2zcSU5HlByjVx2YZZTH1Zr/O4VXsor9fsIlyn34acvfTQWFqVGzE4Lnkej60vtznkewUIGrz4DwEUgQV0I5DvKYrcBCP3E7KpEZNBx87QqlNUu8cO0tlXQ3b5osE3DEppiRcjvlNnMtRRBaGctFMsU073Q8g8XTuGPkTMKSIPVizd4b85xDYmoB+FGY7jvEzW7jj+/2LtiHoxfkCOdvxoJgmKg/NnnH5JCJKlkZv4wkIP8X2hZuU9b9+1Kpci9TbNH1OmaL+J4obMlBeRw80+H4SrEVrRaQvDzBOT3d5Xv0gdEzMEUBx5y1h2867vZTPGhE6lkg+ZJ5+Z1Amm5uD/bZ46Vuzb/UkurxMFCKl+pPuF0Wyu3BQl7V9r/h8xI60Hotlty7+MgqXbjmtw58Ikx4KMyAQdDx0xbLdDd58xau6tVaqYDtJtjuAv3SkPFLbzesxOmwd3Rl9hTC9/+QwQmC+LE9Uhf1SdgpxVIgYMvYRW6yZF6vZ0TGlfnqV4c5Jzg3ahwfROMxStxVyabMiOgPfs6CNplKgmqd0YEnRTdEngBm5Cfs0JYt6KXrlh3O5achjM8rrY4xE6EvUBL+IlRpNL6XsYDknKKReap8hg5QawsANxo6vL5zB56yOw0OpYiK1hJWz/H82Vo5lr4G5GyVNSW96bNrQMIruSAn7kD0hAzmG9mLs/mSnsslINBi5ruY1z+0GuVP2s5KuVzyIhOoEtVZyQsK/l+Ezl17xMdLLyAaOoPJUUtC/dQeYNuxAzOf8dSS2/QSzHiZULFytbiZcw8gQ1USazomnAq9kNn+xLTQvB2XWDVUQJUfpzUK9gHds8A8Eh7+bFUuxtSA3qYazmDun5THVt15p/XQhHgJec5r64C6Qunyl8TYCRf85KINEZ6h57ufV3sjvzegt9zZD+mKDpdyJzirbw8aVtTRXgyN39DV/wmPampPeM6k6axKj7I0mJ5m+4LBYAPzS4iUdkjVJLpjpS2/PLSBkGmd8MdGk9N2Tj3/uxw5G7iiR3GB6JD7t4GlOQzWV3CN1JHD4MOPpWe6F23LY8VTMpKTPZd1bICDHEZRg9Bq5XyZ/mYV39KXy+Nbu1ntZjw2kCvD3uXABoU1SliiRX/6HADPO991JKDiZus9u//TZW/esLyob/rHSd0eUXnUNWVRPMkEkyivicaIrH41PPfpBQY6ilHEDdf0nhI6ePqwKGxkgTFkg3eAsZ+eULxvuQTbnw81mvmvlJHbx3rlBXbEp6js2+PP7jcTKGF+yO57jeZc+UziG4JldQ5ixbqKL6byQFHmIHWYr0ty1+nVIvoUuVTjG3ZHNsrKjQ39nMxFCKZvMo0RpQMkLHtL52+bHJk8fzK8B3v0npnUPj2JI3VRa04GhDTO99iBTCCHo9uTXyGNJlOJo2cWJQeJ8Fq8k86nueDI0u/7R2OyKanvJTVb03GnrXd+SWkxD4IGF3qgKTC6Gc9WXvlE3z9d9afhcuwwoVhGFd/8jTIqfuTbESEk9UZhLNjI8Anj/4jry4zS6y6k5KdR2xL8tVTc9Pq53A8SxRasiWWjRVMIYP3UwRVk2xYYErPvJZnILoAiRsOo9acgA11NAVK5fTyJbQLXiO71HrZSAzsPRA5uz+n9H97zaEwxBwnRSIUgBl3oSGdmiEQ13gXFttsb1OnCq2iTv+KXkOPAAUQnkk8hzoXkBb9TIu4tNT/rPEj0+rGf8wavY10sInVC6JODID1+VN9HNQ5veuwkjWflKmt76jAzui6Dj/C258HhLx9sD2d8itj3WCTabAoHpySLPlCjH7lcA2kzX8RzxCv+l3JHELatHZG8PCDorwaZEdmhOjzLe+Cpz7oXBl1Xv3mxuvXdF2lfS9GIBNkJ42fWts7vOG9OZz9L7l2oD+jlQzhaH3ANbZ/CFLiNSY4EBvLWWXsrs9d7xwrFhkHlDcWKW9yU9hG185Ofs+c6X4siFBaPXONA1Z3Q6ovw73yBbrkgRRZXqkUJTLJAEKw7RSezdg5gYwvBeUOJ8NZwhnhhxVQA6sd9Sm7Nd6IW0lavdNxC4x1fnS0EPS55FZqrqQX+KrQLb3yimK1AfMgduAlLCZBcP5gjAwLHbU4gnbV2vg3pVDiWgbDZgLkBDFOb7+AZGhiODGXUUapVOoZLr0OAXWhuRVnodw2lJZihUrhmu5ZWJvb2nDrvzGSwyUb5V41z3OSfSHPH72mHqyj9k5poCqbqg5L8vveAZU7ZmRq1L1/I6khLqfMkVR6cNYn24PfU/g06TneedpDDBmHVEhuX/7/PHz3jIcnim0Nd+5OsFsZkOXSY8dCConLIYnfgbSgLa8DboVz9GRE0H0bNOv2rJ+gfFDyFZGhNEmSZndjBICienfw0gB0EDs3HXhqs71LStmW9VWjuipzUqWnXrouS30A1ZFxs2NFNiWL+6mfN6LgFVG72BXdqZPagz0Z7ZZGzve82iAUASPo6QxWlUJkU5cYHHry85E4ZdrG6d1vsy+9Cnm2Ayiak5SodHPZf0odCw+Z9SkRfLV4vNNi2NzZ0dlBz65JF5RYoVvCrYT+LN6i4zFm0Mw63O2eFbRpSr7xlG9uZp8KjBq1RdLpt9F4skDSmz8jLD7oq3zYJm0AaSCLt34f2NJaKPwo58FOJxLF7b7cnQuWc4Vp0wotGoey7iXvWJlq3njbooU8GumMZwn5ryS4ynHw3hr+jAYwR8xh0SDIgOqNiqGXpNUtemMH4sjxAKBYIqXY8fFWZA3Ogk6lXoEsp2m0+Fr8RTkH/fZZ6LVNDTOe2AVAyc30LtJgGdGGNTWXkGO8rG6lWcjS21TZQw7jbJZMIMLwAp9mvCd5oz8fNhVXkOhqs95gB67zNmk8xN+FyB7zZu/qmGBMpH8gAWlkLkbwXnK6Ji7xGvYbsf8JlteNcUy12Fse9aAIYI7LyisNfc4PyVfIKfMxYVmIUNeyJrp3359fynbdyFEib/ApCSfFURUO0ZUobrfyf0hQZLDI9VhtcBjPDMX74sy4EAG3dXTarkw9jwFtXVMg2czrVm+IZv0L0LmCr9ZqWUgMb8WdBZBhIuvK/ZRr0UwxgkmlOnyopd3WF6DuKnWZwZhqLCWrVdrXZzeANLaNZbd5LV6LOINRF184RtoP1UqYe7ECYZGjif/p1YJC0RwllN49eJPyFBgpL9xx6JgLYIScoOvuT9pOaTA5SLPqZNTx3kjbp6kzRMoS9XShA+BndYFBeZtnhG9rPin8FrNaCW4AsWedxlfR5YfHnwAAttPGGpzRTZnqc6WI0q+KAo6kJ/ukIT94Vx4SGQtVLDG+P5iQuU2UtlplCTBciwFCPqZIXUn3+tMRFbuFQWB4haxA7O49jM6RNLsnWAC++H7CvP2lpM9hxnLIeBRA9lYZKn8JEVIj7W7R1ohwYrBQ2ABGxP/PZQH6rx7+Nvcw9JcVOegk48FCjTH2FM1Y4TUnGQ9WOS9xr/op1zcrBoveBl68CSzK9sd+j0GwFjRTA/KMXta0iabr</t>
  </si>
  <si>
    <t>MTCQwZN8WvfUUWQ0mGp2zI5dP27/KT4ITD6Q0PlKn5qBzpxTJ/Dvy4Ri0Elmba7vCpXh4PNvalDtsCUTDH9xkJHIKyWvgtspTw0JppjmjfazwqWgQ8ymYMlNRh8gNcs8T04zA0SOo4nIjBGfswfqzZrn8VEPj+UAda+/DgIHxGlURkiMtAWFuSW2QQ31aPLCtpRG2JFU/y2q6eOKeEDu2v5iXKijGU2PAdx4XkecDeD5ogyHOZJLM80kLdqTpQ0F3JZlIMD1lNj/7kLEZ3bLfR3JQd5qtL6yI7WI/wdTGL0HcAYGoFzuYDskrbDi4AW8aguIuUup0ZN4xgAHtULuCX7maVopS6thR7OxTomk4HQqp6VeetZI5O0r+s7fSugtYNMv2FAaXPZFNTZy5DA0SkpgvcC3dPAhivna4in/vqfmNV+aPn3LI0MvLNVUQmseXMYrTvdbEu4Nj5/1RY3qbuf3ugrHJd0PFUaYO1qM4zPUjcY61SkgaLg/htuGUOPov1n96QYBn2WC9f5FQBb5oJbaLZynMXONlbVsPorQD3r55MMz16J++Nj/1FUE6zDFNbXmkkaT/v47q5Y/Xb+XfWjrTXXCoefneXijaNCbQyrvgt/Obtr7SUlzQJxJAn+Pc3NsaTg7m8ckR6x6s50smCkCzwlvpdJNJxciiz1d4kNTU9qCB1J51jIdRYq0vwgbjAN70iFtl/6+llqBVNs39qdJLpWXv7dpbEDBNHiuc3W9e130AdSDtuOcrXuA5u3iFjs2OaHrqJuuQiUl6drRsBSbavFBfVshoZfWP/2bj87KBd3UI2k7PtpuvJGgirrzxtmQOLUtIdotbww2NDCWmoYxjWdUD6JmK3RmJMlBpZx9JU6u96j5bdTpLDAjip4Wqc9GeuDBN6hlv8GUV0ubTRB604/qtHiY6fX7sGqHU8JYeiN4JqgxDK8uudrtWDG5HSY7xnLbdzdvyzlvvuz+MTLA3k0ZBQVb0jhDeVDhVtXVaBRdBDuZRBNgRYtD+jpgtg89GIrJL2RFUPtZCeXqJhwYAu8KAHfOWgMiFjYRu7/FcrgoiZmUO4iI2pQ+stpbDiBYCNTbbjv2VAhLmYPdpCKlVLq0PgT2jX5hI2dxMW8tEmNfu1cBvt/NSJfaqbpvWHzSjHTrY4H4rT08A61G9o/RGqVfwVj2OemL2Ccpj1xw8ZCRYrhi8qIOZ95m63WkG5nHvdYb/37rySQIOYDdVv6FlZL+x2F57pR0qym6iijlrsiDMCWn8HWMZhqnZSkNPl/CWYqvl63irw5PK4QXYN6BYBJ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1WcdK5K8zGhfrvZ9AqU5utl8FrXOrW8EX7Y/MoQWpHs+pR5WptLc4yAW+pFB6L1vt5kGghzaGOpYXIdhtcbzl978MUYhCqiZwU9/jsw6CEfPp36zk2fk1Vsbnw2K/3e6uvnak9Tve5JZl/4ffUWkfQBQ6RtoJvHWUepBW2xx9My+CF9pT4Q1hcr1hnRfFp2+AfzFwj2bt2UWTrF5KSvPvXyQoMmAoH2FC4HH6Y6APq3zztaWWIIBX2HLlFMXwku7wyBfmCkuhD4KNqwyIhtUqyrO7ybKTgQSENJBiiCCr//wAfQ6beEffcfy2NcaF2qHKVgrUovT5BKcyTyzBknPQuocLG7TNXcoyZeRl58Ev9UzErhy3dDvtMEthCidGcgAuEbnVnmAB/0e5q81xKKsTBpe9bUlItSO3H4nTBHlODWruiNRQx2YsyesBIsNpSQf/Y9ElR58IDmrfcsHQGHIzBxdQ3UKqG/zzXNAyeGyfpYAMGpXEXmf5LWfyF5gA0eucS3qmK/TdFrSl9z2gG10RtVPGQw8lQqbm5KNktVju+SyeRcuLa3dAtvozmbvjpdLh5ja6WPf+/IQkquLDRG+kp6LkwHguyKsfWXShP9/ffXffVkhZSehoOvcV23tawvM6/8GouDxcAflh55nAadQv1EIBBr9TTTFx0Ei4+yuVTGP02j+I+An60gxTMGqlKrbgRaZjvmX1BkPCXIZNHZfd6seq6WW3aeWECUJYOodWiMKwyRX5DrRUrD+r0NeNYFHhHjpnqV02nOC80rpp3SI3ZxJj5tVJorO9s2JLMowKtbDKw3FqIjV194U2uFKIGS7CDOll7BC+aiRuAMrCJH8QtNnceMwymC0wHV8wt8cznTVh+FgXfcsaYjBCbOZohhjwMvfuy9gv7ryRb6cbtjWDW1WhCRfTvzMt5/+TROtnqyyY8mcVTf96sQBRu1H/5gpuNiL9v79Ueb1U7+DNf8Lh7pMELW6ZP57TK3YNHNx1UCF1XWkyVt+AjPSk2Pwi4iVzQnthVZ85yLqPT9546wOrBnqTIGv3u4u1ApZWsLYbMxvYV2yNHeVTPb9464pGxrtH/mqJ9b6rqTqREDeHz/InbZwjiwwr2gWoCvqPTXC024ztcAcO1VqN8wDCrSW1x1wvFgOopb3DkEs6ZgVzfpbRqOyaI4wKpSz9cocsLeY6kjpi2EbA36pd5tU6xI0OD+M6BsJeBBjZYouogZk7uFdH2Fh4TlTyFEvaxWQO8NYMog6PjPIn7dvQezQB+3ID1f9ZH/xVi9E4xKNrJxS7BaXnAA5WsvwT99/ZHKmdu/ZxL/uwTvCf1kc0LFJ5smtZELdlFNFmsU24gb5alC8l/HodcUm0Vnqgi75s1l6vecy1nfkI61gvUTipwtIaobazXcG6TCZHc/djNiWVlCeE5PcfPxJWD9c+DecDAeoUPP0M+o4Ch5tDNy9VzsW8bgQEh2Cg+bjN4xyM+uKuWL1Hx3Vo+kRqwao1/lxVZBgPD/sld/NKAP8Wnmf+634ENI+1bCuCX554oJgmnfBGBLvwDsOu9qP2TYoE1QZOoju2nGHwKAmCfqkyDQaxVaxUoaqNueIvdlKqfqsdU8kTON+kOE6g8SSVBO6o+pJVjEbHWqa1valuV/F7nhzH4h6evGdaEAUlZ3G3FT66QYS0qJ363Ffl00WxYUrgyFyb0/lo9fuq0Wa4za/zDPXk80UjhyFM084tsUSKX/G8IU2N5ZdLRxHQ42LpU8IMkb7YnaT0xlsM0OvZVUpPMHu7hYVbwZ2POhIEgl38I58Z60vJ9uavzwFmtRApWGkBwoD3F3nsuMI4Z0srp1lwLKka0Zv1kDMPk5YQqQ7t2pKkKQCMZlwEONkvT1gRFCsE2YlZU5fiZqmxzaUQbW3yQeKg8TV+PjaRG7F/oSWq1zsz2R5yXhRge9YbnoUhQ+4UR9UtGnPjTxSrtK7AvV/Q/DWvBqfXWFf86NyM1NwRQgI2DB6E/YiMqoaBs9k/NF/zWbBfD40awPX5KvxlATEs04g8c2wBCjtgV2I736fku0Krx2Oqpmas4si3HLeCZ9nPPswZrR3dWB3e6whxo+V69dNfSct3iORFGARQ7BB86w3qM+Xhg6QOx9hBSIBTEIj5fgwJhTU+vPS6+C42Y3kcbmEeZE8oA4nf+Kp7sBvv8d9xDqNc5RZYPTubIKyR45GZyr2vxVNisZDUj/OPD3q3uQIevvGbHhWiiKXJ5Lhg+K4YM/qxByfxlm1K3dkpnmwA7xg586jrflAIgqnlZUHF3vbZ5wKTUAy1nQ+EQxPz4rf3s7pbt1PaNtgKMWg12GpSY5L3dlnrS+0GJCCMtDm+YaU1/upeOrlN3q0W63n0haVyTJp4bJvqoULt54X4wzswIgm5/Jv0oYARBfGpdZKgb8dPGJRxxMcekaBb9uJyu8EvQV9nvRCksoBHtJK+GRnbduikMrMuMO0zgudheXJj3w4W6UA5pqZoMlrl4lTlZgtH7ylKSZ5xc2tuAca5MPSqzM/nMy/y7BWWpnAxg3KocRU0Hy9IXiQWKLqB8GZ+8/x1RICH7lkwKgUabut2oKqanoDqF8d0bMn6yvfcQQ5MNQ4cXTCL5nPFdnUdb2Y4pySRA2KAlCfWJ7xAbnzff1EE5/ty2fAueoRTnThYIIU6BJx4Mu4nAEJhiWkWtx1w20qWLu4sccWQWQ8Bl7tvlfJtdiR++a25E3m4VZ+7T19MXckCxdLKtJ5oM425ju6yYUnjFr165oDnCfAk0YRlvoNh4ZdZeTVaLqP6tpLga+2RBzWCNPEYuM3ib3sheX1XRk77ESdK1cwrhNT+IXGkhuVbZPJIzET8IpQn+UxJJWo0hW8/+B6hCvhqT0HEWWsZbD1L+d0xcUAWR4/70Zyg7fUMWxXcQ0zCvjVJiSQcgtj4orojCbo3iCsfJ+kYxuN2krdB4Dx3oej6XLubWt+XW9Knem7s7rvcNzkp3YZyMfEmTcXdsd1VThzaQVITsnFDH6ZWDDfi4AjRDuSZE5ynitsmnBcZsGD8f3uNwdDMnRBo1zE7sD+akhxWfiJovuhewlOO72QkpX1TrtayW0hMvZPIQVgpJvjHoGNI6xzRi4qf26+7BWefd+1G/53g71jS1IzvRyT/MZt1Hnd5ChKYsXIx13SHPfqqCGMZe5tJjglyiZWzEWfs25oujw6+cmmuLZndA/19KFLOjzRk8k+yW5nn3cwXTj0+0A2p685riYPd81l0dg7+ocbffNqEJmE3rX7P6Z81k6GuNq0L2TCafNmXThs5LUojqCersRxrIelW5SnKCKh9mcKjaEw+woqTH8NqUuhDW8Ge8O9ZxBUM0Z6SLD4I9xDDVhzCXqInXIX2I4JyIAQYr0LEl+m237PVjSrEMR4xtCAg+6p3xN0vuAl4FkO87tPwaRMhdp2zvCrh2gZBh+mvjCRL+eAq6IA7yEjVg2ZcMp09eFsMH6dNvc0TydQ1SaTdENcjTJgS86Yn2r9WjRsQHcpnmwngrGHUGXRazAF4WqHRtxY8DR6rH91VUk4xjyRBf8zUO21yBCyqyeE2n7qtG5qXiBPUlDOu1X/mqvr3doocCBRUShnELUl75PJS1kmuKJVBLMl9h2vz51uxvvxcuLFN66oVZJ73BG8/aj68SQHrxGslYdCHh0f7LbziAovRA6lxqJmUbQeqXRJcujBB0ivj4ksaKU4N3xcukbVjO4h4hbjKiHSxMuf3TjQHiKNiCksX0nJsjT7VcnrD4BZdrzy1EERRa8jrluPO2/RjYy0zWDGE9LDEMN4CLV99pPwV6W6KFXBX6VuJvgVzzJzmT1Rpcv5HmITiP2Whi75TKxhfgAKkTBGO95T9LeY2t6kzeAWam8mF2w5WDlYlRjHajhODC+M5uFwh1CiHxTMAZIeeXnpKMEOuzomFRI+u0VRlAVAC9I1VjBptg07etOAXsJ1OAQn1ufq/mHYAmfB8kB9RPMS8L8gVyJ0vqVyTwcO9dYzt95E6kg9IifQrVMRBKg1sjbWDSBg3qrMDDN98jsaz7hS/0p7/EuW7pK3h54BQRg1w9jUySRxru0uuPbQQgNpOMRRiBE1Bmn8HsWGaRBXRb/bzOXHYoeznLun5VWDcnI3HC2jwt63e+GnD00N/tQznJ48CayyaZRwJ+CeNg4QbRMuCxkcF66HERjqfEnO6VlvDReoxurEgzy7t/dhcsBvtrIGkZw7Ao85ry7NzAMM+da4Uv1Bt4KoVwLlDmroVWya/6I8ZHYN5U3XuFBGNIbe338PewlmHlddxjx+zDR3t6LOKwcETznbJOMCbBx68vtSLBPKwAlDy3bD/BVC74aOYZzexCaLdniIV9+KPTnj1gMuIdAOKTINXnziCFp6q0St9BRsQywGNyHYfzIdIhcXetiH3WV16TKGQFE0faFUY8WtMx8akGnS8mh3PtDkTvrA5PKQcLh1y4KB4vTa4Or9mtD25QEDuuz4vYbuS2ROvdTqFNffw+gvmFEGV4JBnte7Oc+i5T6YL9iKwvUis2WCzArg2OLK6t/9aa24naD3Pn5XIgRSj13d+oBvfmaFKiQQuGz8CY4Uv7GXnyKK3PHyciAdAe7ULe/Da3NA9ydo4GcmqfffIJ4g1Kw7KKdWxjj5h2dSLXvOnBgKIOyfUsdsshdT+IMVkx12/pdS5l7USmP1x/u+BIPh+yjK/iryvY8lRZBIH7Vp8+PTwqfsCIA3Wp3zGOcL2nZ4hmkDSSMAakB7DHdOOVGKcIAy7etEb4fV3W8v6mCKsNRmIHbcOD8QxbzwsaTME/amBmMriPgmTj3/UsFKa0imGYN2EQJv8qY8gv0UZyAlceh4ACQ+zp4AWNjmXRuk7mCT2mDOSB0dIBWJSczSyT14PyWc4yP4Y5Lyq56a+EE+UJ3l95lUUXNvSIIKwhO31lRTvVEgI1V6VKcW7XQsUz3wJ8SUOhDBv5qLkjKx6Mq5RD9BhT7dd6g5FKmbhNvUmia+GF2UOsXkrOnJV6ShxSBTQC29eNmfKLiOO6UsA6w2fsLkQXJS8hVhtx1MWeTP0I8X7Bcgecm3VcYBODPim+VJugaJbUVI/ptJeog/nJv860llSwtqqOec9vWYPJ2RKyvt/uOV++B0dlKu4RWUVeRrax8R9n8szLrTxrhVkO5NGGuqWsCWQ7BDUyk0m9Euww2EgLFlBS4HCRTqEELLXHfULyOYiOUDBgkxD19P+QUgAQYHDArAfLJzy1DAAauYX3B1Cq332AHCKywpKbMr1bRW6+V/8pUgk5YgonjcDqzftSuA5OOlNhHNKi9LDcXHL//8q8I5tkv5HiaIWFFiCASrvxpnIsCiGHTiKDrg8a6hwpG9Yr2kG4CN/an2xK/solA4yMNVaGOc6R5VqSlY2t+0KVPahHH84/R+PqjU0FhgkhWx/C3ueVtYqJ9oArpbELpVrugAeLOrlmWs/HbMhMtlGhOa4FPdCHVQcEMClvV5Q2jqrZr9Xp/OaqpX/vjwu82mwnlNw4mmCQ+oX7Ujv6OqF4oHdvsLKTIiYSTKN4gDsGNBxpoEJP65tc1ln7gXRNE6mrORp9LDP0roBk8nuR0yfGMgifylEyZFW0FbFAEb4xJl/0cNQYcMKf6CpNKGAVrhOhrjJWoinuzAk02ABHF0F8h7Ikd9UOgbj2dkzGPCbjd41Dm4wfGvqQshQxP5tyscVxU+dep7Odu7PpU2VOrAtVdLxjQutiUL0gBczdH/yG4z4trJxlKgAVv+kfX1wM+ZLd7GNf+ZDg4orzxrSO1s8nyF1qjeJXY9jEe3QwJcjxW+AO7UzHerItL02qwLDoS2wJIkTvtn7dPlCTrg4vZw1XPpzlfi9Lpfv0Ks05C7Pb2PRCXKqnckTkoZe6RvtNuCMoxwf3Ac1s0vrh637kiREWxOAYMhYtPUnfQhOjnJzpany4UEotMJaQbv3YjnAsRdD3lNf+nBXkpIrwcsRfuHeiCNgE0GnEo3MY2Vw0qgIF9fO60wDbkkyOsAQ96hUx/uGp2q967mym7Bo1hnLz1946L8V+Wb+LMTmhJUf1NxVLNxgU7yMH2iQvEU3UmT6IBtqrivUJCKlisX0IqpzgkJH0MpEg2w7zCpsmmBXQ2c/Xa1TQ6C4VZw0CxpsOhbabovPBv5r01+GxVzsr0ZqgLnDKqVFlv+R43RNs4YG8qNHlnVM5+4PQCsMqHnGMJPN0sN6lsYlvNd38+5DRAEOKGUR49WBTW/BDZJQxtEw9I4ARriwSzHfYzXjLagW+dmT0252CYF7bym+zm9wQqpPi8238btSMLEUGeOJV8BxB6ax7hz9xdVvgrc1QgYeN3iCBed6TaVvd0L3wG6l+c658MnTtu6FZVotqlgjgxRHR8CDjkV/vS+QKGPGdogzEY4I9XlhJFneoWehpLLaKglltQRdRC+1lOkdHW50DkFJfVhPyNywGKZXlzekIw9EQiif8C11uvE4Qqxy2rXywl3gOIDmSx2YZ1F2kxyyavV03/xs+UvmPHdBSub+o9UcRxBBNk2z4EsO+vPsJ8eaDQSGaM3UgooU9S6RU+JXAyI84oSMuxCO3UQswtKrkmSoIIrz9gt7qxV3NOF+SsB3VxitJd/Yj/Bu+mVAHVIWtRWBVtC0GlcTIfeLdPK2mh8KEtsaupHI6RScWXNYZVgb/eV+0mP0E35Ia3WwA8kQqjJEzTCC8LHCYPvEY9gMhW50pfDwQTguRnuLv8rD4W6fS9kLWvrHRMy3ep9iFPYQnsvMRG3VuXulvth6y0BQayMERgqPTi8nl9UnBrYtGWkZpHAXWgzWGJ1bU2QfK4B9g0EnHCxbgfG0bzsBeRxDaMIhVgDDO/6yS1dGrGO+B78vp7sNP+lZqa4AUOb2jl8Ltqd1MPp1/7f2lxg02gaRbWt5BAWQLxhAebzThMrg/xzpV5sn0/raT9XuZFNNtpjBDKKDkK8zXUyawlZyQeDIJmZad+dh01zdFWAgoSs4scs/PJqTU26A0c6eg/sHXAeiTpHFwFLqGisLoh5Dqpsfx32CR/J/wTz36Nj435zs3BlM7YPfp+sQu5j+Jvh3p2UbzRT20qOe6CbDi40/DmokUevCb2Q/lZdVG4S+h47xi9Oq4jVuDeUKRpHWBLn21mmCvKzr6HsseqgbKbv6adhgYMsJnVI6XQdwadQ5l/1Sau8MHFDiewCYWj9DXn1NM/SCvnwbP0ZRuewORX+Wb7OFWShkhl1C+hWC00urDqsUhLdJ4A5/o8G8rHx1Q7rfzEgbac5NFAoNaeIVv0yX0T16yBmPP/3wrLYmHNvIdxMcaVmzeXJHHxZXscAVKc58eft1vk6lMXNULA2X5IWf3GFKLt9175x1fmRf+KhSPsF5/Aipe2gvw1ySy6vmwPzb1kw98MzQW7SWfcLWVd4UZYpOs2auAtpYyRHrLe+uHqK4BpYmBZnWckEXJQdOznh6Rz9f5RJUO8m5cnK2bniC0rhF9jSXj7FseCDtMvfNEOHu+h+eqsdU/q1QzdOUHsRAr9756SZj6rroH7kTx3DL7mFKFb0zJZUqW5J09KHT/xgzYNGsQq3nWItC75VnWzOz4rlmLd5ytcVnxpVQKIFefudkrhVt5nR5PUiEFYRNN6kBG95Fh9CdmUSDVn6wbwi0SX5hnInrH6eyZMLHiK3hWaNrdbSmKhi3vLp8j4Uozu4yVjDwGHEEKuxTFs2E2a6w1oNVrPjnGSjEWCdc9XsYNq9w+iBw+J9lP9WfnJi9Ohb1Qx+VIh2YAVXvfQL+0hEmDNZGQaDMh1YXtzN8IItWMSQY9zdm37zooE8ADf8I7QQXYYDh1vV9nlvr7yFd4Knf+H5Nnm6Y2cNutSFb8P1pR+RBheZIdVKpoiu292hpuI/Ezinz3iD6Vu2hExRtvaliGnfui5pl5M40CEKMNIIJqo4iRDQYiVEGoIgkrGxl9Q1qlP6bu/IFNtm/t02/aTOD/dnMDYdrOlA1CbvmlUNlGN3hVRsquwdrjPzFNXccqccLQ5APJFAmqSwplu7Asorm/9Ia+PWQllcLPW9RmNqtUeiqpCfDk94l8r6MLOpIMwauXLnqxS86zBCRCnABKKC4lIX0MIo8OHXrADyQ+umoKjog5kDRt2J/VTnmBbTraacjo271NC7h2UNaRmQexCF30DjK4j0GRojhUd9USZGOxVCmEgd8SKTrr8G6I4+N54D8A7rYNC3Nir2fsuo3BYejC/yyN6MXuglxzfHBOkj+v5T9YfrJlhuca2oLr5HcLeSC02djRNoN8iMYp+Ea4uK93PIRbebirxAMmMl7SOMXEPcnMGRAYIYWKqfEcDx3Idx0t0oHI+1X9JC+9sp0AmP4mqHPqpdsKVr0dG0EwgvNnvITQUVQKS0YV13oOY0EWr7MqpcwaVkgHbP2IudK1viCB5cm5wA3qo4dpdqpgcD5Dv9H5NkEHM8Es1CBjNChM+X4uuVMWkTVhKtpn026AI2gGXesr0eJ5fQDvPC/P5g4cjW0O3a4s6q3O0+wozGnmFhRRuFb4dPYsnHxB3wtoRSB/7q+JLt3A3MKbadxQvEsegSlrUyG2rFSEWR4JQlvQ8CnvbA3ch2OeaXTGHFq1NuRuy8pH4xR9tARPWFOB6eAIjAMRbXCJc3l8SlGIwjRvcrMYGexK2TK1GP3YJQZL5vhDsI9aL+aBRBnZhwFQuRXaz2+dZQEFsoePOpSA9jo0EaBdTgGioUzf48LbK+WOjrGdXc0j0VoTG+Ic16hQUArGexbCYQWNBGVMP6w5lkAuOLNejPe/iQyxdMRzbIEO730b/ReTh0ZzIAwddC4IaUR73D4hXaNRZQmmSzssT6H+jHqPjv4mVZEl0uqfhL4x4yM/LcDVcKAqH0ccKlStjR5ZLh93ZHegBu4gdB3IiRZY+qX3U0zfxLtBRvn9aGrNajhYD63rvAnH4fOOkoY194Pod7LGLMwRZtfxRjt1ZMYw2c+uxULN/ypS5LWJ0DNTg7grIDLZQegqELf4t9HkNB9EnrG6dGL2/qlv0xg0Ln5CRTlkhwenjrGwhctfwlTr/NSVnseqj81fwbGFeKN8TkhHKvMv/p0J5ppctcpOmZK1ev5ggnE/HLvCjOCAkJ/oVifjgH7GEay7URAtc1HaVIwKeKSRmd2ApsI9v5QmOq4IIBkyXsSHNG2qloE2PF6sExyxHM7hFu1djuRjmB+CxC6ZJ2MxQ7lqUvMqH3HyZfVU/JKVOEOjPYjU2/cPU1vI3lWwZJXqrtvNLdWNdQ6PZmiQMZfSJ+hSx97bcHGMYR+5clVgOCsFnRJL6nN0zRz0KfL5paJIqfLuOhTZfI+alPYGmFlnXdOIKQ9FSvIaINDhcwB0ewLxmtX4SLRpPU+qdodYYIA/YzSOL02BiO5l6jebBUU0cxfxkNbIDmbjhqkoWlS/x7ohekuIt1gvTmS1CB6L3huKnY1R0LsTrjvPOBarDnWwhC6AMZeTuuLnNTXfgwedycvJ1suiDQESh1chW4UFK6xhbKtbxhJ+Ns3AEmtWkU+F02KxFAcPup80bC8O8dyit5T0Pm/zOtcHyVdKyWGMkFDSq2II45Wpc5+x0/7dxkoXUH0+nG2yi0/jaly9HKNCpqj3mrD550xddWkHm2GfYgVymJitn2k1QlRs8IjcVDCGoX3BkeXGLwQjm/FvPlJnecyNXBlC33f0LgfYnNaj9xLwGe8EIpADjfkiGFoY4mUMilvzjCwWD2eVp0+rlpUkFISo4LGEQ7EVRRneHyxgmf5X0ZF7vDcAFe4ybeQgMkSaXPEJ6nJz8EGk6XZy4IRMgTxjHj7tXorFBcW6p8XObDuLA+WiolCd3RR/pHc2WsL4XL/pxnfh/eIyHLcd7CxneCJDk5ZWluOyXD/34GTxxsnCYXwyrkiK+7N/oS6TdltZ5R/J+1OGZ2mBp9WIZ8sU21ZkRfWCtOMaTphzXaSoY5//2LKBzpUWPECD2boXkoLMMEKsH8itce/p+PH+7Z6nl4XpbrutRmvJ+OvAeEkPiDic755l9WafYflVg7VYvBtlvm/XItd4/+/qD0R8PjY1y82VDPBIuIIE3ECA6WkncooEZfl7rxSA+fI8cl3wHc5c6qyXzZaUad0CfnvPA0EzLwwVtjpj1Zl1btwL075M7dwU1gVyxnMKEQh6f9y/MJUq9v0y5MLHlV4q8AiAr0WnDy+1MkQ26Pk87UQUyKbQ13rHjosljmtMiZkU5Witw35zNzv7UqChUvBh4cTQeE8VnweIsNh5EpwmTjdH/Ovi8QowaQUe3y5EhmU8MpZhkV9yztbIYf7fUGqgbXBCvsFGJH9dVDIFlXxTmx128HIrqdiOyPoc0Bw64yVJqrASSn8fjFrwIg/IAtE+OBw1hHWFhpiBeZ0dDlHoR7Fh5Uj/VIMAi4+Q3VY064z/zCVvd7BNJbNzHy/dQ27lNJMAjYPBYOSjZBgH3jzU8bqwJKmktnJTnUa9uQwpahEoQ/Al/4/jM7eqM8ZiT5V2g/ieMkeGax5sVb+H9AqocwbFZU0tidnvgVHI7woR9Ppg/qIJI0Mr8noKkJMf2ZO/BZ70FhVtoEdPFTZMxLnb6ZQb2UNZsW7yOSXB8iA4P+3ry99cUu/e/LZrXDIJaOGeX5Njo7CQuOscnYI+mDFN17IiOD0AxzGhDwKynU+EzqMLwBO0R06WAVxXhz9GiG4/LXt7dKVZS6iLx+ps+UgM3lNV1aM9WCVlk2uVD4aCYFRGCsPMVbfMqlbYzE0Cg1+6YtqaFeY2G0P0Ju6fR9Wu9PDsReOnxzoAajru30DOVlfF6T03TPs82ZXRnEODXeVoQJpNh4/NOIbcQcdeVCUjkEKihcNb4DphVuq0e1r7ZQM7wRRslLqlhfw6Fbq9KNFDS25YZ0c5O7lGY6k02ymL6BsUIJtGFtRG6nXDcsnI3vfg5MNofAtJ8rmqI21xGZ6OMQ3NKgq4Yrs8/ldypiPIemaxjvG2e60sY4mne8hhHSRs4piILgqjfrich5ZTyms/e03rATAAa1pJozN4pFEaCtkMWtLfBTpU9610Pzofu5T9KaPMe2aTtjF8qK/3u52rWgk4rAkl7xz0NElE/Hr7I0C6yzG4jkSemNlwzOnBuh+ZfzdjEmkDSzVwaSmGT4+UDQxRhwiL1q0cj2MAQlzTWyVo0LpDFX4Yb+MvmjotDkdNwE2dDsbK5oDgKpJ2s90m9mpL2WkMdJ/cPrxzq5bgQl1EQ4YI+h0dIUfxeHv2575pa83GhyaQWj4wpsQKTDhk7HBqLRNlgxopTpb1FKFfX8KLLSMBU35ifVj8+5+FIn+1MSeLTS2hPMvX5r9NYLf48tyvaR65xI9P0yFTNJB2FZTu3PnT/XnRTzWbaHemkksXeGFJxTEEVm2n/yDoIUCQJmEfKfPWWNLqqbNN9tQuYZ3nTzPeo0MCcsFoNa2mnk4Rx0OGO2QxKn1mwTQzbtRryAPiVikmhpd77pOZ7QikxMIdhpIfrGQfyJA58b+sGqb/6B6i4RQ0UPdbiI2cGfbn03lwYC2Ao2SXPlIWX2opqEwnQIY6axYRGiZOgtjVL73gAeaQNO6nUxntUfTuWQFecUCXLPmjQUbm+F1Hut53HTZyq2zM12/+4mnti6aFZmfimIO5rEFe0ReLQmTlVn/5cGBQi8FuWj7HKFIUiJVBNC9Fb4CJcIjy4pf+T1S+k74XQTuQKiuCNxa17hPLCJb88Iu4Tk6faX090AS+0cvvGPqhs+IjLfxbTELFR5c4KiIlNrwW3YMIVzZ4SJ5npBy0dvBK1N6vEpZCvoUX1XlCV+v6Q9hWLTUHcnPiJE2dwNiXLppJI2StdJtunzznS6my3Bgjdkcz3Dk6KeL3CrfSmDNB6+mnQPaiw36GRsrvtbTL7NwFEfHLYR6VBZRVubN4XtqYhIjnKw+kNI6MtGdyXVsp02hHk+tIzpAhNPtq9O6DnjvpRyt57ojvEZfi32rjgckgUeaimobicWhFBkxkqNZvBxn5tIDUMxFr/6pzALox3fMFqqklMDW24QRs+oDa5fNQJUIpO+pGepgdU4KnGldRAjmmT9WB0zLaPOLM2s8EbiAPpqBVcmruR3sd4sVeuhn+DKMyoRFUmGjvZf56XwYogAv5NWQkRMRMnAtP+7eqmyCAWCgijy5FNSQ7Nrd/Csfit/cRh681QcAwyX/Fes9A1tzf3xUQWNgRsb4pCkmTnnQdfTvJdvHd7F3HzMoHPp2fyBggOkJN11U9k7NGro/j8Xbthy2LycIv9qA9xsWQYHYcMQpxbgRUzSyPsXQKi7oG1bQKvc/GGZFZR4ueuyMc/TKggqgSGBW5hqfG/AkJp9VDa2KswrYZ/AW+/+RXdlNMA+JRYpTs7bbHwc61STb08v4YADunMORX96a2ieNYQjsLNE04z/I1m9XeHKqgsp7Y8GuGwj04FUQEUoltJgDUkZGmWYD/g30V1r+9MwW0eVYT8xM0pxhOm3LioKNKnagTulZbWIfgt3Fj7jfVpBamFeo/zBgI1+x84PNcWc32Zw6H+l/i41JSReu+gETz3S9bP98rixh6TlupPiYXyzOK8XxcPiTDGDYRvb8Woj0S1KSuNarH9vi9K/mvaM5uCPOz4bzDkLKoB1v5SZ9XGkIgCEPmwUZocuMKDpoon4cUDbIdqz5zJQh0qymt8oTx5y64FV6C6zsWLdI9BFiKNGu7p44kDOuHOyVeMCmLaps1R2W2ASaepfwB3DC7TMPBVjBOyxPN9fEWRlmPggYw0JU8vxboKBp0E3niMzglKQAKwwH2oggc4ljK737p04ibmd3gSz0wvkQbjxLDgTebLLnONbkUtLtekep8DGU23nLEhdYhGZ1J9qgNAPrcwJ395VcPLpOaN4W6J5mxGGwuCSwGoa4BIGIcFP4QQsaQVvWmuVTPqdQiokRtS7nM5tk3oRjGy7wa7anSkI1nrGh5y4xQos504lQhfzVvUNcdGg46JKx+U3tM7UlozROfQxCGMIqIYxdlu3J+wkwOc8FEZdOTe3YKv6NvYg7zG6oQt7E/jJbk8ThCZY1ndWIvr5quH9smmp++FflGzPczqAZRbnrEjYBfMa8EBH+E6z4oDLrsy65XqxBssAOzZ/BouhHwN5Wf08rFwQm37y618q3bQdF1XYt7PHsIZdzg2YSsHF/aV9cDuzYnObckQNZ24+4kTHYeCt96HPCN79rwDuezKHLEgzNaEMpRj5iENpLhYWkkW87JX2b/DbZjY8j9thq8BgROw2PhkpEQHBtAFheRoSQvuu4q0ZMP6r484nR9YPMRzDAiBPzfyJfus9pEHwvZuQg8eWsA5wSeg9AuwunXjvDs5KgWiaXaPMMKEGf1aXNZoNcpOZrATtd8SDRykZZeKLCQ8hmilJD+EIBoQHGvI0AWT6eFT3MHGrDgpBQHpPkW/qLWb+oC4tH96T9xMpVdhxcFQzWd85lz9waMYHNG56/XGD2JfnwqxL1MpzSNjjvYW2Px5R6gCqWQK7PCA27WnBygm621QsBVaFvVJnFocAUYn2hDSMc03qvXuUJtCjWHIFLc9eNeNj0+R7BvC/fY9qYgo5VSg4OhI8Bq3nINJ818O4AaBeIB+m5inuwQvLDtuV0XYPXmVToM+RYgX9XXAYBAm42ZrXIoYX8C8ofw80AnYL25koTWLE66OBNolIdoYuHbkw/CoEvi6cGG/ZmJ0YpmIausnXnQWUStxiTsjOHDWHSbGyMQtLQoS2g8ZpwrTIcJT/QSvnTAaBZOJtTD1Z0GIlODMpe72puqtF/I2OwPHlV7SiC5ftTXDSN0sEhriaq6DLiNfwremLL3MDJje79h0lfOlRAHb8DvL1B5G2RZQVbPpquH2s0qzddPcJhvNMO33mbS+tNTXyWRcA0my0ctH6J85oPV/ba8kvj49UH5EAxI+ZUw5BebQMvq/w8UaYzK92nA2ToPEk/sd2vMTaHQBdC6ESjE04d3KdNeCQBFJdGcsAYKheg/YiaMxALgVTi9zVZxihRIaCCky4dcDZMg2QnAzzDzGkYJgWliBGdS3HUpdNXXKdshs7/26+B4RMSaPnJKh6s+GLGmC5Vew5mdoLWGR4ltP3hEkZv6gvWMJENEkr9IU0TPNOTbd6a171tMVrZil+PjvtTSI/Tmr1uPWW3qz0FjrwG5vDBqen2928VgeC9LZNCUi5v86vzDfztUb9ifmVfLVZQBVidJJHEoVQkRiY5IX+TQjHd3Ny4pXJg00B9+UXdvt0SS0lJ6e607kQKbwM0QWOhIdmFJK1tkgwH9IX6bFkMKJ7ndL4LbP7za4mzl/mqXpuem05BDqHI4dOTJXtEqluDunDy3F8zxPCS+xnZO5hnKe8tM6QPxwBiLUhzmZ/tF76bcXzcI6Q2Kmo2m6HVALSOVRr2SSF0SbBu1D3UCZTO86eHeolzVyR00YL/LR4f0bLCfj9OFk1eh05IjHUrGzSYuSQRKYl9P/Tpx6TXqOcsYfENNzI3JqUJuoUNVkC+31aY2DEC0wQwAWfsETwspX3UhkZGreexw6KerGsTHv4Roh4OErwFMoOgdtYsPz6pxb5LXccbGP5bwdHSjHt2tGS35uh4bhlAs+reSA5rcPLKFs3XgJvcNSkCRKxcNmh9IeNxVX7qrcbB6+kOnufXxoLr56J6qb7k12wPESyTivDlqMoukCShMwGBa/kGhukHwb17d821d8hs+UXYbQc9g+NcoxML+xIHWRu7CutzIgrzLcIb8Qfhoj6cAWumxBwASJ4xq5QdKqFQrNa32AN4ulu0RWwaY8rua0gjgk5BuIeEngy6vqe4XAmQxyzxKwo8OW2J1czHyK1193KNttDVa29jFS7H0+p/gHRIhZ2uuYIa6aU9ywG1c9Go5RKlwseAijOLt0NORyZzl8iJXNuDbNfQek8HpzIHvt+wpPxgPx5cIU8oQnZIMNp2XImnn1j6gEW/aA1keM2270xignhgD9F4LIY0+BEsJQT63SL9novFZLcJXaJ2WTFgRrhpZlJBYu5MmvhFRJNChqJkJWrChs3em9uuH0RoosdgE3m3vedH/3M+SOet/lvCGrCfErC7AP/kCfaWXakCYyBm446IIuzCKZWH15qiMTr8ZqDBWhFmgtZuEt8CNUAXTQEObdDL3VR7wGx8GS/RSTRxAdmkk9mEwyXxgccJvYJdRXEMSpiWz9pXJi7R4wtF+oM8VCMhMfRTLwv1t9PACQnFiojnaw9xdrhuF3AHR5gIl7qlSx2Wzh2S8VIJQtuOVdEgi9zn3lKOEI+X/e0sOnQ/L0S7ArLGosSikU4T5J++LAoVR5shDjt6nMw3es/WcsaMLVB2msO9qWGWk7SeDWy/iJMI4W6GMePPRdBFx1RiO9J7BxDgMcggMnNn5H+ZWxrFwn+O1q8miBmGQubr41Qem5iRdUMUVBkWxNH8k+oFhaRseEAXUwkgoHiOoh1HIGdt1D/zzhYO3JhZNMkCJE59dagOkjXyUkM8gJggnPAS2olB3qBYQSBxdNvebLA07e64azhFX4jhSA51Szo/T+bKoHKvoZ/rMLE9PRxASaLCRwI27dQ5J628qgcGIxOQ5vxH4YDuT4nFM2YPwiXjHBIgi1+hIspMUV5S882JreNTBjeECKm8XZ3tx6vWC6vo2agnZ+UwQ1+JyPXaV2ajl+UWRAfutjWePDivA6oEMjYib3RjWbbY9csUZaT1xaE8XHSGQNUGyQsm0D8ghSnJ01GnIvneQ6PCme05nmgL25ZmIw7EQQQjN+T9KG4Ico9f8RUUmv40+2R1BAzsDo8OLwcEjwaMoEre23xjL1OTF5yfAyN+HVJGWeOIQ+b5lV/nqi6hV9AH+6p5kGrlJyoIO+0NBxDCDVss9RHHMj2uXZ72oqyu0Is8+SO+Sr5TYI85xmQZEbOyDdyltOraO7TmEF6aFYBBRnFSBA4pIXMDnp6k+fnh8SWPZ30PD9ZQ7WFnosBhn+uwfmoBye80POf57gAYAL2yTwR7qjQUN/3pr1ncgO6Cw1oc67yggJbbw/H8slz9TLLS5n2qryA5uZSCpsEMuOS9swxoYnKv8kToNHS00k5gkqAp7oTxhQ7BbbbGdltRo3aiOuuGvx6RmUhUBU1FSLmyA58M54ZTK4gLqkvgSBlVPVihHe3zXFzfNMYO7hE0SmdGVsx0fjPgrIWAQczidK1ghGcu/+oyZfvI9sddOeHdwFwM8q0JcRSPakXcVqi9Lv+qA/uL5H4dDc4C5CmNwB8sCBFrEFk9dp4ofvuarFP5WdfhoZqQKnH5RyRUMSbnExv83E4Db6FR6Yw+ZiVQ9EPDTa4tlL33lRyYCZAq4wbUks07aPJJSWsODK91lQA+Uf2JYbNMRbo8xtPx8jxRd5Nqo0fiO/166WXM6usC792LOjWB6de+OIo0vfSZMvcadHQmhLQXFJPmgCmO3nv+AzQ90AVnuewYd/ts7X6fuxh2/ipuNVfqD5kjccpHVenGF8SGrP+K/kPG3cFkcr6L1dj2VGa6P7vcZY13bmBJkiVJevAT4iShgmOVs9IROkPS5X6qQY1cECTUGi82CE2cTR2nhd1bNTdHINQ6pEZmZ90nutKmC+rAaekoZ/JKNOK/objeNju69S+jjwZgYkeXll6fAu2o6lZwPcFnp6uL1439T0f5fjm+warJIUZJrWic3lvhVAFKsJxBFE1aFysiALcvbyWD4D8kx0wp/sTQZKrun7ZmmPZZ0n9T3Xqqdo1X9img/8H9XuGkV8TZ1cmqELQ2wSzjaG+qHJ8/yfQFQfooB9INgyjSFh4QSmMZmuO3iE11EiZlButuu5Lses0QFJcMj5nZ23L4pNsNCt/E4g0YXFeZ3vJgFvFGGyLf7IdOXujmnbVHoGXItAWvuOb2OFI42CO/bI1XrTsf+DYOHqD54+vDFufef4SlADgUKWhRaHCRpanKZWphw0e7tsfqpNunUaSjHsgDg9uNcokBTV2kpp3HO/e1luMjJUo9YboiJSf2dEpTePakntTvqILagtp4IS/xVFAXy56KuR0H3NfkS1OWqpqNlT3E8Tl8KSFlZmrmdJpXC9lbiIAyUoF5ve8eSL3lfMPXvCu6obs6Tiw924LF6FQChm1hiaeo0bhLCP/TitqMvDepuXnUFeo8vkjRYZ8mkPFYa324h/LPEnDWWPTcECF5stoXoY86vp66q6UuPM5ydN/bf5AjSnJ3kgRK1drgCwgcPVJ3Zco9fDB2zpBU1ppF3mZPc1vFHmfcUHYUohLusfXiGp7zlgTx2mdqgZa5kkPN05+KCrGLlh91uIVxuhJWyGlfJpuYxqC/gq2EPUJLaNrRnhul3ux9qSUtVtjcsrKTEI8BR6VkcZAtwd2EzTiZYUNZ59LjTU+DRkUIFJKVylukUZ8J4QdSb+9KnKLdInSY0a3PV3S657aSQKrTz1wubQlKrbS0XRbruaEyCZ8Eqm5I99q881W1GvNExKv1ubNXsyed2IFFPUw4XUxn+jniM6GMSinNov65XlHCsMDDbRWe3R3WjQzSN4YCdBvcS7yss6egR+nsuAfd5n5gHi9NrabqSX6Cx4nRsyvxsOl8V6RMEcJ5miyFcP3gE06o3W5HfDIw8HFb0NTrcSqJgFHFjAgEmXvTyn27CKw3lseZEQ/FZU9T1VZf1Tc48b1HgAZ4/LcEhENTw2gw8KfdFG0yTa6qBywMr4te3goVCrmAFYsbO2KbMBJAg6Amvr7eefN0WRVVM6F37cC7ugSahUB1MVUDvRTOHhtQN195xkvYoaQj9HEVfb3TM+ULWdSguvRIMVJJxfPSki2RhrI5U9PxIaIIrceAQSeGlaTyBbLhvrzpvFV4aPCKRarLD1eKgxC936WU+0m7YddjRRMyJhhWMpDJnDCkmuU0TjnkudHC3k0akNWruvnPrK2O7soDG8zNlrDcCmHjCftGrXpXscAQPn1Y2aPzm7z7eORomPcmG2U6IL0HIIEXh2GtzxFW5/01h3NMJ3nw4vm6O4hk70lLMphixGdsJCJHr5ppVyltA86R71GYChHqfwN4ZoT3zdHdMtZeGSGBORfkoYAczWCdyKmDzybe/JVGDEAQRvGlDYpuQ2POUSw3Fim1zGGNhPuug/T89RwidNnkw8Qzt3PHogRaGySqdOwt/xohoe6WLMeK3PWA40iCXQNirvaNA8UpbAy8iHdk/nsLWkrCLhNensPpZ4cTEK1M6TAU5bxYV86KLRYFwVtln3Pzgv1atszuOQ8zI+cyIF1pJNZtLAys4qzV8QdRdYn7BDb8/7uRKdSlYsvU5WDRHJUM8sp3WtIX3PAVhHAMNDeumY9sh0pJVZty3a8U51Rxfou1D5yJiAj8b7FNQa5ryI3qO7XBOUPfIUizkIJbe7Yp4/TjT4nQRlVjmcquBj5XRwRJrsRKBGe+cnbfR7dyHP2SgD9jT1j4TeWpjya8HA0B1Fe25gSIGDjMsw3SQF7SVEVQtjza6laKa/3Zsc5DdLOQl26h8xPHYYu0O/PFIwz/aNxNldrQyA5iVyBinc6UN76TJ4m3tQBTa5fD4OVJm4ePyPwz67uU+9ualAYM5sQJlclhSR/Z4rnLS2IWSOa+G9olcb9l2DRtAniKW+/hmrnTISYJrSykE5aUUOAqjBVuagx+DTuMM6E5qKYY37Z80D/1C+Ogva8S1tI6dHaWubzT/0QAnZHVd5ab1h6jLB43/MB9j7n3kzCJ10YK+gk7JsqVFEpPvsfKJf2ukc5TMGQoaahkaWlrxpe0R9S/SszwvJoql4UbLIfhNXVVrnDDO8jahSr+kVlhMpOq3FBNPAtgiKhBo/HUsgxXBK586L4nfflffx6F9yI53xFv86ZR4MxrqSUX5+il2t4uy9FPEiBAcF68oIvbZ4zfUKLuFR42qGAVeFctBagIJt5fwGJ87PQrO5feRIf4gCMYAsjTx3yOstjHEApASwbBcKdl51Hlw/FWVG+/gUTwgjqWG/GfvTkmLk1rWIvAF8nMzcbGcebWvjkT9wbb95kzXPxgFQHCOOLUvddbB0TYMGcLktqOcOQC0hDsLcRx+BNKyHWyNOWWPET6BkwLyJQzyKKLJBkmxhH/xpeES2EpYxbgY1cqn1VJfuAs+Bdjmwj1AoUAxuxJ7DWQbA4oIddmBpjTg16tGbJJCqv+Yv4l5ipCqc5hkkhDddziZ+yqnTPQaDFeOufz4KTscf6uQ6ZUpUrYGRsF0gM+rGwLhYsA+lWl1epgw9QXZQotlDeAuDdIMjAcmJJlVanjyq2K8O74XILRsRtrWzRFS1hTo9HuE5jH8s7dsUs8z6o7AS0XRJRNzndUyWPFNeFD4kb9bH8BbLYgdifz2Ws6L3zxGn7/DKzf2aLNsVg/jr+jbjAanpkXUAH4zvn0NhMg0kidF+Pyo0dL9FWizqIgkvyuTdzbRFH35Q/sLAA7vlKYYpCMwCrBPT9kA73pkjasM5bJCCnERpoI33bGP4o7z0T42Rlo/3aJoejwEm3U2dBA783iA0xOCVEHWTWsFJzU5tA1hjKcQjhmPdGfM8MwHI7o0vsXic/8umSnA3vS/s4xzsbTpsEyez8uhit6Zz4tEe5yIbANxcEguP4d6q1Nh1gXlZUtvxAh80xyxvuRsrWPwB3zwx+j7viirmln+L3/Znu38YMCB+/XWND05d7QhqFwb73oaGdK53KLITdgozCzUEZug9W8oXfBMGvABzuH09QdLBa+F+g3lIK543gl9uGyc6Vdd+CXz0lQkQS+vmwSuJusQNrVdwOWVcdkvV0tGORpugyYu95HIyFVTNpx9T6VcZ00iSn+M/95R8EH8qi4i5HDy0M0tYD+Fk8BSAtOI+T4UVM5CgRDqF0I1uYPZw3UDEHOXMZmG27ILXzpZCSEuPaweMO7Fpa+kWZvjCY6Y0TNEhB5TsFjEavA1n9QzuU1buyzbMHDy1fWZG021V50bhX1oFdj75Dwob41OKSdEHMtTMOcnacUliUkkfHnYxPUrr/71u7P3GIyOAnALqVTrfyG8V6AeFV79/Tqjhn+yW3/nbdsH4plb3X9L82rEbcjElKEN+mybgNj44UdUXabyWKXbw22X7O/doGChcWYlFemnnJbBOzgODDravL23BZB/Tq/zgkg4pUIeubWmN90Qxh9CXPJtNO0NC4WvXsEBMPeKaCpBVhyKblfRtEzcU3sxYcpBxgJK9BmL+YdLuCJ9/AEb52ytZWdl+p3+WbRVAWGDhd/TL4dOWjQmT5A1TGgBvdjyt7MjDjme+TqQnWJ210SrAW6/YpkHYK49BrCmcceK9JpMMusIjlbNfNyzOIFhG2nK3o4BaTpXN7ZUOTUuB8OgKBnrk+vjd3+uk33aNZ9JhuwTZ0MnlgBpH0C7u6OGExfPJAjdYrhhg5zfqUmWNtbt23bb9wvntBy9NXGZ/qwo/3ytZjLqQRTeHUd6xt+cUnHh7iWbtZ46Y11Wy8khOC3jxgAWe1+v//LxqJc+24fDkFlob1gv6Tx6R3yf3Vz5S8l4ZDto3nEZ1HRC65rzsWkvkeVZl2DTf3k1qrTjV9CdIMHf4UH7ZDr4aV09Hs78r1Ga/QTlYk2JPQPs+9ZuhbPlJkOrWWyqcpGtAxIXwNbBThqSBTZmK8sWj+rVdx5YZf+6C1YgfWnbkmRjWeyJKjCGoABJ6LW3C/oP839faZ7dlnV2/iiMpq8oXLNryLzg06wg/nOj59ea1BNu/Ug1AzHO37UdIUJJEBxon+5F9JD+0Kxhad6RRd0hPYAD1LF6JPyscDLxqpe4O/gFqpi6VfHpHzjcNJ0oIgipNdtdJQDbr5+s/mrur0E+wH31sb7Kj5ktjrqwyy+Ckceqg3XX22w3mBAzUVHEJf4Vl1Pn0ZTYKk/H0p7uY0cxrb+p/zEYrmDiJKCDhdwjE2pqjWUPGdK9jz0u6EOYHmi0W0pTZ5ZHXiBep3U3iVEY87Tdi8Ew22l+Jq0jmL01rJuyXbtk3NW47cLjpZFxNEOcFv1J1GJ6RF3XmdgZZp3/QHg/Is6YhWFD78scfgAygJZUsPOOCmv6VSjzsPnqDG/V7B2KaLFUUusNNBM8eS/2rz0F9Su7xWpHo8WDr3O+99Ciw5RhkqdkRRr626S4wLpkjWIiXpXUb5VPjPlI8uTZQi/Z9QYerM8DQaKq842E+e8cSogbCDfLcCf3lf5SdCF1bv40J0YID+Yo7sDq0YLyYo0Jsb4K+ypcrB0VRcHmRR7ZdLRPOBoglGqFbdmW48w0mefZxhBrSqxR+JAY3oMOCfVi5XeIFrF4Lxn7jk4u9EH60t08tGKr0pmQqD24R6EBElzD6PZb7klk1q14rwVD33sHT4zfpBZRiRJSwt3ADMbXmUVlV0ZwYPD6BqYit8C6AnUdDIwQawrgrLuB+0JgG23NRr31vlN8dIahWC45rlJLlZzy5Aut2IFkgub/m2nYv+fwzbkODMq9Pzj99ysrFFAMHNtnL7tT6kIASwm7sjJnEi8ELPt3Te5EzfSpUGRQ16xkfeSgNeQtcjHkJ4stZGKKVB4c9vjR5zScDOnjSlSh8KJDc0YWvvX1dKyYpN6A2sOuof2NYcOH00hM8DUy94hLhYx5KaVoXZ4u1dUqTj4HzPydUTb09T3Cwm6oXG3EFWxs1pU1s/4H8H7Mbym01YmEpbH+GZaMHH0vy4VBO6Qo0WjzQ35CFrVK6imM7Af3WCzH0bR1H4pZWcHfmS8fhJe2xRYdRgNTzDBuMhSXnomIXtUhM2bKtFVmKpLtIEt/OfnBYXdRPGj4Hr1Q8amzAHiAqw0btiNGsDQbYAkoh6iFITVfxFvElIPSE1PomS0SQ/FLHD/AIy0oAvejcu+DlGBoYxEHpfph0zKzhTvnNyvaF+43VYtF/TVUxGsrkzdccvYXkmaTD+i1RkF9fSEYRWRlR0uzxc2JHNtp6rpGKLEI8MBjN2NkHQ5YHuYsHKPL1ltb//7zSVrVoo6MN6v1iCrv92jK0GCQOeGUo1IAmxa2a1IvZA6kJV7yxvaZkXR5TDo2qTY6XQITaJvlAlU9i4WUIqAQ/PAOTenSN/IKkMDdkd532oGFTfMXmQo4gW0BjmLh0fMGYvkjH+koKu230Oj1p6NSMcyEvjFk++I41nphG2Ff0k6QP730bewNYlgbBzjiJois88Bo8SfATH6LhD+JeXtAS/QUJfF3Y29ohQZ23P0sunoKQtef5KpH5rvl+80Gl4fPVrDP+eaOQFiz0G/YN+X5Flt+kTl7KPMwJIuN9GBLw04T1oXgPuOaSkoEuJAQiPQBYQgtFlNWltpqBNm8A6WfTpB718OS8m0/0l6ekHBL62SSTMvUrNHLgZeADs/+h/8N66yB8akAvaeb/tvgk8e8ZZj/wUqA3OaufHwt9MwZIVEKP5asVSgPVi1VFHLh/8zwpj9Ru0JtDRj4gn+qI+aUkmwiiLtg4t5jnR5F/ydFnQ49PXiGMeYvNDK5WDcieLis5mLR0QrkFA5eyrzZYl8fRDR05eQw2pmcu+1xv31FkhM1e2O6EfwkB8xxNMsYKNcn0rH1x2CCIXMUL67x1sev5dc8XSXm6ULU335ejs5jXNhBnqG5BjXIfHh+XGbTpXueUxaXLBBT8qdnXNSqwCAeKpJqYp1oBDNXCgX5W/IFZOFFQ+mMiVeRm6duzD7SGiBrQEF82qJkyPlBwh9g2yKcxLBlA2xD0Q7aZMUQCe7219CsEJB0xEzw/xxR7VtvnEdSRKou8P0M/zQsRrHlcsG5KT84gVbyIEQCh1/FkqqZqkhHryydiDxY5Tiulr/7Yc7++vslx/8tru53FEbAktPZvh1pU8QkhnScmAMIf66x/dHOOOOzoWJTORdmmMXZVQ4BnWpXCb7wfe+IQAL1OqNoKUx7jjBDDOwd6ULaFlg4V792kyFBs8XIW2pgr+XTcAbXpmBVCz0kZC3DK8OzGLuavzNiYuoF0HesE3/KWL7ZSEzLoi73E7hXTcciOAn3mjhBpfBP1XHIIlnGqxFLkBMCFRysif8wFvxLxMPjwBnNMt2TlxxqELGKfNYOCuRCpok1nidUuPjxYFp/Yg6ZJ9yYS8K/H1qJiwQGfeCk6tz+4sdHJVUINjggiLD6gnZQFvqGXHF2vlSWs3+VrBASEDdWm5eunh4pa2USgEfHfadPV5IoTWMB+Chd+j6jtLPNi3xU8xD7sutgEGZKanaHw+cpUmQuhjNLsewCzjvl5lJxvc7ARVenUyCu2urRU0wmBjRrce4fjpkhdH10Y3PLCrwyJUEPlGYmHx5PHXtHTlJXbLFjdlqlhSVYnyzkxcF7qHq3Uw88vrmId8jN0568wnomIZqgADluM2KotJWCeB3xt3Gu8d3U0pZ9kf0KNWwZzgifv1HOSKwHcl5vEdPLoK5llaX7bzvbsftMcan9qRJICBv20R4DZyQRtzVQC5kdFpAqu7Ww8OSnHKF1pMRBLFkabdpo2jB/CKkhzz+/pAzpEVIdw6dlhLn9QB1NT8hB0mq5JphSRwGfudM59wkjRxtR0z0qdUzgVgRrIofLuntZsAXNBosH0RnTyO9PyS31c9pMGP6lsIGBjjIy2Qw7UMIrlxb43g7t/N/rEpmbVZ70i5X3wPQAHu/ZOnCdizJavokamF2xdTVjWHe3V/UG+FMLXpnyoo1oRlWi26X5Kp+NkVeLxW6JkmBRuNZGzkOuaSkXZGlH3V6bnQacl2F7PYZGIUK6HVwyl88aUKQ6FTVagt4zn8wHj16uuya9mX6XTx40XlFjdu+3pfLyQ2Gz1tJ3ymTEGUb0wRjyxo55S4eFu7LxwlsMWEBr1+lBmUR5OwcyeMG4y6nLkscnyDQzvi6Vzrox+m59z4KtNBZlhkfGkIslNamioHj/wnqzEeu4SOiCmHRcjxdqXKhxOh1CgQvf240HDJRQT3eANaG9QWdaOpHp1/cJGnuFoSBkqVLCTR0bCzkMHol+CTQmMdFVmy2cuymNXw3iBxMg6GGLBoGn3hBfIEwo4moLnLi4TaEcxiVijZWVvRVoCV+l2tNV/sWA6QzH9c4OUqWKHRgwdYHjlVQh4qp0+n8uExf3S4b/vFWkoK7Gf2zjj5Iy7K6SDvDnghTagXNk6kk9I9wOXQDh53xQdYdFYPNbnJkvdI/vrGFD8QOKzIFx3Ea8StcC9hhTmCZYANTg1cu0PH+eVCjMBw9pCuhlCdCVO+MjGHdkUOwNaIlZqogxDIkUngxV/RQf4vjqhRT7HW1o7GcJNDjEyGsUKNY82+Hp/jyzeBr4VubGo+zB4UqKUhUd1iRhApqBUrOFDJ0JJXYKPGdcyzm13mFUDTRQqWwqG+N+mxQZ8T/h7Wp1++tk4HwMpJQgmjhUmR49D7mWB5I4Jort8dO+U1yJmDeKu7JdTqZt4n2rQSiqif7cmO+j32jrh2YrnhA+bWjcDQSQ6IY7uxTHH4IliyJsQ2LoMkSLEPfUernFRG/e3VsZgbmO/3DLV7kCex6WY+I+cuc6yIpcTMhUXFQn+cIpozfqg4URjlGYOu/3D+oPlMcWGwDRHch37x2YX7ryx+ixxvDw3fxPYSxcDRg2ZMSj49H6UhGB+Smxy2WOF24PVQkPiOVS6LYcUKYG+Ux47AGCI4NweOHjGWldQfWW1QJX4YveCLahlPj2eQ2+E3Gi2Blonxs0F3+ublckJoArFdL61Iy+KDZyjjtOeycst5UsRJgH897c8Gx4KQhpZIXqltC4SiaP2TzxhCNbUiBkCeYXAfZkT14SjJZcUGrsXPsjcv2/O6RRaNTiQvBcngvrpOYkwh3BV++uTwv63xFaw4eu30DncuK3emCxizPn66Ti8WNR/L4FhwC9U98T8fR8nVhuwqNOvjsA5bvROff7QHOeycwQr1pknPZNT5KTtp85QOQnYaIdaxIVoNLmVh/bxh4/xSgqBSfiE4mnA0uxy42xaZFrB3sLFWY9M8zyVh9s8B/fX2dDyelqzL8osTa03AYmEBV/lZVY3fFcZbmAXlL6zbpXjadyLtxXFttwH70o1o9sQ3CHiNxus8rf2QTeQLOd20qif9WsxK5ZJ0GNcr5tRSjYfz4Ra5pHYGQQ3NA3nMV9a++oEXmwhPljy7dwiUxGllA8qWK4NtTD5fOUyjO2ww3ojyGsr3tcuAwnC3yyvoqHsvhwhBhmKQWw3HHvsX9jRKJTFpXOkQDmAR2Ty8WTGV0ANKg1pShsmxIF08i5Azj9CyT5jPNUP6aSq2l9QVTQxmwO/Si5BnxxFQKwyVbYQFZM5LzrAUH4MbY67jdknXDMxElmzdOy0xgv9AV1VEHYqy+XW5AgUO9y1QPR3AlXzqNV9GY0Rtn3lxaCZ9j/5gkuJcWLbrQROZifOoYPi+zr5Z656R8z+Fm+EHa1wxdjQ8MRaryFCXqWhxL+4qDhvPmR4SIeQUOoLyBfh8MX5eLfFpeJnP9zbill8LyUWo6ybLqOkluG/B9sVCMqXi2plt+abl1V24IRPxSYU40CM8VMnwumWctI0KgNBDTjiyf8DM5Jr/Myd7yi7cOzfP0N0mnQfxNfDwFf52r0sVNU7ubdHWKugZVNQuDg0h/IHdQL6et/JQACnCXzEbaFKABDNkUQ22QvRRuplOcTxs5G0RH28hfVdQtRoWivwYffjDNDbs3TnDR4OBRSq6nFSUsV36JfDP1wEWDEow7VLNrNpsnRDp6tU/nBWJArZ6A4ezgBiItClYbKFZDxPRENlxcfXea+RWfilMwqefapnR1010pxPpgwY6dWL75UEIK1N2hwVX30ljYXAg/noV9VocxNrn0qZQBWwalbgbQg/o9Ceoyizr0K8fR6d4ICZTYHe0WTXEERj/QP3ULggG0wOf+YuQFjeIibRpfsJFsIHSaTtfCWsptEuIU7clhZMnZR1PxzdwLFm7nFc0cVjJicALzeGtQb9nR7c9H8rSuDP6bF/SSwqlV1mgbFeyBRcQXXdlhAIP/K0zeZbdv7DpbK+8r8eeF6rGAdABKj0lZzhI+c3hl853FJMaJL3Rrzyhr61hlvXngRCLnAViSOPxBl1il6yBZPhsHORORvnPy78hM/w8hIv5tMDAIMJPHQAjz0lfnPjdML8x+Z8ZUWMj44JwsdbWrIk5rgiL14xlPsHoRYULZX0xoXKtULIV4uMmQtq3E63FlQon6h1+lPTPAyCKApE8wpQ3o6FmQtCzn20Ki806XrHOEXbNaanwSuKbVp40/Z9eo4fLnMhbVtsy63XFvjU4LNFINbWxcRXb3W2ZNqLVcziEKYEMEFWm8cn6YudHOFFoxE4dtowz7FicDitXHAFJiBiJNiC1GhAJWV7NLKVk6SpHdR46sDSKvv3fpLEMD6DamOLpwTbOKSdjkbR+4ZJukuI/ALycXpd3nnhVn7Z1ur+xHffqNnPjgsllSwRwi/XWEjmJBeYyPcxtcuieUYd0p30KDIRiItG2fCUsL0O1Ts8SnL0r8b/kQEu6B+YX4THWrSI+A5ldhRSOcQTah20PGELMtrCZm/sSHzofsfJjxt8DHQHcMRYTd4VRXscNe7jiYccSSzBmoRPOmKG4ryChNqgGFpJBD5K4vOJNzwsmZUacBU3Jaz1i7JgSA/yTaVmf6NzjEG5zje51+aQhUT1tRsBHBruDgg9rqyVBZBEc9Ki/S66uk6EKiCWW2GbGZ0YmVttUzbzinkGefkLQr6LZNkKrGK31RwC2yNWQ+W3vT6ISKHDgV09TRkczCvGOSAhhdpjWJvsGFp7h7QPE0aPeYDxg0/lsiNgXMYK5HGsnHwy/kXnNu+grruHUiXqKFK1qmhsWWK7ctednB7JYpHnS8cDpLOlOL/o6B6VNSAi+J4YcX+P2nMDwjz1s5nsbWOPuCQiFhZPUfjJwbUhMaJqwpH4ajpbNFaBFQlOfFFM3GnY9rsnixp2AOC6DVXLlAhRXwX8risp2Ki1scAmWMIVxL7XApfKW0th4UsVAW8QPpfOdvYNITtw3QHqmUTcSC0xoUdQjdOXixcBjxgweDTO7Yu+Ix/svNN5GKtdoWjAVJ+4ibPbCadQ13WKFzTGLslDKRtDxoBI5E9GVjU8LakYCE+bmTWqHzjkEGT6w/OA+U88ZHf9Rc48YCUqkcioZ/PYgzKuHSkCKc8aZ09+ttkzNvKAGFY3O50OH1hcCdSxurUpP0PCAi9XP7HzoHh87unkXKthPdybCvPPT7/3ppO/j3NC17r7T1ckZO6nYCBIFuhc6+6b47SuFqbX8tkCIzmbM/mqRhOEloBgOUZzmZkjofq1fjddbMWaLR0B9fEpMeE2sqy1owbJFuyWJwpwnKAzAkHwzMu89elCZrjLCOSEM/MSDCvqwGlQHWQl+TiqcOLBI3TNLyCKgGxo0dPQzG9bikhzBXuHOeAUc84aEm1bNdVyxmoU+r53izIx7dH/Iqm28AdnW7f9heur1xVRoJAvXHMoRAtspjaLOxlkBOGC+ooyeijAeFTpNW3D3oDPrZ2CsC9JGuChwiayZPSXVhuGPP1X/6t0C+JpWRjMSD9Dsq0qAVnQn5PKgmlD0p2Iy0yGrDI/U2bQeudZXj2PgDCtOmw3j5j0EdS+UJvYFJsVV7v9Jgfi4Vlb8lgW1kRUjIxOj2/yA5Vk8Wmpqc/gdX4/Fk+JQ99S+fy4X7wt6DQm21z3bX96cW0+g9fu/UaBM3ZD0WLvBv/i/W2bGTv2zfjquTxUzty/Vq3OckYqqR69EYeo0RLxUac/o2w0Mk/ruTNYG9kVNAzzrfqpWgYuwJ7dj5WUrHdUBkN74qiuxuyFHP0LoOv5fCthc0o+BalU/vsKCEaMW3/pjfjha72B9bhj7hZRS3aUDM/QL5HROa7Pu8SnICMJJaufPgEeM0i4TpcWav6epLrmVam7ynRx7WDOrXH0y9sG5bsKMQlHZBLI0/7dvk6qXS4VMJu0dxNZ8m4A9f1iKAhT0N4uVh/n974s3iv1GJ4h8PPgjBC0F4zO4N/40WeO2i+4UuySintiOUk7ItqeppwOscxLWrL6kqB07YVz7w2p1mde+7P4wxUPkoAdcMuRkWXm5cXQMocl2c2CnDcxNdOLTBx2ytB4snJjb0i+qugNExF0fNg3zBvdM3l3nBQTWGpEDznwj06tK4998ZlfIfaLAZNWJ+isauQmEf4YWdgUQGDqsusEjlhhGzPx7LZVkEQj1hZ+t/cEfVFDyYLd5EhCoKjLOYJblWg3ZkhsMgSOE7hxzV6Bs2v0CR13zZNQoBucINNh8crYOcs5IgEIRQ7ehBJW8afjARrc8l96dH1VPNrZpTPsX3NCOkDkhdrb4BlnYr3rCqEiPcrK8l6ZwDjyl1lIVbhAuRIo1jv9SltwyOniGDKC4TQlHTNmXPq6sMgfw3Ogw6qKRFvSWnlcP6LTfpcCqJGEdi7glwAYoJipWItjI/PhubzSXSIY1ieVkmFT3mSs9vZy1YhqxAjn7SLbUm8/zJ2kSWSXssNe/BPZkPI4b55RQO9Fdpg3mkewp3f792vEOPCzLJdSIUPByzuxQ47dhujGvLQdT6XDNVrqtrcHIxiPFwWe1Grh+V6EL6tKxax+zuQYBqwJQo0t0ZbSupvVLqP5QZ9PXWOWYdUh5z5Dy6avLiY4GIOpIHnJ6eR5FMYEEudt6E0x4JVJvyTOZeqDlRUEtviAGFeTSN6qxXhuUss+XMr+suCVvFLI3aREEkbGdXoEp/V1SlzZ9zhwghi138qIv+go/Q9N7Vumq2A6f0X3m7sR1SNdGfNPtZ6ECzinyZA8i+VrBh+vD5gvdtraslhCo3Fvq0Epll1s8SxK4d3dUhdgeQfrVXkzNRWGwv8EpLkgtD4JMwlbnN3tFZQwLSF7MQG6GCQQRUZVohvV4YWfAym+mjldCVtgjIGgC6SSBFrWM13UDesYtvCFIJbA0FV1GlTW5HHV0ULB0FIY6CTYtI+dl4QQFt0anE5Vav00OIRColaaljLRwXT0A4PCahec3hMSDP2ZlCgNYTSm/2ZVC2qMy+kR9Vea/gDDzIuA9boUfbehqnS+jJhWHuBw4LA2ruNe92Qi0k4F/GtziThP8qEje7b8MjYTbAQn3Md/IkQGWUgkx8Zk7ZzAyec1IEA3Pb0GDxRkRBncvysSnwR3rD1jwrlXOInGtNl+cJkUHHWPlAEQgWR/icpXK+gjawKGVHdvx4BFRjA4D3GTL6kuKJeQxBNjzg1I8/jKbXsALYlOhL3Ea2TUgY/MofxSbSRMd213mYbeoo0hoMa3HPFxUrLFfzdtjakrhvqlJlHQX/W5/b4F+hNUWHt1up/XadoP65kk1mOKTUcB4WILmgHLXa7g8xvQCFUDjmlixSKmJ0D4880xmHxoDudN038HbRazhdtWOp2Gzqi2mNsDY8m7ix/QipvVbtToioHbiMgYqPKjZTECnrpoSDMKKg5s1+wTf2PsJFLr3hqMZerIfrBnr37DmTpA/nikMbBQIVtB+2MQZJmQugMxVnOl6Ycz2W+nrgGAGZHwb+MOrRxLheqsUwSh0aLUE/0k2ybiS+X/HPMkR1VmkwhLBJmGtqTfZH/AxERrbnEe/j3FRVUIAokrc9K6P7IxYLjDdFE5AA9KKksQTApBylxt09WzHPPnuHm1jYUDrhnGy1xjgQtZM6FwgYkDYacmNptSEPdhSdTIXH/Y9D++3ufNVETmoQYCZWoxPMcSN9+HAmy5IepI8v9mz/2KkH2MjTkLMzVq497oP83EFx5NB+ckgoEEOgXi+sR89Rv0sdfmEOkYYfrHTKTLztn3tIALH9r6ECjZrUnkv9Wfd4jx7hUER0e9Qi3mBA2TvbS9M2j30CjYmvklyuFC6+ELW5p4AUwJi63m/TMdMWDGvjRuXZOBe5rQJSlglT1xIKSMXP9O+3+CpaMOQ+WGk34oWsI4sqln9Bl+XrGg8WSO+skC8SjcA8rvSkihdFbeAljxIKFjko7bfRPMNqAx87Rh7S0dfP3yRq7VErrot+JmujxTzIkIA21cM1adGladS0cESP5AjDfaHwkllv9KB2st8KyOgOgM/CogOJc1zin79VG/RuKOxVxUTV50QVR3p3rmZo8ijZn1uFqP1bfeh2XO0qfI+wYgH2rCOf3ya4QV5WByN36jygyVR5s4gzd7+RcSQ4R3CNP4GKDN5W5pZZJOnIGKVqGNazxyZtGnTNh5jfxCWLY7lpfVvaPLOie4TiXt4smr+0zZYVxDGY/6Lap+wXqKAhvGo2jlnelhE789hlCXGrUvWV9N1668rQADWsaCjejqIoa6hnerDvzM9c9rSyjaQCWcPmMLDHjdUgk8yWxUiE9JpCW18kySL+FJIJrVosAq72DAVCsX3TdD0tuyBvXonh3zhOANzJekISut6DFTn0ovlycCavgKec25CBA+3aeWuHN7X4L65c7Xm/TDfigT9D4klefCOvU</t>
  </si>
  <si>
    <t>4fS3kCyj3Ww5Z6ktd/NNuVaDp6XiinVYcEQoD0A0UaXm63NaGXiYufdcrLobDJgl0LdD0zJ7Auy6PFUkxmcrIrwhrmXHoReMIftJNK3oHg92hoiNaJS0BkVPddGD7hbhZhkLRE37TkZU41He10ISUktkuKKsxW4ZUYpQQLGcumHmO+kObqV5iIw7wciQroMauzsd/f2RoD58AomAymm8S/ztjKLVZqug0wEIbCtm2QOLQEPge2ReW4YHjvjO8aEtQ4Zs1gE5lmbYY6cq/12Hwv2t00zyFhvFHgcwnAK3bxQ9+t+PSwFO9Sv2WW10jLA6AF2c0NWcO4iTNZhwTdJxvarzMR2+bR+AfBBVhpkM7Asd0fuWmqHgpnvZD9KxSUSQbH4A+3guEPtNbmXPz3uNbXemviv2wQAKZJTyUudsBrpuabyZQQGOw2Z585HrWUdolK+gPUnzTMDO9m6WoLaO1V6QSitvW0qRAsnm0sC7xOwQCU6AhoZashEBntX6AYmNAGCMxmgi6oV8lcB9Vyw5Em5Y7hojH90O1c3bF4Wn3hi9X4rwPdO4tGFWwBzmVxVe1XR4tyWdOn++YmKHvStkq200yUAF8PNLzF/cW9U2lVMkwQFXf5tsJhxRCO6cjpipyLFzTDg133ARaUDl5Wubejh5wu2ZVNClf9zNbOtQ6xs4TuQrSVuOANJ4O4E8jrOgtTdec16QPFRLJqcMWSCoq9162+wfe+k7KbeXXhb4+evV/qQE8STaK2Vpf6xbXRVtEMKBs0cabN0yVX1TFPgsv2HLVO83oTGkFSNvzxIsz3LCukKtPpSwFA+imLQH3g9Al7ARABBaG9LpBUJq6WwCJjDmFVfsuOBchhHQRObC8I6ECNw2aKYKft2vNtmz0pjULXQkLQCQnd9r02Jj0mhnIhg7WT+TKXI+oTR1+Zb3ZAly989NMEIGVyTrrn5TDFV6Vi3yh38gVmJjDThvSwcHvuzmust68NmjUWwS9groQWHGLki8FtSl4/JF/MAwZNwTPvQsBr+J+yAqVurds9H9UHhIoeWeiXHAqtDacuqETfGNntBtK9e7VkD6iR5LoueHwFNzMhHuh5XD1AwunZT8UYGA6iCw7oQ1XI/jKgzM2uqSnX/ACVZ6kH94/4V9s4E3eRpUBIBXuqP+nK52EsV/y1DlY/zpS2K+xh0BHDXJj4ZlKEcvGvmJteLmP8SF7ZOH7se1ZzAW6Y9fZvHqabOY0YU08CGAkd8ZUj+663XHlFer0pPCmTJQAlwd61OXWITz1S/CeYa2WRML6MhupI8ti9/J75rByKwlolt5K3Qc9tMmVeXHmlwXalMxPco7hNnPzxrHnploM80T4paSublj0K5us/b/49TYRPRnYyPGFQewCh/zaqpcbbWcv6Cdp5mz+9l635YPp++mQSNQdpVwP8B3xgYlrBQj2Kw8N3IA7sWgo/4xbj7sRn2sbTflKoY1QvYa80W4OObgnCKAU37tKt2U7nNd1LScxiWZp6/RWkivTieJCj+FY5qTjmGG9K67yb8FFrzNjm/d+WHo/kVP2Z6pbDC44fzGWmUqroufBEyo0csUPrdQ8yfF92/DxpWLM5ZXNJgMVNcbOs9LrrxHfmRHfaI8r3WsudPmUuWjbdgWxfyq8n7TsXa2HdtvixDr9WPVhgiL6Vilb5BGtNyxqvLfPD2CNYVusDChs4RUmZk2DEG12CSxhSRqg2ArPduCOEJxr47P9lLhv7yB0LfvSfvJHq9TnBicWCU999PET7FmWMHZ+TeGf+uuWA9/4ZygAom3VuZMSzBWlqVw1nBUXFtTjb8SgWauZL9VXBnidTP2gciezJL5gnJUwqLgDqgbYpWXa1wqulelIR9lRb3LGFiDhLhu4fL1JSg/8uNGGg787fcj4CfPufDifOTNl9Dvom3/w9X6XzmK1DJZUl3VyM5zjwkOv7yuS1vSra+k5pDePY1XGLJh8B/AsIz4fs+1pc8bIjZ6X8M19rChEf/sVT86mvyN95yPXrwCYmZzIipJQ9vr2xs3rR6wfHlsSqpQnkQ/oRRcSCH1ngnhzO+3YNBB2sAywM31Ug2q8PZe55gtRWTqyjC4bTMXlZN7Hn0yYTA1xCghY9qw7CE12a7mocQ/vGUfsQnEbii9eINeLYSjT/K29YSO5puotj2JhTyKHUZ0zpN5g8sb8YuUacByFNxhm2X8ibElZcISqpW7B78qH63VWnilw9h6vvRoB2pQjTl5knv1kjRuI6TWRRPigtT04L/lNmGibxiQIrVb4yI1NLGejZfYSyBpRPpYWOH7KC4UO3wrgb+L/ixeZ4FrJHH7ODDCe8kE+gMZCRn8+l2QtxuWdZJqN04orcEYiKnyNA5VLItm4jzzQzKAljupMps8J8yLqIdq1cU8Vp6rbuFDUT7DgRZzcHhivryOeNzpDwhDwIMigpPb5PH75BAy0FqBWHXqx2IaC2TRV/+GJHFzJdhF48lcVX8IzkA8h4IM8MSSBnp4kMsFYCerT4UaRfWJ3U89mHVwNvWXgfOLRDjhKoZpZ87rcsHg2fACdE2TepnyAhjpn6e/Vioo7I1176NgrqiBPzExZ9EfjTxlb/wfmyo36UGEAmvGjHb5jNaoAz5LYadZkheXXgfELc8//UPmwV7C9iDSywxPaxfgQlshOT6WuOKojG2KEXZKp7SEwbJEBb0v63jehz7/Z/n9HRtO0DO+8YHIIOGVAVpmM5PVki+rNwpgOuo0af634ynbm9kyQ5j8JCnNVTPckebN7TlyoJuRAhIMUEGPZOAU8YftMhAW3/lEQgRdSpjk2raxpqt/w3/Jw4BvWKCuIU8cSgA9nudv7YRWe+pBj53P9x0ER+4YniW4R886ZEYJjSx+I+FL4RcNA5V3MO2H8hRmlRoPU/ZUuoc1MSIf56uhuGSk6GmI+LZKTlbiz1uRnTRZVJ4P+erVCm28c5//8F8FNRidEZN/EzDQDMcxDeADyQKDVHHZD5tNhGzhD/eiSkvUtCmKFVlf6DdqiFFZTZGbYbX00d5tlS2cBixrV7JuJihFhTowHNkIUuTecONbC4oHuKgB34q8OIAkHtOSeqgDfJsh0LYUw6O4U88ZBdORQY1p2J7mDO6g1TznknfiYYtkPAbBDWqCZh3ZIgnQYDo/hisNi/0q5KgXS+PS04tKGMASHi1UnxjzQHLhJ4qWWNYo8lu22g2eQAHykfX1JXPMcVKJpvnhhIuyPNLvNwxBcI03OpZ2WQlu620x0xU3++ezyzYWJfndBudNR+jYUSfQBYLo6htEEzHevgEaCX4S3odj1mEPyNuiN7L9M5DGKSchsqL19EoI2tePMSivPoNLaoslug6VrxT1VS3/ExkCRqZUgpml3blyGUAEckc5tLqscwFBT/4eXx9J/COrhV1NrUVV36RXDQo9mU/yOGtZXquar8Wpw2cqSeW8Xp9DuwOKiTyqTGBuS6W/djXKyf0YKwnrBDaCIGsDaXxQTZV0TBDiIXcodrsGQ1kEF7ubJHm8DGDb3nZLaylkgIQve4VlX8p7ikCdj2zA+wEaNaAwHfM7fKBqotUDhq8zd5f7D9ZK43z1lOiea0cnGcrbsOcfBUgTp31FQ0+ByOG/k8siJRusHrAHrk5BN6SodP+1gADmEeiIBDW/FJ1ZtkB69EgkEHACAjIyUXewzCr52zF/+9nxQj7rNTEuUOiSbDwXaQeYPapvy7Woo2j1F/3x8DpqR0HU5myArnkTbu0eCz/Ht6oyylGQ4CcBykUCtIxGKmYmAZ/sBfOB22eEpwRrPFSJHWovVJPQEwa1JwbTQ34SQ/bfJHpg38qmxzAiseURGiP7SZi7v2hYkPxlcWbDJKwvMWdJXw7VCRpl2Q39uCvQwGohw184MW9izWzcwDFScSXTaueVA9+ZqO+dwVbG/+W70DHFTJiM/4XpQW/IG6uShj1bWymiy1QawAQxE/a2RbyU8UKlBYUPQXnzqQ6A9RKvL7PMiif7s+hI1TKu1r7swUHPAkiu+HtNCLU6tyU9IhQv9Lqwa2rmFGiufL+ABGR3XWIkcwnF2V+tVkWngabR7K21fMYCvAh9BFxucTs6Unyp+aYg6VHFKJigbE2QI0aTb5MMb1yQPTfZ59yz0WSLXOhVuhuMwuXNAnTceYWxgDqZdEuxTw6LXhMLunnmQdu0JqYD6SSs9kctwqKk9Or2F0hBSUBaoz4ptRViAmBpyKJD9Bn9Y4eZGroMxVpUeVt9zcv0M8yRLKld2swe3rsXgjx63wWSpiXFq4TK8VhaGbQ/9tGS7aYGndJNuOhudetjAIlw+ZNqhwAyJw4NvvZg0UigMk7IqSG84VYeKc00y6xcALCtC6JR2u9fE7dAmOmkJA/+qIVjITAHj4IaqL6gPfcM25zlYlkmjBN8xAEXkewZ2nSL6z1Mhkgv8IDzbGsAFW8AEIa+/iI0UAaZqFqv4V+BYcSfYdEx6Ld0j3Bfb0hbbzqjRLoF6f4pbWxWpo56ILqAPyPAROlyACv+KD6QMIRLhFIh9PPP6aT80+a++wlC+trG91By0AOlvd63TfE8vwQjPs/wav6asAGbIiGvfF0KGFMc7ELV8VcZ3hkIoBjm5MP9fIpK3dr2hLuysC1+y3herOBow9N+3lJyoc+CgRd0KdNFv7TaBLzC3me2KtzwkEilLPWRaEV3xEhtmPZaHzFQpWC+R9T+7Kd+p6st1Z5LDlIeuNUQC1fd6nfSrZb/N6tySnI1/ARYzYSfXN9OBVpdXoPkyjR9tuvo7oue6EvK6U+mVRlIXC2l0J1VAiXXeprmzLnfZiz2qBq1CfXMu4kbwQH9ORyh7nyHWvtRkzrW448Fz9TyUWE/zAF2O1uj/jvrLsU3bM+AVc+WicU7dVb58EaxrVQspN2pUKx0zNsUrFso7DaGFdy0NnYCmlLxg/DfYFWEKSrXyKDaD0GsP5OD4B/Md3F0qvrWAHnO7E7V7D5YK+IQeKBnujjUqk4fbT0IgZIzSaQoAy50no6/EgvXy9PNHGyloUc6/LzoB+0mYjGgpR7gGhg1Kd7NjzzIa0K+C4vpLvr1u0n/CiXEm/oPACgT6hi4Sf705pIu8u6Sfdj4BrLZKP4JxlaDCuqHenF+2BHmqdyTK/iTC5iscD+L7PZ1SaIJACa/p70klGqTv+DKEAaK8kEqOF6crY050+zRXpHcEY2G//t0l3ePFDux/Jbh/WgWlzmnabkNUjVcMU7O17qmBhMuOYksKCqpYxmkN/lkuBm0vg5aqkYfT+l3MkZfnihHxr0fOtpHoGXXotBJZx2JzgJgW9EdO2VMqOsf2zmKvoFkRUXUacXEYrmKftZUHzYRgewY5qEq8W0w3NkXgnA7/PG5PuWAQhrtQTtEpQqMsy6ROKbYXEtDgwbempFxYC1JqtHz7h2DDQuGeSPo/4BhCmSM+CatF96yuQubsNcifWPgIZDBx81BujhgWXAZSp5tREIobtONFs34DWvMCfOJIaSrsUVCra5upOFkentur9C+vIisKiuc58aBJWldSC1UjifBJ6z/DVjYNIIkXoa6TkCU2drFjq5eqaR41Ad56s4LhaqfpgaCK18OR7Jjr00eOjytL+8Z/LsPvPDbsJNzUD8TT4qYgz96YD/wd1H4UFvIxURD1o77rG6M1Rmja9aiqIEOYRYgyw5o1s9khgj+l2tX8Nj416bWuJnWhOPlgt/z5bUNmCzrHHwTJVI1yCltn/rnTmvsh0YgGE+2jh1JPDvDtdPipalIwDb1tLwgxzojNtghzaKKvoHDPXg+3K2DH5sNhLaIJeIJxITmontXS7cN1Ce66Kmh+0OJB4PrmMHuNFgAoNPeO5UZHAD+wjWmRzh+REMEYUauO5Bw/ccWn9oxAAcL3A4syP07jDQxw0RSU0yatJUWAqYzPY6vhf8j/EIr11mbYpYBJ1mtc+BnIQHQSlB5zp7/tAfNNbysBeGudX6YhA7+P9jWwCgJFZC1LmiM6jBva9ETYJ1t9Th6ea/FiBhuIvxfix6+JziTmJNUAvnQraY0Pg0iTj9rYGIQ0HQmdUgqy5VbirP9jDj3+0GphiFR0ByM0SQGkZbO8GFQOMmtPUOCJroDLfJOpw8eZj2vciZViN1CFMPJdYc993AiVySVBlfw+3kSX5Dtj+HtvXvosjoGpRZXqbnwe2lZ6ra6yWe7BXF4CKMj+wUUg6Vgao76bKYgZQRpE/Fb/VZGfTfrWqWN+cupaJAoypuN1Zif4oQ8p44j/CE8FBPH8KS4v8m0dXUW21i92i99WAubJxsiMyL4vPm9UFQUjn2No2yxpHGUEhv+z8sQUYi5+SLp0YtE8Bs5XPy5Z1uu/jXz4wzdPq6JctIxnRWwkdzNPxFQ0CZs4/IivSN7KBX3xpIYVBPF4iC7/uWlrRw1m/AMA+zuSul160W24O7nsri79Tgac89PhzmjGXIkBlnWt5/rjDaIi0Ppe3lDbuTpKviJlYFy4tSZGk95kzM+6/QiS1Hhu1Jgf/Qb1obhbTsuC+QIrxO3o03vGE6RdReYOYEvC8ejCDTdfmYtpoC+9qmI10P2GGGx4S1nljKHz1jnmDyIs5xMQyWWe0+J2ApkfWW3ZJEXhFyGjUiJUzOD0Jld/GOMTUVkYCWuj95FmhQ3Bpua+eOjgdkX8NFUvFFwpjvubGvDfUXOeVtdq6Vax7DfeKI7v78YrZ3I0M5OJzXmyCBHDYMtCnIcmyHm6B4Chd8Gk6D+md7CMB76uod13xHHuIf3EzI9FfUap/T7VZlIPgkGy4YfZrOJrC1nHahXb2B7lGsIly6nA17G6wqMrOpWZmnkfRF1Nwm4HYkOiSs58GJjbyjcfjLIK5Qfwoox5kEYOyTU9BBL+CjjAH/JLCJxHdHkj+KayHS0sfgZJt7aRBJLK+xbPlC1nLcNEoDZl0sTd59LjWb2g3Fwi4nI3OsM8o5E/1kCl45s7DCsIJ9vF44v54+anpZ1FEBlPAKEIaGiy6qRqsf680aDdvC5iVz49z0DMFusQx50dniYKI4dFRZ6r/IxUdRDYmF7MI+PzXmVoPMOAtPTIbB9PG2tTWcB6pPoZl3xjZzsNyBs5fJA/Y9xAcXFgGYboTiXQ7u1EOammGKYsv8JUKw7nLOXfXNY0wfnDKiNPr8RKuYWvAEF2vTovYLqAXFRA9xwNvXPYTJnVAGPzBSDGG6OLBYsvj9tbhEyh1JjT4K6aFCeTqSCyCEgtwX5YmYPoc98NXMGd0LJ9kKUX54UW3GHOUt/Wxb9JDsdAhJ2/Iu2g3XTh75VjYcUu5m2hb1HicGSmmhG5rBaplD9YnCODKQWpuyozhWDUpmoMnCFJ2diJPvphVXfk6JXAnKJZh/3o8YQn1VdaiS5ZkY/YydrOJ9R+W8rpTD9uSSQqKER8SXg2QnFu0yQQa4Zs0yIJfLBKAP+8WHGkxCwMjvEKu3XEzFYwmxeK4hZ6Gb7wGivcijJbSKvYGqoZsc1ZCgU4dzUSYY2p6ZQJxelR5u760kKKEer1Q25UeaKFSjjYgCJOzylmW4O3oItWdYHD9Exfu6t1Qk/XD+HZGqTy1XdttvZYqv16FXy6SwMZL8+dncxWf0239lbMzp4fOio/gMN6cOebcMpH7Ych+Z6PTeoRnUjw7xT4RMOZLeq4k262oE7BIwp8DGJQ97VKnYaBA2+c4jeV2X4M3YfHl3XCdw+lgPeNs51z4I4DapqcgbDBDCeVb6nCnTUxBhDu0aW6nQ4t5oJCZjcPyu12JPbQaEd8g6RKV0bIGpbHi7/uqO7dgmhe5+kFrSNH+ueJ5QuGhmf1X8PuKW2cvxlsgQfV4lo2/gt2d9JVRWCBrncTULgNIAlKlNgLftl1xU5/nzSPjEwjk08ZfCeXWTdYwe0yo853A21DgOuUbgJtRT87J5aTJXTo28xbOD1CupnhjgeTHojmWO0TTMhlkIgBLEuu5iowlAkiSTa2IwbtJp+NVOuo50lSfDH0VuCnWa2iWbIEPHcsyRV+tit+PZrNEAixkZQCAy+LY652+8b0HOxZV7c+vcO+bzSWbEaFouD06aZa3NJRvisK6OymRHEvTO/4KiMlZYwkxlTIlyV2pDNB6mmB8Hqt5Ux6olj1MfJmDRxHtoov71DoI9/8eDQd0RHoB+r+SF6OYsQo2DYcqOyFdWZv1oCvjz7ZNcMiPaWsMFHdEKus/vqWM/ivlXyrA4aSroHz2KbTZ2V/pLXBmwz6qz9STJICNaN7GChQyxqqxMkVITPMS7XZrlHfia6xHalxeHrcWXh0wpebQCcUj3QKtkf9VILbJLp3z1VTXTDmXg9Wi3x87DC3coGlRxxXAlLVl+RCTweJgAVXwLZefLOt2HQ1BQaUCBjEschYNLHm940EGcP88LLJGt2Izp6dddm4qNMe5iRMhgooMHaOTXVtxjRUgVS5/8UcUlgWlWEY88Awab2Q1fmFW0/aze2r2Yma5H9LeCSDHzmNZLdCLaYDALSiOPzesdqDLQKhIWJeM7OsdOOL9QSYfu4v06U3r++oyi1EUUY6JD0oyGdR3w+m8x9CIxWZxJFRhYLLD0awDKH78MHcBFTe8LZX6ObdPxVEpg1WjzOBDiC5zWsX/Dn4BawQxcecPFY2rtiLzUn3vlDoyP8gb6UYc9MDds71BTze6mzh3j9K36TwYY30VQSeX0aLzAq34WYgA271h2fOCkSX5eQq19SrMzUe82eqLRx4WUlN4mXh9NrpjlOYtNQoJKfY1JZA0LHbymh5XMe6nisjv6AmvjTPI0miZBinDDjqSp3GLQJ0BYl22ICuHpVlsYDkC48Ak1EDPaROSJNZo7TQHTeEtpMXp3eftyAi+qrcS+ucYU5nlqu/NoZjuca/BYGd+jBkk4TnrGilLwvEo/+XbmzmX0QcbwUdpnFv/1cEAbF5+oAGnPON9cfUC40zdRQS6bd7WwBkEBJmybjtH1wMo1ZFH4E78tftzzdC6ktsYZtOzRJ+5207o/7SCurz8dlAnUrmAJ97JDktT/Q+ZKsVgrBr202QVN/akiES2pieOPTh3bgi6JHw3PHDIf8Ap2hYPJxB7NOgfyRUGjUPgZbVdsUVuRwwpR9FqyH7EEJSxcV7yxr27YHKAdZzCNeiuB8pfN2H3UFFVZW6Ep2brP3x5118q0fbL+3A6r+liQtHOpBpUp/jqtWwJACFSsWEnbRMB1uQM0Bz8lONUQLuKs7cGNwxkP/xvKmSAX7JlOyl3RoSuavbdsa0ygNKkVrkcSfWG4CUK4DdsfwMylSyhcvrSgdaenglYqCxrAl5YBiz//UuMINRKTvriYqYILvrTbWxdYpVRtuau46AGBFUk/raXHXQtMXPF7431g8pOITO8jgge3GvIDeypSMhPp1qSCLDJ6ywUnSc6EvFGXuo3dmNQwr7QcTUfItkz1f5/BLzIMdBMR5wcjE4rRE3IhXbTVNoGiDrNFjD671VOdipIDaSwJP3Jd/mzfcdTr+MkwR+mmzCZDMXPMzte2LDrQ14K2VF+kTvww+9msAI8xNXvaomG+fB2IpN9rAqxhQMejW9as1ySkIWp4p5kp2i54CeWuO2MFPMKAnwvjhvtqJTtVxmh5kozvXoPCFEIXiSx2/bQy+kfRutRSewcG+NVZquQvOS7DCw3giaCixk9UNWiF0KaaqEYyM9pu8dlv1wc9WQ7lsU5v9xX+wzTN/+PipzmX/F8MO1xulrm95EHNwafYU0PeJhlKe0rW/3C3R7jULuNJNb7bWpL7hACdwTTkqk2y25f7f1FNL2PqTCpB9udOUYZ5iOc+cLBXF2lihUw8aoB6QPTcQtoH7hX62USp5uwdMslA1RzIIBZZFrZ2dtf+GQKgKvFlDMirPnQn5PYKmAdnVCgQkc0z8x4BUKdSj4xdRb5Br+cAI/A2J2piux587JoSQbxfdvSJElYYhy/ptEiGaiJ/sVsz5xOdcwKsD3TAhz6V+mLZEqx+H4ktt2OKhZxDVO5JlyzpeOogHwx6yq3faJTN1blhc8cG34i97I/dKuBQNyqPdG4HO1zbcM3SLp43eXqMHdMP22qGv/s26g4E5PT5Jox6VtbhQFvWDFpPe9PnjVeSX1ML69SAEhjIZq3T3sqYCr6wphYWs96iSwyELwwJjLbTYcHJRynRFUEiC/jaRJ1xBXsDRFVkNon50WTMoJylbDePe3LxJfeTZyPiBJ4PX455+vUdTFoZ786FM7Rre5RNHkCl6aDjRE7SdIG/4DnYQUdPwWQr/HJrYzcmwsCM2kpfy7qLkbOpOlVzv9ePQuf2GIXKQqZIddOISf76Fmwg/3k6h436yfzbrF8TJNWIrB3JOhvvLfHtNhS4v0PVRiyUOMwopbV/UZyEQ/pcPF7bu4Sr1L4HoG3pZgjBD0Wexyef7HmFDglQnxqad4HwYxARma4SlJR2bxGU4Tblhr1D8p3oAv+xPimmSvfiL/BIAf2FPT5AOxNuY0W0GflIShWR0iyYZVL4Kb5BdYXOcU2Tc4Od6R/DZfmL8Di2v+YGEyRbvAYr6ebSyxl++NqkDgBmDMXD0ojBPj3bqUn8tZaOV9c9dhGdZRNL2gaEN3/ZiKD/IOlnzBjs4xKc11BxLpcvzwLY9/c5jHU3fVPKLW3jPfEfcXUASKETMDWyQCQAZERsSvHoEsN/b0kx8XLKgfzsd68s4DFq+SYS4eTZi/VT/LiFTSLbOAR/0J88gizQXFAiXeOoC9mfgexMwdyduq3x9yVvx5T8PYsf+FkQv4LXlaCiT7OlVnUN7JDrBhUgVq9dUWJdy7uhPIUpBpoxHhwIT1tnCby87jik34qdvWMv62FlA0KpDi+lAAxRZoN1LNXcrSfZ+4wGm46Ze7abO/GTbtZeuRktXb9TUfGEqqm3JxN7gQ8enEa5nAAoZgQU29XbrrgcHgwf4NCHaKZNoDBx2b9Y3LiQ4d4HQ+mVoOj9zv2AyePdovM61sT+jtzBpeipc7Rz67B5fkdNW2UVK7lqsQRpUS2Gehkq67LUbP8PerEeRQsG+KvswFWJvrP7eil0giZry22sCefjOqCQI8t5j7eaoSq/GhS9jVyGaToAbjKVRRAh1AutHvH3WSjEVeTwcsW2eiUZQtT+cxs1hjTZlu7jW95Cwv3h/puiYbCzqQvxKOApUDMhmZbBqh53OjmT/7c7DhNg5RKISx5lHkQ5yzsX2th/9XvsmtI3T4BiuksQ3Elcj+CvTtNJNLe68eFoUZRH/GZmxAOcweMR00ZBpVv93iBKk+HxwYLVU+xyaDrk6GcrTsEX0awD6/0bJ6zOEWoI0yaHWzSz/SYg013IIRsSUixgQli8k+KV6MA4EjF4xJe17OmRSoQpCCoCLznc/bejF11t09ZTXeBvJxpbxJYF+aF0+fbk7YlZqVSdR8hOWy57T35d4cskq0juUHcNiMjwhiQECxvv4amT5j+1dQUtd5H5L1plMSw6FGvY2oEoOpa1Oi97yLIhssIDKdwkK+H8VI6F1LQZNsYzB+y2T9RR/jYv9Wd4Ik2Nm+RqCl20Ue7ebutHlg/y2yvC1K7Cy63278qKtu0DpyABDPq2u28iFxCvn7moKzkHoJlToUrw0mBV59+jDSP8scK6EmRfUHz7yke/RQepH91xqQM2vbMa++igRxJhnUwtUoyU9rfHyZfJQXLpwf9l2g9jzQTWlnMShbagTbMNwrvSzE/c1VyguFOfK6H6R2Fa5UHwsZS+/7ZI6IGFdh284PHG3CkCI0XrYY3mB6WYrDQ5FuJgoHWpGaZcNoesjAXuWLzmy5BZR5OzQA4BtlSE0aH+1fWEhxiMHDU5uZpZIrOjjXhnxse8Qbl59MA5auzZc3t7moK6PJP3gaUtbbo4CJnOEmHLbSVOTn+KuHZ4fuuKsRj/4xw7QoksYVdhx6zFsQ9aRbJw5Dj0m9Cvv6WsVXXua9Qby+urts2gBm0wPst49ux5BcSDAJoP/3UIx9pvX4yAjAfanJ4yaGNhz4HYlvov2ssqIBRZ6PKF7qB5kH4VQmjXZkc+T028UiMaui/ZBmGiAsRRuXmi38o1gpQN5uKF1C+v+cAq5YnnH2ZfjP803OmI8KRMxK5pqE+fFXm2pZb0mJB0WP3M6/cl2fbD1thxeM40INwwBfVFxKFvzDI4vUJwAXNcnhEbH/0Dt5Xq8ZaZJAtZI9MGx+SuLZ6yDaTznymoRck3d85QyQG9/vvu5Xs3uyMuKa+QS6pZcKgy2TVnvTLxIAOfeWryFwOeUGuu5cSf4bUp2ytrBguat0PEiqvQtq1PBAjzJPrVxUmIR4IsnR3ftqdbJ6itMvsMRBsUJCT9G/c/mL0mRK5ZhYyAn95Qzvrtff4+JgceqZX2cxNOCwmjF1R5TnIIUYGAKUA7RZje1z9upmqeOjySfk6nyKTJIIUnyHXT9tfrIjx90H8zS1dtFuBhEVbQe1txDRLJ5G4kxkwdiBKh+iw3sOKh7uKxCMjUk6oV75qEtOjSDYxK90hD384+LfPnEeDdEV5OSihdx2WuvvnqriMX/BSXUV6hvO0H/tbsovUpni621KofUTKlDLoH6tGIUDbJZ2R1jolLUEdwOJqB+nKgZPR2RPv89WhhOxCvhZCxBSr+H05SEj3edAEjWTpCBB776g34n5Np8sX0q6b2yLupCKbJ4g7Dp0RDwlsy7FXSvBBm6XIhZJw4/dEeNhEk0SL3fZ98B01x9urlaN33H8TfUaTDcUQ6mntrCfibF2On+rwDFcL3KY3CJih6xKYlOpHbmrvBnWb9D6+9G5oxNHEFtfUwZtIuMqvfxI8YY3p60h35L2k5/yJ+rcd3auFEH+Q0QTYur0Lm/AlqCCw7CNnKZt5FmQ6zotut3N9G3yq6eCWJSJ3x/25RiypOAJa25SbbK/i4sE9FDoTylqAhyKuyUCvpoLIqgftt3jnjLs2rxlbc6Wf3tOAm0Hy2W7eqnni/1XfgBnPYHufOaS2N8kqjSsWbYLNfQKXY6gMP2BTZzLEu4Mq3U7mAaopbZzpQOhRHLlERMUkcq/BCNjoKhXGK1tQi2YY2GkS/w/wxZuubsA1q8xTV3w/DRHGbVaEruprJpswavLlyZwme7ft90W/e5skvfymELGRVAOvaEtNJztCy0Vfdl7No+46OCKhPephxqcQwCWhlvHHuW+0PnQYKiipC0/f4N56TjlKPoV/cgX7QUtBPPol+M/aPlj8nxptUfI4FQ3bGAK79A4RfV2k9UU83J4C+IGv6uuFyXu1zZphf/8MvLytu0SXhiYZ6LvsQi7X92PNhCZXkVXo4l7q5k6a8NOAoLFmEFs6rNYjjYMATIceZWha5ATm8pm+TUfw8lo7oVQS5lpTV2p8yjW5G9zcRThKarkkd3xdm24s7NXqwhLHrb3c2CnZ8/3LQZxvA8bWu0iE6kRW/049uV1jiI97fB1FCEx5o5MBgrb/GBS2kDf+d2aHln7gMakPXs8l2Iy/35c9bsrOmUOwbUHDG5lNaSWfO/xh82HY49Kh3D8VqDPoEjgUjMFrZhywKnLKMQhfWv2+uBkZ+nc7gYxy4KT0u3jLTO4YH4ZD40MxtA+/hvmUHoJnTCpDjmwwg+KOr98NoadbtnQ0JrQ48kztHLNxicfXc8845MFjHCu+4hNT+vIk3yhiTmscyIWEmFeVHsek9/FBNmVxJ5GHIc8jolNKv7u5wYxlrfEkP/dfJ3/rA+1ibFYwmVZcK7Y5QyCOJL+NP/9lo914o2vRx/TcaGQ/r8gKNGdrM6C0vYpon3a1+l2nSNH7egysS7IQyHiQJmNHR76kNITVsZVZn9Lhkkt60iIDY0nNBf0/SGmmsBClu2PAP/Bq9fwsqLkKkurdhi3BYZP7EQwflcGBsfs/i3VRHSXKFbQpo8pxz8pReds5YMsLAP7g0fCs/a01R918VFdlC7updBKMGhLwjsccrYJfTdl5kiXlqIsAl38CICfngxaXJZpwfHx7mtMWaDQxzZb5BLFGKY17vwUMgXBWNCo1MaJbNRbo5vgGVEif9UM6lC04XB7VPd/hiy36/nOM8a1/Vw48Ai5fTFh4YGD84ldw377UAjmnyYCCACtqg/xnHyAuy4jYE4XJPP0gk9clwMDxc3skacfnZkAKDVTZ5HG8lAxoKk4dsdj7zJJXT1NZquVy0Iz9GyS4KONR9eDbrTcg5oCk5VcDl/jUeLkiK96aWP1PtSoLVcyZkZwrG6skMCYnTl/kZta0wuZOBuCfXHMgTnzw+vpU5j1aeJ2+WmQZfCzVRenvoH0DL3uZ8iZQg+utGFxwInBTx8ZD1aiFo/2E7tqSwntdbD5mTee7tAojRmrIy8p6OwNBWAIRUsNayjVVeks0CGEn9fQVvXU2YxZXdTgbfYPRu70bMfTylKeXz0vq+XeChG5b3ZL42cIGO4aq1pCsLQ82LL57kULwuUaMu7c17Zb0wUPk47BGjlPH1rMYfCjxl7ORiptcn42nVWkADi7ZfbMPSdVGtvHoxpKcMNYvooYSMI08uOaLFFT+AhE3ITl3yV2MBUp/HakiBvcZ/tgc0sFNhNVL+A7A3PFYGGMfz49QvJQRebOuRw5sT+f4Nexv4SPhRKTfcdHy4BTL/tqNFShlQjI7KzUksWd2R28QLEPGEgML8MnRjbxFKeVUGDEuRl0787DsVpJE2Ap4RsInRSpseQq4c4U6wPNThqzuW9dr8nDf7eijSPx08sfFigSTCuAu7K4IPaveXRJUVum92lHbKjaP7yTjwZF8WRyytNajXSxmXmO6McpPs6I0H+n454vLqknFul6WtgVOAtT2VyQPs8mNRV9as/QJQhP1R1NPBMrYCFfCLw5sVYmHP5VZknc2kXJigZjBGsBhvIiAk1vlV2ZBAZvOiFdBODfkd4REhMjgWdyXmPgtZ6Ke/JR+LYekYKYTkqEp7h2YQjUZyAxw6U4IBio7wD36njcXPsRWTRfFTfC6d8aHfA4HKMpX9g77ICxJ1/8nSdavoJJ6JX7hDst7YNjIpZFzRk53lOrk+lv9WpmZZlsFu/q9hcgA072nb0oMDeiZmMxDew5J8G1OO6z6tsD2Po7eQ3WZ+MfSMIkEjyuPNUqJlA3N1BW1FAU6FyunECcPx1n+RUjht3fdm4FntIdWyzxFVC/KHM05BevWbOKL1OgciTI7To4FJKSb0hWRqsYmz1w38k8eXqzpqY5NJcdrslBDBbuoY1oqiT/kwwrQhAlIwBQqiER7/l+N21oHSqoYJJt5RiwFf89560EJD64dDlfu4OvTwlUI+u+RzODKlsw0oPLuMhAANrZ5QKJsrsscFGr0/1KHqOUew+YietcoHfywPKExXHkrQH0Q9MJ8tUzPYlKpo6yNURN/enRDa+6s34G/apGx75+gLaFIRgJbrq/93ZNTlwDOGoOwe1epQFTvCFSji8qJP21SKTQ64W8bLLJnPtRm8fX+W89Lku4t2oIOEV6DZuOTtg6k4F1D+pD2b112fWzdGQ4Gb2ilnYWY2I1B4aZ5y8VUlOsV4ji82fvW8OCDnqEk+7tlVeIacaZB9Pgn+iukJcukAY+JpvYOkCoFo54pZwp9lwyaD0tB/Hf8wsLTP98tKsqjk/5jF9j370e5pyC4o3CYge6JsQ9YVyZeea/maPI4ztwhfjeEQUmUBsgrhI0X5at9OumZgBH8X8cWMdscvFCf6YlZhgi7bj5TFoBU9UNmAfbN4lp3Li6ArvDhWpAoJrYS1mZo81W+unyB19QXvnYiSyJqBujTk3a6uEF/cr0euZvHFpErBzum/OgaZkahlkZb/KjqsZwNqkQiodtikX3BctUuqkj1q4yYwVacsYtxtJVQmWTVZmIBJNMSAr0T/lRRucZLyJDd7V09BfTVLK7/W2WmESFJWYh0TjdJJRxpebBpG4fP4NWDami3Is4vFVM6DuokDT9YoGtLRr+L1LGKvVutVKLEbRHOw9+HazCx/TZSBViCP4VavqR44QF8q+WaE5MRyOALBwp4YzL0RwX3jWibc9odWSMAgrkXRQKhOuf3Qd9CUaSAyNJxmAtLPHpw3dVknP1sH8vneqnhAA8V0C0Hjatrg7f+nDIadA/euWMTpzMjooV5ZaCMIJ0L30y0a1IqVeX39B7/Y7014DdgZWHSCkRX1q6Hq/79MvdmvVZkGQ4HPpia4UR/jamwgKHdYNK1dCI2kglGN3K1JuD/fCtXiRXh86+TIffhPLz4Ai8MeTi6se5NbFb/g4zBr+LhHBobDDcpmEiMsauTtol+haIHO6RGTjFV0v9oyoMpFIKVCF0vUU4dMxni/qUK1YIkscKfVRcpfWVXxukV8HhpOSBHm5cz+ElZwabq3rFRkfJ/MeUkF7FqrjlOZh8Vn1BTrkkSR7l53M2pqCqul0ynIbnVLAjQTyWpwhsWKgCRUY0d2BGpsaCXyf9F1vX+j4NMfFAvMuybnx5BqXwJlOMsaLFhE1BSW+PVcBgeyqbYLhhsGK/ut83OIrzk+IEXjKcaMnAas/Nrb6Oaua+TO+0TeNKdcvj10sryMbl50DNkTKm11njEFinRY40kX9h8Tg06HUmv/J5snub3GgR+dM+6NLxlAcofSra4vASDeEdvAK7v76f4G7mwozNyjtg0Wr+3j1l86c9C0BIhP3QElKisFiGCu2NdFKVcbKvC9GqQ9ylb1YkspEvZE9kegiOZCy1WFAhgGrGbPOl6q0U6kXO1XMOU+SLOZR3vACE7vUZ6Wq7Fk3R7vec4riVfL8UnXRdm9M+h751pst00xUgLu0BO+4aXzszIhJlHB/xN7Hwun3+b94qziWnLPZutPTRyC1F6zuQwfMp/frPZbcMGEHVHJaAWYcxzRBljUJwleeoFkuG3A7adXYA8zvj5RQ57FvATed5AR05206oeHeKTIryjNC7OjRBsSm9JvAQXWrEgtvi5JZ/3Kt+vs3PNvrLH5Si39Y/druoYg6SpDwwiV1IJ2F+tHJYjGdAs2Sx1C/EAGhlDBtbpKlOTL3dLCBOD5bgYwsUuky7W0Q8113jj/Ajbi549n7DGbrW2ArhnobCvOmr9alG/EWR8oGygriPgkLvASURfldlM6X6DrUV+JA7ouIFBwDxULkiTK5GFafIJ5bA3lBzDekVxrLdSqcyl6vo6kSwIo2Om/F9JHqoU2I/r9hyxEEQ8xs4XBbSFnU6a+JP9Vy/WSgm2BceMZguccUUCJrXv99a91SmkK6DZpEvuAAw5NVfNzZZcMJTTBujSUcneO1UyF63AwQQApXj9+EnMcweqtPe1plabxHZybdYS6Ke3PerI83Dq98C3CiaeBjisluHVGNquX+jJwSSN/bLOwPRz3TQNI7gtTNPhsgS2XTrUykbkc407UDtGHUrCkvR7+4i0nzBlAL0R6FqyzvXcMmsjuKRDjx8eOT/x+L++OfgbJfKLpbWJhWqdbjXm1gDwqCS/4ikwiC9odYtuMwyVBILAstdudgpGeiqCixp25pEoGNdvzNw/Hv0I+gW+0qvo0hyp774pMw2D7a2icyEpkOVnP5dAA6RjcZ8YdFdKXZjq0J8eggIG2Rtalp8xr0GAvQO4/NWBLmlpLpQvMPxsZwfV/AtzcFAFY8Vw1jLYxFi9qA1nxUDm5QqPhr903yGbpLeSHK9DyNuDvDl9ib4VH2RpS+aw2cJvrLq4w9qD2OEDrYglVIOJb/eX+LhPTDzLrIpGlZ8cX30rbxLuDwZeRXx+K0bnjZrYXVQo0zGmoKnYUO49p+yFKE+wUw55o2ddZUR6yCo/nGpzWxXnstepFr0WKA+4sDoeyRKe2pzZ3tsI3yJamh6LjgCIRmxzTYntqCom/KNfUtswKYgFDQZYHHXN7DN1XzGtBrWoFVPNdKwZFXcV+XG+usGNslFS1oqj8Yfoabp3F0Cuw7d7RfMst7tDWB0GSx3JMnao8K72lYnE6CC/9dz5Z44Kq1GFwXSluTPtmmLQNQ8LTTvuZnn5TDAisyTpodPerzUclqOg6plwoTlmd+AXXrIrCYag3wSZKxDhrcjdIvgLBvhux+OqkUQPRJmQCDz7svcZaAOZXUu060kuNxC6AHQv14EPL+r4GT610eT3XagY0D+lEdClWbhsATRg24BJxFLw0WNBp7LUhTnMTbIM9y5jazsnzMtr9D3SB5yhJldyMBWKRc/nM5LPVQDV5nFWxrRfA0asif0ljvsyaI3UPQ9RtleTsHY7oao71WCiBw4EWMdSJ7/ub8G0yB8ijzOF+nBx+gP7r/A/586sOvZ0I8mtV/b8WRzVZV8CDwzxLjJIaVY2yBLOB7mSDImOIl8LdE/M6xnEGO5UICToRx7YqRkSdkIkSiwRiase5IH7ErTUALugRWRitQQ9ETcU0If9Sf/aNSFZKa6Zl7Ccx52MplFdwakaal/rFPqp4RaVroVLvmIofFWamKfGv2UjylL7ULlL2FahDlT7wNvgbLyPEkgAopVLANd8/UrT50Goy12kvGA2ytm9dAOGXQ5ZBqjByJ65rAQNWcOG63j+7AF0XClVtr4wh+o3vttUw/0d2XgXU4Gdf5uwYg7KIsDp5U0/LK1gAsaIk1HYWxyVGcwv3t6E8ScD5gGHS9MIRZmAlRtR54FRaT+GWZtGI7yUvXi2mcLBBd2Pat447tbueas9pb6JZjzBOXfxLgzcAUqnBhWzckh0eYa6QWv5d/0YoIm2/I3D9F3S3T/3c2pgJG5iSk+kDe5qz7dhcmli5vg+jPHBubnDiL80dRabzGY0Gn2utVIhZZ/pcKUSE6RBFYrN57iREYLASR4L1Cufw2gN28AyfZ4i0wdur+uLvkic0q2adQ9eG4xXVGry/j45oyPW6duI9SmhDrMLw6emGPxYdzpW9bsQjskOShb2DCWNQtmGaUqR0WujthDpcVM0TWRE99Sf0reQijyLpxI0GZZ1vwC4KV9imXN5Hu8izrpbZ+Ranqzpa5WDnkcMQ5aYKGKCVJ7Rh2G3FbJ7iceL+b8WOm/I4JEuDzs7HA0fyGTXhJ0V1AQh7V5PCZu/O+TSrqdDoxkCp0gP38TUWX53yUtjqf1C7kG9iLH3xIaF7yWlIhi90ik3jDq5vJO8foPe6WlwoKL8J4VFDfhyTtPHE4CVSiYJZnkP0tSmG8RkE3jFxdnhq028X+mHtT45Xf34gsRuQ6f8aHGmqvbgAwSx5tMNBNc9M5iN/FCXnuZM/DYvcYa8DRw8I7u2iKlgholCtFFmyWlOY5AlnekTFBW41vo+MLqEXm37FvzG8HWDELK2FHyOUaVWYXf2duetDtt2gXLgJtkRONc1d63rBOIkMIARtwnK/HK/3XqN15vxbwo3VydOlaHEShxuQs+fgKsWScuVGQ9f0qYGjKo3sqlZpWJC0kcQ4Dtb1bBI+Sp2dCPqsapyvjmf6cxW+xjb57EE/rQYJENKA6BnLJH58aQIOKS/p3qkW6xJGruwMwdY0s/ngahb3b+tHkU9rbte8+LqxFg/0kLZI4baJ9ff8ozRHbO0RuR3vbs46seJg0OK3p00QG9p7/B+XoRGjWAQ/IASeVfEqbghE4d0ADP+73S4914b+pm8lY2cNQ1dOEkz5wCDYTFpb1WPqTVbHhtU6TY+Cu+wJWcK58M6i27eQRsJVCNMxJ/6ujWc2VVEwGSbuZkAei+J9UHKSFAHXWIC0TDjEWAR24SMkk01/Gm2NxtNogzr5BBJQzkRwb4/w1qlitC7Q/FyxyRUHUBScZoaGHnALm/SCXHCn6ihlZ7ntZMdEEn547FjK3BuVhhkG27ZxII6VLrZHUL1nNFtRBsaXm9dvT2LxhdpiQC6Vq+RcwEs3H+K0F2LZYVLvWw6wtEu2SPJkmkbEAKJIdMLv/PFijYSzJkzogQ1aJpWnSVGJrpc177CTn2O1EHZHAt+9NrCYGFabw1X/3h+gZHWpp5dmoxY1VX9g/21m9mYi4aalDdte0syGrjx7nbhvT8AYqX0Inl21Mi9+OV4VQptniekBGGhgMHpxaoDMaWksYcmgw5teDnthPIlMJddaDbKxQnel5/6pKpgK1IHY9dYEZ14cCcIopfFh3vLGM1t6VKY0PLoHeZ/Vm8Tn7wEIyzjTRczRTyHbnkRVhBP9fyZTZEYOEFbtuhw2hF9uS/O+06SNMGiesL7rHYZG4SEkrVgTE7K8BTmG3qRk+7qlmWFNYqiREgk/aYaBzkoXYHK299ZNCDeBR10fUsGhw1Uv1VPDWd+HH5Nts9YYokau2xtYchDl7nzjKq5kgzGP1YpOAU2moNH0BdXb8kTt5tLkamAtisx1cOY/4t2JyM+9F1kNfiLRNHBOGtQHVg1EWg8dQWeIocNcuJmgeQQH7FCdDHoKzcikIlgqrlK1vFX7Sp8aoXb6fYh4p2jZBJhmaN6AVIiG0Af7jLfz9QFNzn1OM1RwDge12ynFlCMeybuvD3LRrY8iY+0loC6puwgA5gaWx+Y6qGPafNOkTjGRydYyaV1wT0VYsrarNGb2tYzQi2+DZqlNJSQMTSz+hzEIa6fx/jNh6PoyUD3gMIYE6Swe6nTZPII049dlh3aS+mCnbYf5f5y0cuK+mrWdTZ/TflRgOexik4Rafrcfgg70yN8wR0hQx7knATQ8P1zvIbQheu62ECUAlw289IUFK2122UhxuClg6buOS08y/oIWt+IQ32C/g7q2hD+pIwYJoe7Z5RIoqMdZqHmWL61Jlzq/f9CSA++3Sd2EiyOu2G6N1zxmUtdCTVL04Md1h6GidGV9aRETPmyYaeUcujdSlZ0+F0fazgS/Hoe9tjhpdZt6NOdDDNf9NiCiXszKX7B6ozsuU37m8UHvK2pxsPjM4fYdKmHGiVc2PlYinf5XxkqAB5rVx0Bk42lrQpUrYUC6vVjDQlmKutHS06IkIHKZzRMxY2GuXKPgZNSJjn2EvZ1PbSWCuWeLIuxPxmMdx8BxvovULd+aoQsB+oFTpIwFetsy8+L3Qx+VPoN18EePqb47etdvNK5xOGG0gXhHV6loSXdKQqnjb1sJwAde7Gb6sq1iLk5Nt6Q9qOyET+pfq5UkAo1Ho5E66kOrMZlzdCIqn17HZZZp7v7fOFYjp+H7jKU41f8ly8Y0RSao2BgXLkI9EMNHvXKkHL4bru3H3gCKic06AlRklbNg4eZTIPhQArM5zr+1i5fB7kum6vI3k4kE3VxAFtwjkcz5KdjPhGX9kS2B6+kn63WSqAHVRRfU1OHCBnsiH7TD7/FZ5FjZP9xw7gdcQJoHHHJpvaD4z8tqjwvxF9JXyLr9l6PsMSWfL2NiuxqR34ovTRpX014oa7WINAJtGulhw3cpM3ZPSA03RVq4IQ8NpiJBpOS18dm0q68Q7jM0m5nzY7TTVaPinAZY4RbY0ddX1Zrnx7Qe940WmvxBBmiSaDE3R/a2LfMYDKF0qMEZp4vGh+Cn3W/bff8dAJZW9c1ezgt3wAZLNyaAL1jo8crjdgIZhfljT+CjR3xrZBMYP83C2AZaNfBgp2vg9wmOMyBAxtloIQ9LyO5453CRVL6S9z6qaRpmjQJra84Bj+U+Z4CRR9y6r0hjjtN707d9ignhtz5aUAcl7sUJpfFXUBYohtlBiluQDc5dJYXUJB53LZQ2yh1KViQRccAtLfp6gse3LCtgYsTI7PxgknRed6AsTPejqRTOB2hu6P/lw8cVe7QRf9lsM9W7PLIjC6AYAN4YgbRJTHpjPAO5Zyp7vaOJ7kvPgD2HiZgVuIWUD1Pj8Or8YGWtn13Tws7z2t3H4hNuoT8w3CnJ+HLatScZRWx4AjQk1zQ8hZAXtBIiDhXk7T60OkkLA/MrU0X7qOAtrEEcx5DE0gD+XXgWTm4ztaEj6c7h3b9jP5EOmaHh07f3A2QaSTnMuQJ9Z/TjKwyH5JynMKa4LC6x7y68Ied2hULlczCmqjAJq3kLfrxEBFEmh6+ti4Jl1QW8hMzXa7UO28RKVFHttMreDiDel6e30WjA+asGeY6yDmzyd39NY9KyhgU/mXK/H79T3vXXfpNKCut1aJtQ/1WfP1MVTuQLQcNG7Q6F/8/FTi1QOfUm+8jaLIl0zBK6RhhsHH7m3Q46W7XHvYRCiH3Pq4U42vbbbTv45oJB5F3TzBhFNB1ePqZsY+2XZa9/HyTn+HrvCdo7kLAeu81mFBmbDExO8FZ4jlPkn0al04gde/lcmYMxODQS8srTtgIm96v5utHn49fAFfz5x9aBatg2G61RNAFL5BmU6QhgG1MgZ2FY5KpWtaVvfeOzGEhpoeJ3t9QrSHMu1nWIrog0VgfDl0d1UxrSATZswKPrOoQeweZNKFwrWH8f8lzE4GEnDn8ZohgQ1xtDwOWlQjti7ZWBJehno+4KMNTefsnhgjOYE+UPqxMZ1I7oXA8Bv32ed8sfb0gAgMytbgUZ4u+9Ke448/USqzOezDG3qdqPoc+nEkMfFZGaVcDi08/ffoDUUHz0SkJnYHquULCOuMij8nXJgQPOPqMI3J/0MBDS2XzQsF563zinFWn6aWoIBqBAvX0gYtbGoQo+zMbcRzusNrb0f2f5t/Zkxxom0qmkiUocrY1QLlbhMgbxGXZQMYjnOsBXfDPGjnAGi9X63Wfz4lCaeu4FIsI6VyzKoWuZhL7vj4p5vW9SC5Q9bHtL5LLYa58c9zilA6c6PkNduBftKD5QooHyEw2p6M3fhrDTADh8L64toBxls23bibkRpj0rVU0LamljUDj9ugLDkwi64M85tATb5OJ+DDITd/GuT6m56xmwUsVomoCw3sfcJs3igKE15zkzQuaqkDtUR9OiiTTGa86qDD8Qwz76ZRLMaMEbrWuOkwBq1J0JElGI7ez1/+QRIbRtohrUGJO3mL4M+X2Y2aNzSIGFBQrxiCIj5AyCD8wUu4Bppbz9+8579+RyGvmCL7z+ri68uEIx/QqkLuPCzP2SmrDD5hHwk2qkyPJEuCSgyekni7oI6z2XM5fuzIkImhusjGuPfhvQcnx4+8QjU5FxNfnt8FbhozMuAiI8nqS6OfbD+xd2054A2Cz0GttzT+h0TSUij1yM1djLbo4AB12UjWnDq6j+9ttYxhcJyisok5biTsik0xDWOTsvWQyo7QPP+CuLauAF/6lg20VPmY6zAv03Vysc7v5Q7YaewxJQf/sMAjoCiMHdU4rODK1uA8fZZ11yMJLTlmK9hqAw4q24BizK648W82Y8DTfF+dB7hz44KsB+c64RMGI2FweHQ/k0SjDtkJ0PHVFWBj6AaSBsMU+Ly21sApMszu0G5CTkmvxtH6FoTDySRGDxphidbgb+9Zk7CnUiVvAQTj6kieT919epMMJjfzU1e6utWzRyvqCFLQMMEPKKmQxmoODeCb2H3MPaNumMXBg8RItn9lIkNmaWZ+AiLVjkR7wWUxXSnM+rLQztfakhIghVD7P8S8dQREEHoFx6tXzBfHdl8LAJSqniRswcTDlJNwCWmN2eTmHTC8OXRGx9Pb5ba782D6j/pefICT025K5zC5Fh474hVILsLSTldq6SlCoECmE9lfL2Pcwgc9OLFKfGUjsfEUSmGJK5FIVB+A4eQMBS857UR18oG7gPO+5gJsus5+DMEfnuVyzS6oF40/UO+C85kAocLB+X9MfOMCOr9kVPF+A1vqrRaj6ueP/yZB9msuyP9UdZ4VMvKsY/NiX/G1QoWc/bqi93PilTjnoJP3kcIxiIycG/INN2TlEJabvsDs6LV2uLSrvuQdf6RbWpjxUpvw6a4VtIZjOfcZnUTh+R2hccruxl1LjaLmGLVLWd6kvji4rQq2eATto1gS5ElDOM858Ii4B8wCjR6v+ANnTSarkElfX/cNL1pC5tRo5bUZDc4sXkz0YWrf7KQeQMpxFAVgTImxsipIMhSACihBUcBvPTk2GF9ZxA0v8DBZHg6fklbJMZrrCrLs1+NLWqyvXvDsvYb9Fl0ZFeQQgBxLwLOEOvk8x+h8WG8vz9kWRILUMVA3ASjmovEoR6J1YrYstpdIHIrYB39MigHkF7ilob8aP9xE56W8YN5c8Zx+Ms5w1Wowfs/lv+6xJpVxG7aXB9ao6z1WQVlmmthYACVpDCmVFVl9rZ3LPM6BmBboO2wqTByMipZLS4WUrh07wgc8891Qgnj2yP//zuj6CKwqxk0XoSnVZK1tkP/WFkBwoQfkoKes8aQ+uxca9R5GAv4tjiA1dRKyCx7Y9xC+wbw3jbrkZ38eDAJYSu7O60QYIGq0socC0aoTwWtWxRATQ7udUUabYegSx83j0qh6MHDWdcT2SAAynE3cp1U0gecKqtEKQ0TED5zLRbkcAuqKAYrVA8rPyp6NukCmUYSOXoo5jH142mRhUTMHviJCQWT7k7IDLPcEDrKVdcj1sNqTYwCDN9Zwnx/2YaOq5YJ7X9tVqNBT5cH0LB6N89IsEebvIXhY3NILob1lOfLL0TAXQXMrG6SwgQKq7rdS66KUda2bw8k5N3InmbE+wNfoz9Rktxm41WKfIJ+foiQrU+BiJsbRboSkYuj+7C7LotMK9TLfCWwZiyCZfl6kejFpA4cmsmdEc3Is6II1TYU0RP2Islmv9/Yg88F+B1uNl8TFO4hVzS+Bj/mwLY+leajbBLIriiT2gnqXww1t8aPK1/h1WMyLuyf6g0gqa2O+dENpWDVXXJ8PGVatHiuMvBAFZm40gStaEXzvoiRVQ8cdj+wAE+Ow2lQbKX2U2EtiuWLepR168BU/NXMa0RTfxa5v2LhcpsGsX8GaU7OBxn+LgbfjZLqWMCTAueIMfIsO/wRrJNH3ZxsDoRUBhiHMWhWJG+Rv5R4q690xvUCEifN7yMQ4Iv3l+e8cEOZaILRQ6YYp0SQLFSyUsGt3/EUz77cU62YIBy5MMLaVipTYbk+ztSkaOCvis+jdnMtmArRxLiheSTntQQOIAbF+gVILOubzQ40EzYEqy0m4E62UrE/wRv4OB3MLWv0bWOI3LHuXX/tQdueYMoFZR9go7kpqCl4K7LspgPHNyoUXcWQEhXBAa1p6nUhLjRH7PF8NkSRlotmQ4VhWTsNyiAUA/eKvnUqft2oa5HKRZP/tcflHs5zXR0qUsIwDIF1nRyX4b7rrmahKC1zniSIIc+WvPxH/lrA2uwYxKry+7pzrMxdnY7DWPfPuM8OShQnGLuIfE+0FMu+JkTVNeeo+fqmQRv4O9ap1cOMsGHP2pf5vEO6ghMIKMfHR14FY6gCAU5bW8AscHO5un+DUeR/7OV1VM78aAPMkMt5ooy6Ij41Vy1TpDEYg0BMgKo3i6ZM2fsrBSEItPXkuW/Oj6TPcgXKuTchceI5FV8clFXy2XSsjFosBr4PVBbwzk3jdgGwwBU0n8ISHDOoTe7aut9MAX5VOoH0JAd9xVDSBMgTd22CJn5vt7xTX8D1FN408ikD5iNHYbqJnorRQ5neJmTT00VudkzX+fDn/DLw9/JCi0/jw/Ijz+7AnhDFivmgbXU4p5yEWHZ08zwjq5xdr/pV3V7TFQUE27/uMBjzfWIyfwMmAix4OB1YAFYhOK0gFSUxWWh5VtcNkJko59UHzv7txKqjjAaaAYuuG58RrgKOsatug0f70FgNnU32IM8FFAmqOcGYQFqmPjDUrwDQLv8zJkRqAx5niGF27+1oB4U1Tm1Cx0w4R56QxiXLR8D2Hes2V0N2Y7CKj16q/L0uwFoYibWWStqZE5NAwkttzmFXKqovh0bquRCl1noy6M2CJO2pqIatTwqC22zti2r+SFjDncR6+ulpj/28+r6GTqpBclERkXsHIws8Z7QwwWYxbakdW8dmHs9T5NOIP52WOwQnPYFpl++HU21o1dxX2xTyPYmip8tnNuE1cncbN5wVGdkkLHsEqdjC2Yx5WXeE9UGFyfCZKMs7RYX4Rk7azGapK4mm8OaY+2krTKNWOAqVVVgwnuLcNpAaxfA0hrHDbVrAdK4kqgm4vckiKBsYh0/FQrGnWiWjR5PSQqSLPJuRrMLv1cSuhjPpKDFHt2YGDwKesSFstW4+a5dlMFNEIXI5eehaCiNHs/tyJa11QTEGQ1JucxdKKiYL074xy7tsboPMHQ/DDhUEf5JehWS/rp7rxJeW2H8LQzy+yf9agW16tZ0Jj9aAQ1/JeprK1xW6Xou+r7aiYEJoztEqSv1KnXQ5S7XNu4/s5JXZWiRvsfd/NhrJlyrIGDWrTCwY7dsfF5+RhRZddwNNNk+lVr4H8VDERYiMAs54GnbEdJV+PQK9jJd+EeRBmAuMTAHUhxL4en3MZm7Mrx0exx/rozptoq7E1h4cRJf4n17MPbccGi34JQXCwriLjRFq6OLyi9LZ/2hNffkLWxRIE5no9BI+Q1PH3BpqN1F1p3cwy0oqOJx6gB3Ey69ulWFVdik+qjBukJ52Ih3Ypwb8rskSHKRc49nIiL2BfWPd2xwYsrz6fOCWuhaHi6KyKA1Oc/qRNY3KZ05M5B8UmJT3r7wBL/YG67ve9Np45aGgiK8MN30/E5/BPsLirFUTquBt5X4LMPn1vwVaXIuj3gEkajCRbDXyHt3bmi8K7H1kpnGAcSthLV/0f6Xe4ETDcAe4SDFl2RG9YTn3y8UVDG4+fQufFGI0zbk92uYvwiAVOgFxpvZMLz1RbzGHTvQGSYCpv9fPV+uAEm4uByllNByBQP4rdwgFCzx+eg/OG2fqB70fXuh8tO/6WZPtiWmWl99Sgx06cPlV2QoJOk3/m0Yz/1X10TVOuYJmWaO/6EGEtaAB5V5x4/FeJUSO3lynu+AAm9rbPazN9U/u8iiXwUpg6pxKmzLzC0C2RrdFgpiGGWd4LA8LnvZTPv7kOsLx48i/3hLDuEEAsqCUqEe9SBjS6MIVw8gDThiasXkRAdpxAdXJ0yg27pQA0S9pxhoClyiv1XFoHiJuk52rQcGTz0a++iYWKde20kYtSCVcl5q2xd2jdG5r352i/BZsJQ9YytgRSyMTB75ByEiLDeAYn5qCXOUbUANMdJiw7LWzLHl6JYrNoKQdNhWjba0AI85scQoFUGLBfqY/i5lY+96EAieB34OwNub7BRBJmSAR76MlFJargRIffp0GnPSxQpQEuX5ZsFdt03ftpwXQ8dJ/a6VYbnsSvdhrSwqsbaNGSIAWB1K2PEnle4zDegUOoidwyH7yRJrolEiK3e13IaR1C/EChY0u5EEuVJFuexSir8vyYLX8kdtyP+j217unrCUIKoaD20/FGW0cww1ifFA+6BQHNXtdTOwDl7xgt+EUDqeheemtfP9VCygpvfyyV8k9vuHrdGbaCQGjjGc9CYlWihprDY6zAKx88Cc97EC792l0gDLI5pjrhKz0NxDHqJ4MtY/sBWHfMvNbiZHSMK6vURNhRFEbd0ytUyssPBgCuil4yyoZJwANJIf8lwZSSKcNN7L8y3fCPB2RQZmD3E3i6Wya3WsDwrzJ6u3kaf0YWNsAfE/n9z/Q6HFcaxAfs+//beCU4d7NXeBYmXQNKK4sHYd6KMWjlQm4OKEL8Zxvvu5PwzPuPXu977sZdY+UXP6bXc39BoHuWEZdt/W0IfZsk2ecRSwZRHi1kS0FqcqLjTiepMDYrjVz5VCN0+2QjNhZtqAVewlkYV/TuEwyDTaOpZTAYc/fuT62yVqhq5zJtTldAptWUuCFIOPtZCh7qZrzFVlrtNBhY1JeeM/Q0m8P9ON2N1oY/mwdbAPUBGwYbnU5T1mSDG6uxhjbq32+16bC6Jo+frFtG9JfayEbsAKLrj92+oPBVuhkDlusjhIt/GyPPk+pI0jEKJmBgMEhs4Aqd1I7zdbMOK3hAessuSdd7HPuue+alvNHAUhuPa9QqUs5czYDCDUWmOQCYWu54cTd5BDaluVx3KnSQ1PM3z7az0iMsXUFq5H/avSzwfdLdDy7iD8zINBJSf9IVA0lMJ/hUKERpFdmuPkPChOmcoKEISN95IaQbCYo4bGXMnJztlrEOPErGqRzPACjb9kit4DTVm5AorscOPB44do6Z92h79wS/crwJb2oZ0UMJ2cmXs43fmZTKamwPPZ3FsbyaWDnxt+JoE9AFw5zlBDAIhaiYtIEni2PnXE3x9rrOYUCXHhthte5spYtndghgz/LrwvStRoADeCfXG1azfvE+yvVCaMvJxOVnPzLZji9mYfsFr3BoabNH11jv0HbNKSqUk78l2B5Xicm1/QLZ+kEsCPXvtpxu2qWQ47iV3/iygylxNis22ZSZY4snI7BB3Q3OBaQaMjxzn0ltsoCtTmNyvgbvry6sq9WH0jWLdac2kLW7Rbh/D+UGsb6aegznjwyX8ZCY42ABny+uyryIzYlo+xLO6m0es0KUSuEYmw0vVW/Eqe8YgO9H9X6cEi9h0zMHuFmQ5sE+fGPj5qjLQVa4ua8+QqoFNBW+eQaQPUYdjANfQVc4JE7q/8qlmlz9PRirBBAWFaBUNrQSvdWmkUL322k1af7fHWL6lxuIfcNN7xVLXOGXDCjsfm2T+8v0jnKT9zRv/qVOTmTkN20ffchIYzzoikw4pQ7VyvDR+rbVnumBTAx22BEegRIqqrpaQ6RYY16Dp/umx56AkeZmN0koDOwhDVjZ+CfkQBi5Q5YAfO88Pju129SKHPSm9wHQlwqPt1OgqZrYEG52tNKWYeObEEyZmY8McKoqnMW13FPUx57mRkggQQHcf6npToMm+57dFliCdxcxwifKDfvV0vK9YZrHvberH4QJIeYZcmqiQlPSOMygswwvbP2DQKiwNeB9PShCr3VbuYiOcpzB3zULKZ2ENKaC5WMWw2uII3scUNqcK7nRQYF4EAY3Wao/Q6joDAuAXojlcGr8gRbQ2JX//7fgka+fLBHdv+2WEhIeA0nvzmAYkoAqieYTqzN7U7aJp8GqVaHN7I7soWwSqLDElFMcas2W0rBdsorm2b8A0XHKd7XgYBKmwhFiJ31b1EiY2kmz3vUilvUUO459ha1YcvQRMY+lHijjXfvOCQO8w30IsXQXNp2gPSFbyTMC1Ccyx5a038EQMdcgJB4Zet07ptwpQTHbx7bBgeWm5Sdx7aLjiI9NNq/KYcSwsoNDtfm8HoOn6tE1MAcMQpjwRNh29yVs10z4C+SplCWirj6kNQYwwiDXn1Ck5dKEBFGXf2Csyseu2ZU3kYm1TxgT8En0vbuyF010WYYc5lhhS60N/dOZ9njSvs1uz+yNWyqTmd1iE7iKpooqSuZo9ZUS39VoDpDBoRwxegDJrkMiszUJE0Q13NYSMG8x1n3LWozFrUz06MxwSjvAdkypFXGor1oniVTY76cYH5a/oG+vqqdjDuuN8jGAP5QOvLhBtlTSg1jjb3SiKRrg8w1XLLshyBcAEpp2sEXxbbjkaOqVm+z9Nvq+5bBkwk/IExn5alSP8qKvfhvv2Eo5/vO37aGRzm7+QlnJc5I+1/2fSGkPo+/btg9bb1z8UCwrvflWxae/GraFlk8cTrLzb3vGoOcoT++flPMDLvyNRStwg14QkG5AnANNb0rmCymJ9jCLReJiXMTos4l8PhMvxGFjAQelXROaMZw2RV2GRkTTRzVw1XUEomuJrNmLWkob8+LgZ59wD+iyibFpIHmPiiNbIe9SbqARBItQY9l5RDGRbYg+jYZIjSXQY3tQzVc8+O75SSw2jtVwRXt4Gr8wJdAVa0Rg/Zw/nkDwwGk0YgCaVTuuvPPbwGDHemiDZtWSbjqttfpov0/lg+uJqLJUAz1wZSC/JaXDT7FpBsWIuWso44BCYx6AtWxl9X9vH63klOnVYah8FaJjBl4VL/t0tnE4Lp6w59t6OVJPofcmwAAfR9wpXsGIX5OxC6AVDThlSqXYF0GyJ/sxcELEAN+q3+mDnFc7dFzYmdGa5ZqI7+u3xtTZF2sRi7ebqkB5n+GAPezRgCjQrX+7O8HYwJj2csNAMw9WY3MIdI4JvGqJBlhd6BuMkl//QZa7ysrEu28IJ1Kg96eOz7bm7uCuzkO/Xy9+cd6XlgQPhtEhFGUI9JgZQZ8sggqYONguBqNch5CEelNgBtY69IasWykLMP/qyaTSLO7Oz4Yskwe0RkwUHUQRwBb9IDIlbCMTBWUl2XLWH+QxnbyAqYjWrQptY5WeGJLIXk9pJvngmyScdLBu3nYHSfEQ7d+A0Ib7hCVw+nnA+jCLmFd2Wk1L1NI+b2Q+yXCuDFVCHAIOTCETXJvTIf2YYZKtujqdNGr5/oiiPki3kMChNsM6CQ2hwWUF5TDGobHqJvAiE8qe/lNfPZj0VFBUoBAPsTQWdtHgQBDARO3O3MxDoK9Q+E+idlynyDFwVvWoV9Jh5oKJYayIuuTRwkX9gFJVT7tBIv3u97Wu2jscQbcVGW1NnQ5qVEMrA3b7hdJ7kRQOApbLrLLqLQn4NSxT8ua0Di+6Gm9zBGHQETnhac3PILrDGD114ha2lijjqEE8e6JZVIYTvRgsFJLhAls5WdgDM5gvhxYxRUFlemQkjQbd0e+NgApQybbeUJyl/hncmw6h8q5XXG099ZnMkPe++Xl7HYrbiky0whSI9JlCIfKTQ5sS1JTrogM3FCS+39LqQi0/0MLFMNw4qYuvtznp+dFsWM2+v1FcWDpEQDfCoRESm8YSKNrkiGBeNdsVdYBRIb7EOoXe01VGW/7E0grtEYQKFVGU3PyC6W346Sp4RmHUQUiMcZRo3iX61AIXpcSYZDUonlTqzB3VfiCXO68sHBKNIlXk7b4P8sDj607hIaFVNR5FOTImOG+ou9UvpTWW4Tx2jl9wLtDVKKmfaJYrzvdYjjzVGtZEx+S99Enn0KXDAT3JXc1md5DEB0VjTf2rwEB/Q4CCDi17w9096SB+gSqWK8ombl9e0rVqdZXk46BU7ro3Z+PZ3d7OHr2sJOrxpdig2vJ399GWbUCCbDZlHAMZoGTTfypSW4YTZHeazVCNP5PMfOPI7vvhzOx8cnsSjTbSLQjz1TwYMclZZ8dQEKDEWbo67lNsnKpiKDfjVF8wkSn1m/3sOhrZT+jKX+O/s9bmU8NQ0wOOJsSx8XLKNdApRl+7yCSqcTvSUBNq2izs4jKnC0Wx5mb2D84JlLxIHKXugN8aKb5EAa8StWaEjQOyGzRLBpyMWb/YfkhxrSpr/5l6REJm4CjWnLPQ+Q6V8iieDhwV/S91RhoKG1UdkHowaNSrjy331Fh/mgjg8s8Oi8rl8KBQe2ZNEId08/TmG5zXDmMW9aHX1IZJLaC/phlEO2zPkH84aVSXr2129LRf41/l/Nq0HZ0kkf5EOAuQ5iHJy38skaI1bjXq3jsqrwOZbzzkPdy1EB28/839cZK0y/oqEtPiTMrZ2NIF9RhaoNwSSGosjCcV9HqeNFz1e74vBF8scZAu2Ig1H8o8SOY207ZN+bnGdnlYH3ktdz+t8fI07hbjhfhOcFW5ptoRTiU7S8FGfwhi+Q6mMVRvqZIJaVtkYxpji5Yq0fbxS74h66PnG2N4DB8s6jqSAr+ZIEX3JUdkDvbiJMAJqbIdVlEMUo2iDz4mrUOKazkWcDW1gcEz+oJtqNR70ZAd8djjjmhPKNFhly9k7rCaDwl5Jl7Q4r1tyYVo3wD8ncLdSiZICR9vzk2tTaYHuHRV+UbrR1X7YLzB3wGb/7tgwp0XH5iAVD2ceT6PuhAzF2D/lD6wLefGghTTJ1q4REwPJonlECAUV314bKlkhpHR6Md/7BsAPSwcoHf91myvprkg/qinEhGZ8oP2ifPgs4P+A4ED01B2yMHi/X/hFwK5k15Sk4vgAJSerQWdWvAJpRkBoYUZtdZcu83O/TcB9UxxIgm87DX+ZdX+vDAhM2HqrxMqpRmwLb2argty0d0DAani6gsCOCPQEs6bt2LPe8nvtBhOfPoZokm5Ee9jBEqzyaMWR1ouezDsl55c+5rvehqjtkV/BDWIZ4zSgbFa9K3GVx231e4/Ad2T+0WdY2k4q/BzKKE2PQ/x9U1t/ijtpOE0WG0iRudjy+FXX2hO8BdTK8ARNeB7NX5bmBQ67AcXp9UcS40juNRBj9WRkc8vbDxCz0LVCITNMNOsfZAbj5v4eJDEMtgt5126eTy</t>
  </si>
  <si>
    <t>zoxER6exzi1PparV8Mdn1V9xQyYaWkH/tfN2xbqi4fuboETOtqeOJyDIe2qFQlHpB8qwCvph4Lxq0UeXHGJylDpPjPf+SQsxRoLR0hOW1stuvs5brWhOEagYkc6ICPAnC37QtBGjIbZZRbOlVZPV1x0nkXTZi6CbsP20EXwJ6WMO/c/Jlh8lyI12o2Rnit6Wg0DRA/mQ+aBeXPU3PH9++p2NoaEc3HIJEjZFeQzS2mQKNYFfky7iLMRYuGEaBX4ZJYVXlH3IZ7IkqfxMYXTnaEl2SKcRdySW7z1JnAZr9KRq90HQRqT3Izgigqgh7bHCdLNqOOfRqJL7Bk9Q2kOrSbkpwp3WP0tCfvX01Z1FtCzMJD1X4qzJH1L82gdo8/hMtytiJ2bbm+gX3HsR1T/h9To/5Jnz0R6k7d53vosXsaV+3dbFZxOQbsuqsJ5sZeHkwrq8fMf8J+VuiSPqoPqN1/l4kLxpxqyMMUfMJ8Pe6o3GUUfOroCqmnRl0jWKq4Gk4K8ertcZqkBDtnp5ZGkGr07dgRE3rWH+mDnZq4Q4p85Honthj1a/sC/z/sA6d4E2/y1j1VroX/ZPOgiFwLxeJidyZVzYnZhjp9+/JcEtHrMeRtso3v/HDwVMHDx8tTsYCKhMnRUdmc3WBb7ziYfumyEAAF9ueNzwufC4HyxYrMk8t6GXuOgU+0wW2u43K3EfGt8ZMnVI0pB5LqcULmVcf+pq3YNbQNejfLps0KKdPgqYdIijYb4C/1YAz864SgBFsf2ADLUKgZe+jibLCCiLlCu2OtuAn9bKMdNs6Z6/ukoYgP9pKkJ+ocBHwPmEr43fAMiY2AdzXsaB3pwi0vdW5YSbVxLkeu7oBqzRj7O3EBkn6khShsiYC1JSC80dhVb1+Y9l4d6OGiLkeyFSccpDTbuF68kme4vQ4gPZ9pA6gq34myn0qCQYQ3szFx9N9XKxP4TlFp/j+W883oO+l1M4mFCG5q+5xCEQ5orsB5IKQNoooiZqErxm4Im7ex7CluGF3u7QHgAcld7tjWrp7mtFB49Smj1YRNdHzOLoYSeG4cED9enIp4BiaWVDA+me2bfribkuwBXfExcK121HdQL9XXcwqkuAg+XaP5fQAjr6MvDRCZ8bdHVn4bh3+lb4mD6ktVDaMKo+Ye3kxyjJriJ3bmE3t3tbJGRAA7wALSEb2kHreITUPA/sR++t5cHaFUqXPrABsdFCoAaPQLXrkTRD5H+0puo8oFn0hVLf3N76w4THd+HIAXWzDE/U6mLhmTd0nUGZPT6rMzGIwWe7/iyPXYg8eOT5YLQ3Xw/ppmqmciCqdX43jMSYfgQUoDCUQSx3fOJpMkOHQezOTxiPmhIGqBabsEF8a8uOnnp/j371sadEUsmpMY7gZ8MfJDfTB7xjKLwnB7W8yUDs92+6wgJE+zGezuILaH/BIDFvpgZFmr9wzbV3Df9Y7Fltaudh8EQMJx1NnrX2R3ZamSXiVp9A7ZajKZnD9a0Mp0P7eYjWDDFv1Eftq7RY3Bo2TFPtjP2tjloaB/yOSPwj9y7FITh9L8TWstC9Y8QRPTsWa0tiKmpSxwDaVyD1BfHSMOpDto5kgOWcQwvT5EkxwX70DonU9Pxm62h61lRxcWy89p9bpbc554xxnmv4dB2rh2eX0GH7WOvCQierwvV4Fix/yN+Uw/23e2U580u/p2F4NWC061wzYvNKt5kBzbH4eXYNzeHEeDRaripYXC7sNBRkqQJyyDNKdXCtoSFSlrd4cX3ekeMj6xhYXUcjxMajCjq2Tmsm9Bfh2omlNDYZxb8Ar7YaV2Uu+eEwpAbGlnqnn54qnkdpuEWqzv1BAzM74U3XhxT6+xsu/fRudIIb3lIIuioU33C6aY/aFWM66VaRuyyUL1t9PBvYOQUIrNRyLueRjenwdHw8KKmR9hMfc5pPVGlbPCYFuMWjoXj0nNkFKRetXXIVoisNEjWq9ZgT4CsexZupCKKkbWZHGqr+AJ/nSnNMY+7dfPi7MxtxSTd7O7BAHq/fLgfourKO6rAVDEPWRaKdbTUtCkg/0d9DIJUfiXPRO7R2AIl3MpjYBLLpatS2mw2TXVeIqbEv9ssHJQ1Oc1awdYaCA+FXfIAqWfWjL/QJ+eifmmSIDNS0WY38PndiALOc06nH5PznUYGwXHoLD2WKWh1cuqFXVC98/M86WVvqZTntE1JUsiI5QFScvkjZO3wDzbJM5+50/WQr9K5FUW3TFXALCtj3mhUTtJD4dbH5LRCXNkoJRlzYAiiF12m/pt6tJBeG7mv9OaovNF461RbBxoKPGK8Zw3JVJF/Y5s8aT43S/Lhy1VJrHKtlU3YQY2BWPgQ0jODqXKoc1vYCIutdSLBlsCAuFe0L2DqZxftZrGrlo1L3q0QNZTAySMK6Q9jdUlsAqUjc9eR98quQ5xkDKLW7gOA1Z70ZWVw0AWseiwOT9La86Cohc4jCB4vmOyjKUvBwFkSNrNDBTBELrQUoEckQIcNTTPsyowqZRTDZDjE4GioMJw93RBxSE74QnIuJF+CV/7bdvDmT9s/eBQy0rUcYZjHLq+AcpQ1f/ZswOS9cK7yRrcBOS9CM2CxAglflPH4rlmQSTiRezVLCG+qwwmSSrYOjtHsGUzMdy+AlnVehvvBEZayq8MC56G/DpnGqFeFgYneqHT8WtshjZ57OYy/bKcWIns+EafgoBLBJ57L03BV8ynFJR5sZVn5XUPE6VHRk9X4i3GJmi91XUzIoz4ClT7z/h4QTH2pn2mzErCY4DruQ0Av+inLL652fZxVi7fqUdWdiIezMA6vjaUO60cFTnUN5FLnYDTDXLUjO1ob1Laf1eV4tbEQG98iVRa7YBIqiROEdT8dPchMuClgTOQp3mbhevCJ87SEcyWu53VOPcbsVlI2b6daefMn9HhtZa8YOVw760HgCNcRO51lh7YAuGY0qf55zgp9bsIYG2o1asGthHb9so3bbgRD7Y5NwW8/cplIa5aecMpBIAwp3qZjdmBNCgr+qa2mU+vmtmVs+mEpMffJVVuZ/oAwn65mSbXD7tjyobq9ITH6uRvBCUYzxIuTrj64f6VwnjS9tzomPBQmKDrNULnEdY5EUWjf/CxXsvXFgrzLRAZdTpGIGe2b4UKSDZjJWwJQuiD5Weukmgoaw+QmzcJhc/JUCLUDOcfuq9qIP0OmUtetVeWdktcfgCfttGFJxOFLkN2TB/sfVoqc7MTPdY9XgtRmnHI1j6osNsL78hXFLT5CU6N7SJ9dY2syfmI8+xY21dFMDaTj79EpZ/BrpESRVYYhhumAbY5Fc9tmXDT5RyiS90oJW/kjup1ubEq4o3B4C0gW4rzqoAOx2fyvJgxS3uRzlF89uzOty8IQ7+TuhAWFNz2RIycCbyNLY0y+HVxe0ChPO4SOQimW6mVuvrrDjdzotyaGAwp7KLTrfrhD8i5EVmCT+NvsTAFnovM6XL6xcVzcCL6FFhb3iqZyRqaYWWJjswjt12KSYF9jUv08Q8Ord9G+h94WFkNDSUbfCW86qT5FKUe+0G9EvDxlu94XAwHfFhPn7dp+nLxvVfuGLHFYEGuS5x35D+ZyDOPOM2HQp/zT3eCYCagv+Gp6sZtLuDSjNUcU/3UuMTv0HlA9ykFiat8ktZ8kCwr/JVpXkf9SxdOZoavhXOxdFoWQuQH4O1RU2Wpb4aisSk7JIu8KhfP7XFXrlv9Oyhn5QH9fqjQCw1l93r5R5fcuQ07C+zNR3awKqpHqKZ2ac9k4l8M50Z2Hz7Ez8fscZ4LJE6iLJ7LJgJJHvJDT/IfvSdkgihcsyZaOiQLJY8VJcxmV/hcQDr0+5iMqQZ/zK5Mb+xCp5OyR+7C4qJYRzUgxMoyynyobG1OPFXba/E7J+EmmJRse37D/ZpEbL51TyEBtj5BghExymyNY3L8Q+NBiwtfsvNky1ZDEsKH+P7NgcA69KdQs5xBHzo9N0oISZM/sMCRs29g+CITsYkllMa7t654M+WybT0DBSx+bCkPIBfcyiKtOr4aRWtn3E6CE8D6xg9vIt3jqCDUpLbt/eM2cuCovRD4ifxeIiCcaCNqMyjgsdCHDzSscHCanNTs25ZrYfJSJcX7Ls0YPP9Xvc1TXUO1JyIW9fYY971njtu7nDXfwIsOhDwaZlEO57vwjO+wLrSN1MenvhDPIH2sOyaalUteoa5DnJGTTti//+nNNLLfOOODTPpQYry63mxw9kU2RPm8t1jUfo9hyvhIYvRI1dzI2TLqgFmr/HiMJogXDWoijoW+mJ5Gl7eZv6eSy9g7ELJRPrqhMMRevy9Ekroezzs5v1Eni6dkjiPTNTwgdyJzhV8Eu8IKsX3ztn5oV0xWfmZtmC5h7mF27Kpdyy81sVgTHtdnG2n7z70AHBH5AgINk+8FDXSTCC/2ZbhxPkYLt9FY6YtYCc5kyCKWgmM0V1i+xZNdfyMjyFset37n8RGWXczZZG5X/MVsqHpJ/Fm7IBKoPQ9jdAGmvAftEtsOzO5/IFkD/ukvoTiT0OYsEa8qjzG4CVannevrg36GxhyMD6pirwm5KZ9/5yvmcGEZSw5WKWGkqKEYqNpmOU6y75JBAaNUWtO6E83bIsiRK2EMK5AeVYs4bFlr/whMm5TDLa2vhIMsze59y4XLOCW9t+c2o2keMYb0MEPV0FTkdZfc8rT0tN3hSrASdJNYY2BeyzP9bQQ3R4fx4zv9TwRTeim2jLv7hZHgG75RK1Ofx3IDXUU9rDBhYA7DpbAEsm2g2eI9LGa6qMKhInzbOz20+Slcjwb6hItQBsk1hZEfrxvov6K2lVD3atzCmEAe2T0ph+ly2GBk7JY1TaNOaLXx5TpvDuwlfh4hFb3g2A6neUEcMD5CLvCqVjGRy1rtcZSLXAfTBRznPWmM9CF1Zu7VDBTBEBIB2GNPnjVnKgOL87C5dAb2yReUb28NdnUdMrv9InFfOmc/UmA5QzLuDo8HQeUz7R0tzbjU7GcBPtsyq0UbA4teQizxUJja5XJj77f0WWLTtw4kIrYnxnwF4Zx6cVRjXSoXkdKZ1ThTRan40jBo0Uigkuzd39nYYYqC8CWj4lGzS/RuUj8rt1o338bAzPmI8JJeoqzTL1V3pIhUDOW0dTg4tOqYw+27t8+V5vtrBgQ+MTox1MywJEI7HMaIv9oAaMhR26ksfWkcH7USEUFiYzTjN09b0Fbuct03o26OuyKKfCysG7cIVO0WrfyMVDcKER7X33J95NL3254I6s16bPvtHQMBiVNLi+p2rV1iyVAwiqCeS24oWHFKTcV7n/XmL8fG3K2PPyxFHE1fd+fbHKsVpmCJmNVllByx/4Zt2THSpU8fgYPrBs30bfY9W227wgMJd/6fOY7t3zV+F7e+5CA0qEp9MUX7I6FI/4ulGDMdLgkQBnfnXzmmivp59o935omuVVXOY88RLOcu1D0LsxJXsd5C/CulsgNzTNhwt/zCrFTATHLmrKbTQtNLyYWdCYP6EgfPOFtoidMkv97B623KsXjbSuJsOIRZ5gotUso0HVI57emmf6xhGghXvDhQFM3h1ZG1LYEiPSkzJwlBBwQJ1WBo0pxK9HIfcoqBcPxldJl0W8jTsyD/PMznr954aWvuIrRjC/LK/v2uMP7dNhODpkGOWZ2dc6NrsDjFaayNIM8HGXVDWmj7Vvus9fgUN1CNmqBGKyktcTfw0MhBykscIuERuRoapMwhbe4SbDxYxqHLaUVXo111fT6Oedl/Wr2QcvzHI1jbkI3Bhzfqx5N75Xw5DofKJdM/x/UyatwoouDktWl996+3CWxiwuZx4bAGXjd8bz/Hz1an7qtOAYjRlJuc1aLWVBemGO6Rsfmx4gJNSvMaMRVsp/4/TUiZmDG4NX38Jdbw+jjNDCyZAtI8u0/AuyuI4gAEJgrWOgUONt0qJy7P89HlvMoQ9bOgQt9P8OU3j97acg3cB0nyn3EvfMXwfih727dJjq8xTt3NVKGiWl8msAGxrQRHjgjQgI8vShKe23y9ISx1TuWhCQwZDszC2OSIIJU3EZhKO0yKU/ZvKcnoj/NeDEpXHwHEAs8ePB60ixOWQaCy6nNj8JDAyxMCKxIzcvG9Frw14R6I2KR8tsW/iRXg4lvvm7tCGKI29bKae1SQ3qwwQjrol++aal6828OKGTwfBYuJL6tCnjqrj0+4D8gmHH5o+VqELU9v8g6cLNImIdrkCNxMb8ZooIpQqqrD0yZ+Cp/X7kN7wrij2CqbgjV59jV/elyBk6sCjD6R02BS1rd4yznUj/atnuITKp3evSOA+rSDE/ZYbSYgJuXGBLHPPkPzDumc2pnqhbNazpvBhHo4uxIkd5Ld2mYDmrpIZGXwhDROdj3idB3g7GJ88fKprA2iAcDRFZaGrIjaybfJ5B+xKyi9nm3caMU31jRknKVonmR6OnJO+Fv9bexQm+K9bON6mRuw5w9rzbxP45q8eonadACBUI5UdP8lyrUcoJo+w1cBlPmlPccL3b7vCgd2Z0Sj6A/DNEOUwrIctni3WEbs7BxQ13H68gVNfs27tmBDd3PdVyrp62l5P8iH2MRsvvvptmhJcqBStEmde0tFytEccfRIe1spEoGjiLrvfPMThmi7VO8t8AIQZwEjuWrtFlDUBmcmn0AfUYmprYmJZ4nz9kNRZ1vJ87zwdvynl64z2O9Uft+CMAFdZRTeaOyTsJFnD3Bw9QGkH+2yRPEqDALHR+kreWEgthuKyqoaBU5ntPE/UMGxcN7dKthriRW21lQrsdYsdhqr1DcRKxET20bkiSn4D2f6EKiUi6P7Dutcq8hdIDaXuyjLOdgq7hQ1AT73DuUIBAhryPGKmdVH/GNqvBOPtbw9ywHBtk3K7mekMXs6gGdYVuRQSWVjdxe6TlpIURdVc1LqQ7hCDVJhXkO5stJo2q4us0YXEC2IwS3DfaA0f5QjYa6A77ustdNpOedI8C5ilbBlaoN3OMu7taLdAFVnhQbZf7kTE0E4vDPt8cEhGs/Bk13j41ARW8wK4oOoJ0Jzvb18yyqJM8ZS/jk3c+7a9x/jpHwJ7XINajymVmgh/J63wScZzkB3x+K6XcvoAk/6pBOFQ9H0NhZsLaDPY6BvlKOQKZ74MZvDmSaSpcxT/3x+gkBotcexpmEJxKStmp5SlSn3IWlyH64IIGclfq6CDzpErx0Qvk+uLHisneKC1E15+hXktc1xXe6gkKCSdVqTqhmIMOBZnYQtXW879Fb/1P/YGw9BvWMWS0sntWgb9XqvIwV96XsE8bmIxCiHKvCuO2bk7R3VWBhWkzl194M/olnvuo1vtjHJwXHiGYiNAfRmxvSSpTuAbe4xDNmeWrc1XN9ckQbwfGWW8sfSh1XJ+qNcJ0HDMXY8gv+x9hEA1R3MthvR7+AJuNU6g1pfBQvzqtGEgt0A7DjxHDE5Y0meAJZK/9bqWTtnf532kALwXV6nkLMmgOJ7WL6IvNu9S9KcFS988dhI/n2DzuQR6tE10TwKwDzkzt6pOjV0OrcQHC5G9EqeOn9k2fgUKKMOAyb8V6tGHu3SsbxbpF/XM/KO9ItF1/nh6riXdmFL/LE8acGz8y9WZPTOP2kAnzNWc1CFyRjg8QOlCDuZwZ7QQsYrtiZUitAmpHprkuO7K2IFL3HML4VQ8kJ1tRSenn96I343JRn51NpgTCAS0DhtI83bqmKNMr63M6JBkuAelSBHOG+GchrE2SGWX8PAodsFcsp0algGXuptDitKJ8xU2+zxLDaDYvFRgHA3DaWCZgjeg01H/mzlIFrPAMZQk1N84I2BGJW5YGGn1Cq2BMCFwS+3gSmK2v2ttZu/EuAskCVuT8xjuK4lLrabvusparfAgzHvqqlAc74lXy4aSqoZU220Gs8ZTPSWjFsIH9vO5306PkJ41heMJk2Zfmp2L2yEJ3/S+2iI1muIBgFH3+9YJhUIdSEB3NaT7kiyLkvCU87lSUW8spuBhtLDMWsZ0nC/znSt/YSi5Ddq+MYfnJaKYlwK3SDMoQXsZzBqgjos9OpUEeuEBKODIh5Ceu2ZtaE8rYQMyv0gn0el3qfIm/4Srv92YMm024yEkA0hPYtuyBWwMMsq6hG5ustDKzn0DM5IfLjWo5wO9MWf+5WnPCRuyy8o9HRLjtlgcuvAODOuHHHJXLkwBKY44NOarqBUbeXyhyAhzIeYiCQcEkpBqUX9PdsZM6pYazgIUS+3t1LkQEzx64Jhg6q3qlQsfy9KDbskXCScV3HH1gMbyob5P2zFjB8udPxT9gJrSnXFflpGBbdCwM+jz2RtCo4vRF1V2B4u5tEJFLVPAJDM/4cbfjtUyjWqKbxyPx48V5BxrmyVcYmHmolOScPnf5E0kIC/C73aUAml7tzUq2jfGS7dAkxyQgwG/PjdS07HP0arsiR0gqqG5JuwksmgdCh4M/+Rv58zsG3szBdEDkEhZgcF1ynPVTyJKtHfxxGdnaOBM4HY1RIZGH2rGJiIFJlkIphuY0aFhKV01ABFDUafu8fAUhFQEP8NKm+73BKYShtBwNocO4p95v+cepQBybJnEIzsHE0/0EYexMmE8L+5ZeY42/kF/qT7daB35Zz/A3INflGG9jj69B/tunt5lxeARUhKDkfKaO0HqkHoAAtC4FIvYz781jS1IDzKq8BKxdsUtt4z/ivApsRleRlQqqjH+paOqFeuiQjM2Hvk4Ox1tIPzlHs8OV5CLvLvzbfb/SpHAav5a49ZSzQHtLtI/Kz95G4vOhM4GyVfAt+UldS0Wy0TcDQL1wZ/13EJJyKSbuzhPUPvmXOB+jAwMtZ5l/Ak1JMRvEaN9cSnDUJEItPdAXUfDSrenTuIe9zEgmWifpYrUkWqfKaCunZsd62xfTs3YHHG8n23tmb1H++v0Kag0+DPVL0hp1P3m1Aaq6LzK6EubKucBSCsNeoeO/b7rdUDDnMoOsC1IiaUGOHIDbKlaFRDG0rq3HX83vXt+eZJNTM2k3Ul4t7zvnpLWxveKKJ2nevMYv7cHWAhwFMamfMW4tHPyyeXbCtmN3EYPstKwNJijnU+mp/nNfMrcieGTgUkJmegSUx5LqOF2HXyvgw3WuqAJJ+wZbdj9jZe/FHyqUp1CSuwxdsVeLdsgCi8PHcQ7ZIXttTB22NfJQ+iM9W192ePSE2ehcXd+1uYS/vnkiddAE3ga2V6bc9MAIZuMDCQc13c1y2HETqVhX/WT6XjneBykyy+RHL5ke+gGu6aTuj3EYYvbuS7jeRyJKj+U482M9pI48VdRDYip0Xb7+zFrJpyJ/W6mWXPixGTNkFinOupkvdteEI2h/uCKW9D7dz44HS52d5vba4KzhmGMmyzVTn4a4ghBJ5PNawZU4arOr+lkJgQTMkPxTzHfC2FliDkVc3HI+6LvqZrKisuZs86K0QXSWOPRQdTcnk09GkX8WWdavTVUYttRVY7wRhTG6zoa0x3ejXg7FN6Z1HSmrjHBdm1BxvOUaClBM/r8FGRcxTmsBuzMM6YbnWIkWJnG+NuGvOXZ0jqQKSEVd1zGlCiQNpr3tlMtY2XPu5BBO+QWFDwwJJXEL8nlOnnGxiOsRXfkYhVlY/eIMq7xZyVLIkHWhY8VXajQTT6Zsshe+urEsAsqR3pf0ivSlXMolez4Xe3vMi8sMy4+x7myT90ZTztLjVCIjM3B8KRYbtROFnt6OsobtBgDTx1W3EjWzJ94mfFbHQxo28dJ9lN84ClLQnbCiWIhqccWq7IzKF0EyhLFEwv+WyJiK4D3MKeazOYQmx4kL7i4qjIbsOJbDisdONrQnIP0qYE72CAFT0xLO+Ja0gDaesE5hN3kiLJcwPKRSwtz53setKcEbBD3xuXwuGeO8Vjwod70J4uOErRmD8bI5UH7jMbH1qfNPy1XUE/pukgKvI4zqGd6ledJwv8eBAVFQ+HeRRFNOQemqyWbQlvfDHMoyDW7jnLgi2ayoTmAgFmDfA7HFprye3BgjSYk7TcXE3iRoe9dS3sGo38NaYi6WLZ+yLgD6MNty+6v5txgSPVd7UbXtGgQ12jRvJI5+/WTfgEbOhwHv7r0Pt6M7URPgYgezLNriYeUKlHOzBzv/PyMpTJupcTVG+fAvu0q9R9iQHogpW9uA5TKsbF/4Bajls2nUymr/CECHW4GuRYy0UYnb9MSGj6xdDs9+R8a60WpPOgv0/QSEcZInK2xEXnIoont1Pgc0gFVtb9G9IQdRHn3ecODnglD8HIoUf8n9LlR9XGB7Bps0ndsdbuYVd8drcmkR+TNO8TV9xTpq0VZqLjkmOQ/H78Iqbed4L+Zf5D60h/+jqW96fI2K3X0y8QmZITfqQFIGHUulazORSYJHu1dMfJiUlZz5IrGqrWQKq6R0Wqmwqswifn87W1+nseoyaUFAjVNvFWgsjhZvFOdHPqVmq3M9ifMBY6p6cEKcdyLBS41tKRYlcBFM3Hkm1XoPms2qGyhrwJc0R4xTapfisrWZRPsWW+3ltSVwRl/i67Z+k5XvwjXLa+D36WSxTClrv1PwPGOK7BwYQo1A7vTFDwWnlTLHyKEIFXJy/0Vb9UoGwd1tcRsKk+WYyzGcVE2QvERRCiQzegLNRkwMDoS/ZSTY//d9KXf/k/+HDkxG+q7IgN2wkNE4yp3tZrm/gqwlYwNd/JDEGKzP1D1L2//6TGlF0wTUJ/PKV/U43Q+ZpHCxcQAgDQ7rDCOnm6b0QkT0du4dibB0kbrzYsmCq1eyOOLSJFr8E2twBY5MENhvCuz6vmp6qnGUBdsfmZ03wMVXUfKO+XarBwFYGC1idO3dMrH8Q3fHmSOMJxd/4AqdeFQcRzivk9CZRmWer52NAF7uE239C94u9EKOUxj6Xa+tmldKTSYowXI995lQ6SjYOozJL25z1B8oxYovdb3+H5mgjVjRI+eAUXwEZLTGbpk8luM8mALCVWTpfhmAiBdlzUNwnNJIbMZYabA0PGHHB7+oXfyZ15rJbq/uqkHtHDi8xdTRUOSWFU2EhbQq6Rq9jYFftGfGp9OoDem8FR4o6CG0Nx5zCHQ7y0tXZMpd6lD8uLbWc1G+eMiqzjwYjXMDAxgGrr0/PC5m1A6/Vwj6zwGveSwXjZNT5bVLMS1o6q3k7GftRQUXOTeW3Wvo0BVfY0Co4c527Ykw3x8KGVokw/1UwgjdLTf4HdqIT/Bi2YcaDQGCvmsTLC6rdshmeKgpQ6BdaJspwF96ior+q2Lg3tVM7iZDzl86Gw8wnI/P+u4Dgt++lu0wo+dzjrt7HD1J1vhebWN4/x2GWqvYe0lZaww1HdHIS9BB4dz9U+gmNf3i7ZqaTu7JoH75i48ZrMkZOLD6BvbNQJQovKEbmcf/TFcE/d7AtIEa2jmxb0931Qk0lvFMJa20unlcD/VihD19NO/vLgIfVJpVJmUIKgNZ4B3ZYucz2M9zGPkFf9Y2uz+uwVr1NE9XBy0XsjV7op39i3ts9tstzsUzAV6s59cEdEOho/1FMzKvKEhszLYT7G+TG3h4oipTHxyNRu0Cw40DXuhaoiLjRQFZUP9YMQAGcVBh6vFF/7PnW8G3EsW8G3hWd9GcD0iz+ePvBhMimEo3MKOYquqsJvpZtqNJDdouqpZy0WP8dSX7unYQAw+X9LRd892vLtVqlmYb05nDHJLZ4UxiiInAS/6BfU71cmY4TIAgVGET1qHvXEo4mRhSa6oRUoknda9y4IY06UNviK8a4WeB3kG90dbqV0WP7igg8IwzqVnHYUYVwACa94Go+dEvqZRnRukVs1DbdAP6xMdAgzSkuavcBHv7NaFuFUTo2mNQldXgZw8GygJpcaij1eJ+EsZAG9zVRSVDJGoa8gsw2uTADq0UTn11gQ2zTjPznK5P8ia00GJCCNvcfm93RPrOoLxqL1vbn7MFv7zpUPCgGJ3paShmBVaCzfjYSNI/AiN+LXBU2yks41PnEg8aw362n4I8/p016jFtrDyipLldrMyCLJDYig2/kSzG6yVJ1kisw+YCabbHlpmlkvcXYx5ovXWy3CeYoe+txNC51Gv9L7jW6k6bBrNv6IgPMZDFZ+Gg0/q/gaGuSnNx6x+Jm2KmxIidGoth4kzy3GXDA/3yME7XBg/DM3cGYqHCNYvv0WzKQeaAPFYnOwdzbRZm7U/32YAMVeXYtWsvwYf5UERv9UKXmiGWqFOMtKeUkBsDULZ9XKOQtAY5eeT2Y4+qtA0vzIuDC1Ir4vXZaasPEkMAZjGc8eB9ydogSuk47eCtRy5K7jL58XokSCcKsCbjTA2JTqoLd2WhJRkAt7x8VacF/cLq6bou66xQX0sHYbbHzrN8/E4ZfX311r069H1UFVrGn0P4vEHaFoK7cMZbdAf6OSTwfAPaEdfmhyq1yyU99BrG298OiCxkTCKAqn3qzh77eZj1TXlW/agLv0lnsAT1GGrR3em/bdD7ZfjBMzEsNwsi+IIViGgXdSWcIDJ1o5QvXrMGXobxeIvVHOiwONi97qxTQCxYIFWUxlb0Zd/OElv/G1YcrcFlKn1i+r+7J5KxDtsOj/JX8maPCKwEePZH6adFOJeSj74bdecmrixlrfvH7EsOAbiSM0MnOEBeY28C+KbPISFfbbRYWWSDxNwRO4tGTmx2uA7Xm9/hCifHGrnfnKT22xTArlnMUT0UkrChXNLCQ0GWx2o+JLEPc0Xfqp2K11PEXGh1hOGKmDOq/Chbdk6/0JughETi5g3+dyyLX8WQvMHl5t/bBBuSHxRYSKg+sdeIqF0QBrlvUMeF+JNyqQeZlcM7VeiChlknC06V5WqMaDdgD1IQF2AS4yTWxKX+LsKomg4+b4D3sWc19N5EINEjQDHq83C3yxZkN68hsH0PdoztEu2+VkmASuvr3deS1UZ70igtl475kzzPq10Jqe7zDDnUTm/Z3GCCn248xLj7u032Ng2BQSLZLpb287bdXuPHJoBwZqAiD9Gf2Q+DzCB8vJhm2+3Zwf4sVDYxF62JwvaX8XlGa/ZQBb5gRRildLFGZClzx0tJb+1TqaX+PIvix+N0JI63cJOwFFX+fvIqHCACndT3TA9NWo6rGrhg4nTnC4WabfSOsofO09K3oBsEwxTsudzNngbMvIzmp5ORM1pHR1EcTVwhs/0M6P/dtmv+6PD4pFYDXnfcx4VT0SdKgC7vL2+u/icWXYco+9pkQW2XkHzQeIhiS0GJKjCmsDdVuW9DF+Y0jQCoiM4UfayFdzkstZWu+SRsHhUvU8UkV5/mkb8eod9kxHDWr4g4UWrlsF9Zr8vlro8AiabFexcZPvgqjHVAH41NYGyxwzSxE34FXxCfaESsUG0iLgPmTzbe6L+Eb7OaFDw+D21l6c2Zi5xb/roitDCCZjYFNwb36DZRZCBNhMlBFaCSbUrOL1I+/K4YEMiqA/bLwMkWnaWiw7HUuEHaoH/4gm56cHDjPHeKwfQfzhf6irO2jPZV5Tw7xFGHrpfnXe6c4By2ewAZ5PIXnas62F+B+pMFB12NWuXam7AMCh4VWKJCABc1PhRyCidfRCLCXee+9ue9yuTOTX7G7K12S5v7p2G5IlQDo0cs0UdbsOAqA4Wp4tx/20yvWfBkU+FGr0aTMpGAbJHsq4cB8YAeFirRkw092v9xP7hYXubVcQYF8mAh/lu7d3MYwMZRRZb6kD8DL0Ul0deoHy67FOr6yrrDnnin3AzQizXm2+uzJzGjIumNs8AcguUcQ3x0L7DZJsP6Amju6HScPDg7dB71C5wqcsGbGyewCqOfgQ2xeM00ao80OoiRdQuxxA0vQHvpF8ffvbdEHoh12ETwfxOzdeDs+MR9gCnUcEjrfE/bFE67XgMikUqh/48DtbnxcIcqyvgbWl2BmredjUVvV2VPqeX/xm2/p73mYwGvlG4iTxM6HBPSx6wOGF0S7tNL5+fycRtf0xTH/n/Ey6+1i54VDAE2cxktQDAiFZqdwfQDuSjA5YRjFBQWjVpbbnA3vcjtuLVT7foT5pzXXpx0mLAPBSqJTtYzXPiBBdqdSWhIHDWIzh3R/QJnNSseh5QlVvx4K9a/db3pJDcSal9a/UIRq4sc2qhX5BP8QIbMw0j7i6lFXBmdLYhVYbMVaOkCgzO5zLxoysMCjRDW/9oAvhHRYXs5yu4p/n/etld6u8OfovhMn5AHYfkQurnRlhikKCZkGBWYfgH88JP6okaLMmaHIypY7HdAS0JEjDHqa05vYo/FmRDflTLRyyKoE2tvmoIdHEHCu/815+AEReUBjfcg3zTYDe8M9tWAY8Y1wQBNfSnia2qdDyTI8N5Nk/G1QXPrSFfNa8LI50gFCjNOf/KCs4LRCA3TSfFgVcN61whUZUW/IPNKM/xiCQr31G4B9KaLEdySHDvaAWT3paxQfNqCUSth8gpSFJYbKR/1SzKYoCFPTSf4Ig9VnLfrzCJecIVuatHuTDpBk1s9vf4zhVBMSFhBmZeK2YDaTBfWm8EseCP4xSJ11ABvu6bU3kG0LLpvZbjQlLVAC5ux3vHcsRucLvx9o3y1a/vs1Zumw+8BMEz5h7jSJhXGkYmK8DyZu4DRwiadz0i2gZU2WKKy2AS5KVXaQjyD9Brttyu0xXdADpLCWyxQdLGHpsD/bxEwKmTNLhGf9vgEnNJRYI7iuyCDBYP/oMyK7q7DwEKoEzrO5IYAuzqBxr62Bda5hjmWwsaq40/BFWkllPYhYuWZJWeSlkyIysl5GKM02VMN/lfwljGbiXyooouKSd6Gjhw99I89aPF7LBFHZsURDVAb7Bs/cZMA4HnZ0UZg0Sx9BrIMs4X2Tz28W5CFTaG8hzhVUu/ozVd0cae5nNJ8SC95KyxeFwZn2wpXBGpf6yTob2tGjGNQJLeOvUzhGkINgxiB3ziR+W87UozNN+K3reQgSlATu5EAqxiokNGARCARfSHK/kFFLN0b9b7Kvnmd7nSALnJqnMqEn/QYDE0ixqt5I+mhlJVUMrleaB3A32zV1RJ8ykJbewIf4FWfS2hjouDnYGp/TcmTjYWBRmr+Y/lP5VqL2JdIqw8JytCf+jQvVuKG4xpB61Lvx6l0E+fZHq4CrOnCduKnp229JecA+YDjn/a3z65W6RHcHvVwSqVMUqHqaw2rJtXmZwb8TGl7ZxgWDsbbSci7Odj5nl13shBUFCyMSXb+TPMX3khJ/iNWF/pihlxlo+HhadUm5So7dL65cji6YqjlXBQOPvx0uT6Ymd2fq5M3W6eZOkg6DtfObaa89nGIa4+gnVtI5A9Xo1Ud1beWeDQa7cAX8p/U+l3Ju08VhvoMsVz5EHKfYumvcXr6pU4/OTMbUVy4HQ9TkgsVU92r/aEMjqHI1v4oj4lq7AkeLn+jW/Xtf7aMQcXtfyBuS0d2mz79y1gMfydEqBT28LbG/3KFslDNJa5ubCGpN0uIHI4+aiWR9C/Xf3qtCAH6yELTNsbObL8Aa7g/gYq61ddpJQ6jngKrcJVdnVHCkXx3GW0/TtLiapO35iRkVMqYjHWlrtZTOIIQAZRDa8PjbY2YYCvSENmZT2eSPRyIMranA8vn07SZtzrNTWFd46wtJi7tTJObgmn4pT1xfdzNRabCi4YmWJnVYH2ZAuCJnLLLqHVHSip8kRYTSmWkTtAs0TgQURs80w/5MDsqSldWvcfJTJJbtTLdcO6QFdwneDCYDdJ0tG9OLSpecxeDZbwu9qDU9XNRV+4et6Mvn2ceWz/12usi1sRiG/IlRMIMXQK4o2WCWC1/jYBjE+WWQTG4Lz4AkaVuyCnpvql3gBkEvQovJfJ7PLSRkf/GFVKG4WzwfFZHNaDZ9eZFR08G6W3ukIruN3gORXXl88MjjnDO29RNI9jN+o2rryPnm1DHUpz1WuJzzjfxr66e5yDcjcIu6D5vVUHx+YJwZAWFY4umFdfyz/CFjN2Sr6P8RdpUI1RmEQHFPXK54qhdHU9O2v9GcDAuoAblov5UjAFmhTcwto1NQyAlop3xTQWtd1B2G/9p2xW5xsc8miGoeci9ZfUOv+rmTjIJD8XYhs5xJgcPAhYs29Buiu+H5vwiJUJpKQVODvwhTRPy2/0w1jI0iyv2V3U8CGyWh3IemAzS8WWgYkjTG4p8Z9+PdGyJuZtH4HO5+JIg5kkU6CVITWQffXI3InK65Ri8vtUHksctYwJU8uBAGkLfEU8aaypO17KQkpIMwbnDHNeuO5axjM7oZoFU/4FKYrON4ubfBNTKtxc5URuWKreAnuirTzq/+YTy9kd3iJw/aw4EeWOc+sDrCYvI4LGDcceIe2PC9pMSC7tEgx7xHpkyAr/nni0SVSI9jNDp9d4Fx0nfgic+QJRdT6jiotX0hmIVhbBi6EQhQH8ZzeWOEYfXoe3SvGzCZGIBwHV1UWohRX/6/BwhtRdxBFTMpkYiQuuf9JY23wxjMcRk8TKT+2q+bQ4qZaWapmXact8n6TYeHhAFH8ZHLiK75Dd6afeGn37YcIJwKNHPZq0OUFn97L4VdyWvSRiGop9wdEMF4tNpBvrARY2cxA71+ZFapC/o27fYcJlqaEHVSpGvCYS6ba1c9U7j3ANCSfvexS9ggLzBvplGhpqbmNwUWOuee4OwHHMKhMLIlP4BYx/4uTg7ZVtH7NfMvluR/ixF5jhIDVRHtJfmUibi/WuN1agsD9afrFIkjbYf3REIM6bQrAAqU5rRBCGR2Kt5PgY+ZumsjvRU9FYQz6a0XPq5/67ymeqwK/Zt3mE/FoTkjP1nq802F+tfTnSVf+P7pmD2sE7P4d5II34pUPUpXXnUcQa71FpyrFFmIw6LEWdIfmdOnhD4z1JDhw1+GayLkgnEj7g9zIWRsP19vwayZXZuJ8IzOIVUudn0pj+FNrenuJcelGpZSGuFLwl4c1O9QXl9i5djT99RVPGyFqSsFm1+WTrP1F5zRKE3y20eYIDWsHIqe/8SUY65sRgI1PWcDbQGfwmSa9gBrKxqRXl70gwCyhojr+4nr0hMyVOGUPn9qyKpBJTudpEXzT/qpR18NrVKZ6+D/6xM6ngsh3BIO9mQ7WzWtPS30e9KjRi2l+yI5uABKcrU42cwVK8k1HrKmWusFlUsNJdxZ57CcmfSQ7jHlg5rNpFXG/gnTNibbdASsg5vJqRv3RTelVBZYCbtApmV+mxhvp8cNGBP9c/WAwUmY1HRCJtRFmp7NH7jkTGrpPzTo3j4gnYgeM9lGRLUKECrDgFefy/EJyjVtNW2c2TSQ6sZfDxRXXRQ/zLb07up0xQAvRME/gYxkaDvZYbZHBiKd4jtkmCrrWcpb66FZXS+oAvxDDpzxONbLEov0nm9WMfMNv5e9IAO6kmPEaJT779VN6rUC2hx5OShRrFBTdd6qvtsNudkfRClZOjZDDtwbBP6nTErEd7z+VpBKeOnPqiJe9SUUgWYTxd5Pah7tccVC9aYMDC9UX1m/9tUE0Myc9QijpoSz0ptIRQt5/4ylJ2yfHu46EKS3ohF1fQu1ciz3WEWbM/dzVKLZrXbEaHX0wf9YjYhQu4XDJy5hNSsa85Y6i9lwoFGYXAtl99XkeT8lsIo3iukwtjIIeOc9PMOqGBR/nKG0HiVf4rta0IIsU2OY5JnUMfNmSvV7M9G8HIDVqbPxluUWI8SC2J0x8G75pDxCQZgIqZSKd+IeZDzz6oVkLT2w5Vy75ARE8IOQHiJxxqcwrxhrmyrP0qSHh65BO4m9oKpj3oot86myDnKaSOgP4BegagMmdZbgZqc8rtr2ozfSi5tUr+zcyGFT2Q3aB3rLZ5le74GygBvXLB0v2CHUqqZwxjCXFubi19odqps2qbBDLwOdDM++tqr4Ob6Yyxip/olQln90S4YCN/3jXx49Bt+FH5jTRfRFYMdYOnOOUcT8O2FZUtcaCzY+SmTBiB/BZSf9wI0xum4Oy71LIf2cf8IF73/vDn2Vk8ajOU9wVDB31xkIof+/L9veWOm2ylwWttp8hPupmMGI9lVX9UHYwT5TWWUqiY5u1XwFHj6dKzpUg0Pt3G1xqtzIXZ4zG+fRrXtADqomXcnBsojlUKgvXTvuLYU/t6F7ort6L5/1V8QvazLPlYNqRPjJKqJFNz6tljeOc0BKyV8BOK3AX5JjuRzVIavAu1P0IinyUZm2PWAtct7q3cn957Kc8nPaAJ2Ze2PS5kCwyXAausBXa3qZlkIYtzoRSFPqQqm6R2tundwc+9Yo0qqDutfDslcnaPvq3Y/JqLqDhRK46AutCyJ2l0rc3DDtvmlJmv/ChYq8AQ9uZamt6uIWcByufHncJxkyKHPWx6xpAbDA+7zsHh+qQhQX+P1rX+NodIIaK7ttVaeB5OY3oKd9No8ZpTC3vjOu6nkBVcKCh3+6MyDnK/UGpWKjfqnZdRN7p7exPhDQ/Z++VkHj/GzeIL6Uz87jAmftf6lHjAxoTN54356cKvKebnOd7HH32uJE3/qKFIxULkP9jYCbvoOFfOj2DCGu1dkxjEjdqTeXzhJPQ2f52DgzrpH9on12mo6Q+3rImuROKRfRpsTeWDcUfKmJlodB93xP0qkaGRr48F71IqkIVyBaqLwLLw/BDk8w7n48FXu3i/IaL+Fw/8o/Mkx+9qOGq2uY9J4ukhucyWiIS/RdXeKzISd1T8+BeMPrU3yzez9nCYLyHAfqcOtyCZ8ISRlpL525hov6UmdoPjuBmijztFZMZdVUVtkvvoh2rGNKLS8lF2uEzMD/jiCPXKufpCl4Qkw68ta7VfaKFBwkrvSwlqV5TqhSBtfYoZ+uzXbRToj09+5Yln0QLSi965t69sE7fGl+E0uEMN0cwDFIhN+8vxNls+jBu7DC/Kv8/nzw8kgWhR/8lrLrpTjiCPcMv0nIPidSM3sMRDBvWU8I8Srz/Yp2n7eZebN7ETU1NOU9urB6WXKXX8cKv06NIhUV9DK+XGSwNakiNBJ4ENT5Oo6q/GksLcYG3QhHwGb9xKUJg0dU2I7usvJdsLQQWs3mi8GdG76qDIy3dpvK7rxEN5Oc4E0dTBuZSVmauIf5qOv07V5srls5So/aDPPm4na/Lur+eteYdnYZhqBK2aplW5HilqfDBhBn/kNxH1yVa3RN9ULeYzCs3Jq+TeFSoP+CBCCm7V8VJhxwHGh1uJPAWGk9JVQHdcm6msYP9ocIClkiPfqvsONGEMJQJD4CnOg37jHd8erEym4LpBfwkmakPnsw4n5CQxxEPbiPrQUGqdpRJIhnYrFaydrSpO/Ws2H6lL6jXdkag8Mzr4H4zijnVuL2r5P8g29XeVbZkwaYdXLWnQGcaOFhjJGihSCTmfL6OOJPjiu8YmffJx48WwsfWPGdNKyo9pEzAdsb/YsdXW6XWZXdZwVrc/SHw1sQwgzRy/loTmKQLrEzoO5g3doFjx4pWvkjHwejtNdgg0ZX+sl1cDjjvp6d47xiDkMkKxljlKKBGXQjCKFjzJDOf7VsvlpcVhoy/cFlGJTnlDjkSWkr00wiccGvFYKuWQW4mGvvdp14wdTVjtRL2IXllp37gP/gdfl79xHWQ9oy2WBUOoI9oMQv9oMAFlBqgXWqVVQ76yA+OJG6WxrsXR298VI67kl9+Ibhekje9ccAcQF8XWiPRdCu43nbjPTzRPjryMzl73EM3xakTRZVVV02IRVbWn3Twv/zkNKJuX1MHlGtfVCSrmHTx72Qa7XumauwbZIRKeDbQfYcfHJEhefV2YB7g8iVuOiDPZZA+s5VLz5suNc83vD2n430MD8XBsndeYLh/S9K3pLZmjiqPVSYbpfAY+Ueo1ouup1zDITHYJmWbBdA8OvO1zz8aU6JWt+EWUNt7bExbXZb/ZsisGsUMCmWlfbfjuJehckhq2yPjo8s/NfcSWRlxPNlEKlYAJ/O4y04RIrZytQfxZVJJDt0V4bkjwoOe9Bvg51q9aIRWYVvd1FyVtfuoGzblMc3StTWpFc2uFidQxGz17bjKxPSZ0cxXHZEL0jl2SPkc95ergT+7JgPlAHybaHSel4rFyeTRmuPjwrUoYo1vP7OAnvU9Zm/QrBRT22aZCiAkvhX4mMEWQjkoPgpYHl1WU6+d8PVpIHHpotxGXnNCxrewtGNbXTUFdzUjgMNuhlm8c4cxEaBCfAoQZPFaHhmCihD5BmSCjakRXB1egNZLpqpqz0IXVCB6pgYgWrRvMGdAyzrH/v1LTzmKiDIeC1czvy610pkfDyGIycsyUXBj5p3AlTRaz15XpYaykJLq/9c71t7vu5VvMu3z/z7p5xKGaVEFgRK/obxRmTThSINhEOAx7vPeMzrX7diCSzae2l6pUkDL9unfKnTaredNyB8PuxCV9h4yd1fM1NBZLWiitQ9+biPkYHo9JSUHjQSSuoaZaO90vvFw2Q0Og7s19RSnRYYukrLsaZK/xK5XIwHlarr1IjIf1T9gVxvztCKGLft2IX3NStZ3oSGtkCcrY4r1xDDC9MfMtRnooMCEUdm0CiYpLYuWY5SVSGbdfb1WFGh2V16zdmk62szZe5bZB97NLFchYunQtEEbecpN8tCqGxzlNtFsHFiY+z52MmFtyBNeti60mBaQqxD+h3uxZHKHq8+H4j1zD5NWuemGA0AcIsRKHcGYQhlfgEZKIIjvNpEX0NyH5ljKUZUEwTTj78S6fNesmi8+2XR9Q7QPyknwruvyF/ML79umTpBzwD3HV/VCykv5aZtilHhYtPMbEkheds6/ei9ddhUXugRJ0RE/yyrIHlMCu8+3YygBkqTpZBoVv+w7gzfVBw4Mc+9CS+b5eakEXam07SSjzzkQF4cbyz8IoGVsRmL/aQy2Y8AevdEZEzHPAyBWJPAmJ4rXrpyjb3nSY478zmz3q3o3iuzIFDKd1Eyt07hylHy1edNpixDHy1RMihACPLayFE2lznZ1yXCxo3iRxEo9obdMvrRtdtPPoPHAEfGj8r4iX0j43MeGFTlaB3AZN2+oiNHski6p57BUXgWXAaJ7LD+8zTBhtIq+ftju5gigI+b46Q8CeoJMDjMW6SY8ozpav/dqtiEqM/y3MhheeMAgWha9GCmpKrUZKd997k2wP4OoMqMCmEZouH7tzrov40/GAM+QzPQWnWPqi81RyPQE6c/esrdKendOtMeqlrj042V7BSkWAHnvzo+SimdGvLJQya0UDDNXTLvei/y/XpvFMhhljrW7WprvkGuuJNpjxABbeVBsr9Xui/CdsFh64LFs0BzuZdWf0MzC0tZGLB2+xA/Pww5avB2aza5r4YxHVcpYqtX8SYPLOOVxqie17qtuvQkhZKP43PPnGcM0CIxMDnXIlg21yxTo9oBDb2S+3G457vBOvRFA4kA0P2RaBnLdmuSmr22eUKA2ihL8fr2ZY2BCDYWFlmEUPI76FDid2rXWtmGoFvCM+pL1jaDAnXevMLvsJlCdAxx09PyuezmqQss8v6ivLMGKVyTYptNhIaqNf5hisoG77l952xF8cBoZ49ZcYuc9GT4ONMM6/nZqBbNENA/T58uezl5rZscIogCoYt6iL2gXTvaiVmJUJFKE2W0nEEuigRiFPd6ItNUCjhd+VoPOQNIyuFTbUkAiS0uHuzBDFf4lHYBZVKlMqnUN7IGud9ydtkKBonSDS01qKx9jKouCJPRHyfbYoiPMS0GNtDO070KsuXxkFFJJAS+e/MPNUBHIZGOqqiQpldEmeJAbFPHSsqzOvn6+CkvbQtM+NeKMO8ipYfH6nFJR4SAyvj+7u1tHpz9fPeFMC0lVrupRk8PLE+idQe6hu7/OGcT54SU6RZ+fRvYoibgyd4HqMOXIELGGy6YbWLxHMgKV2zWMYlgeeHuSXdbbbj4KI2hszb25VlJRSTe6lgF2UbwqRvDOb12lv9E3Lmy5FSEiuz84PT1aIuLCP8jpwnRNsKKBW9LNZM9E/KfRY9bOYsIQSjiWo2LGIsnS/eLYJrJ99lA2PmKuX7HJQV1St7gETuMqKwkBWAshEaiz/XMh20wOLQMMWJLccShzg5k/6S07VzpfEGdB40jJ0Rc5VBPaIrx0QwLN5rk06ubLJQal32ndZXJ0ozqQHwLS2cEDPSyECDpOifSUszI4TitmrysC7krQ6oxTFoZvPGVPZ9Dyq2jFzES98bKmz316lNKAERKPAgztTvgPGgGq/2fkrDWrrJxittEMWGB90mj+T2dJWgWuaI/+TSK6J0B0KzcXMSb0XFOBzSRKj6Dlxgtet9RMPDkycysXfRwmNU7GGBgmBGmAGEShh5UrgRaUa01W9CU/rUWiJIRmUKwImdLkEtgJfHCUO7nDqkY6wKyq8RmlKjDINY6WClRHwd5yXVceXryKzkV+eQ9PMhSKCaEkU3IhY05qo0bTAdHxIIboSx7OiwW0/s6pt5K72UMFOY2vCFBMSBM23ydFCEtLbqodLZMpvSj6gPME9zaBgu9xynQqtXrjpouEe2iw6qD5Ts7FGXDwjWIFrWeRLcviFHde85/3pLdKmFkkFPOlAeC/d/1ZNHfTnUjOaE8RyDWpEFS5gfE1BOhJPoZxgqv6O9s4fbFWJidBX4oSkWaUBL70wOGK4EGBOudSNykrF0c/BLNCFrf1Q61+qQzMSxe/jDhnlE6gyIkqvx2tg6aCGcsBMQ6Dx6wNBUdlctneZnpEuds09X20Qbl/SwfncWtBLdfybySIEEMqp6it4BAlUbs84/L55kFEKTqFTxtZnfAKv+0zBD3HSqXwRWkxv0UF/1GnoFAMCWvr984x2ChynogbHmDzN5szwvWoiMLH4U+rQBHFPhLcbiG0zFxW9/TGvFZleVRojH76n++vrEeXzrJpOUgjHKaUMiWiXlUpvLxlaM3yI/RethJ24DQZSEU7OV+zVcth9jGY1WQpGqD4NRUZQ8qv22eMnWpeOKTh0bxeReOR3vgC9Dht8BkWES9BYioHlJolMJpi0ce8CPsGPOj4o6V5zASDNb3ENC2/WwmKo2hZRKD1WMf1oa2zuKaGCCbzs0LxjRez399SAj2f7lKyIhzRzpK1Ci/yEng2Y3MWZ0H0jAPW+FQuDMmbSm3kY9rdQoCrX2lWVEU7bLf6g9vxJJ/45eZ94bv21TtGYbg+WyFjP1bT/d86k2isf4EWmzf+/w/dhL22iti4ngKaHmjQrLyy48Q0eDKzzZ01Up6MtGHHQG264xT+VAUejMDfxmmYebTe+vTA1fwnwBbY4CZepAaZ4VkPwqLtP9LSUgdBFUNIw7DAjemc0BEuxrhwlQ6i2SzhiG99cZAhQUq5x5SQeEfLdaXwAI8aJL7YjBge8SydK6YEfaaOzmJ4E4bqmXE4378tsimT1c0J1rWoLfwNtds17WMWV7FxTZmaHOZYjdMaetjxGl4c4Qtfke6v/bY3hM8o3H7nO9kJb6lehXF0rxpLySjGkEZf70M/M1F0jxr/ji70HhM50XErHg+tk1ls5YmW8s5EB7T8jjeWjNdUgsIw7PdjRD/fR9wkGZjQreYQirWaykRFzkgr6pLfHfmnAReHosuj0sbrfViS0QTPoWfd7KoRmLjIkvkvhUagKqOzgE61jrQv3/FoLhdT8MBUvruNDujrYuE0D0IUnh4uiPcCSsDXOJvo4wy5/Z4fSe79JmMWqNPLa5ZY4V1ieMNJQlTDmQcP2I1qBgz7NouoFVUWvGnjhEFS2t1W2NWlPhNfmhfGqVKa2kGBn5QK3vpSTkuBw9W6oyk9FONII+FH50BAsqTGoaR0oiV9yQIxFDgk9AcK996hvo3elHjLC8AwB+DvnKBigjuMSnmHGnMp8P4pNzwGUOZUpyWJRSYbI87ulQUl7SQ5tCoLPZyThg1RsulkO2hHC/rwO/zplXxK2sH09LuEVK18t9c3S/8uOK9rDdZfnaNg0N66C7uMmu8Br7k/uyCOJ8hKVLqcdqCuyxtaHqu6ScW0ROau21+yBOW5z4ePxMZNrvNc8mT9rvImkwN3maTvKbYAYBjr6v8PHg7xzYa1aC+DmkgTSuSDvAIJqSh7HY5zbMEZ5AWbREwUyRb8qpMokJlxqBBrEw8wp064YZhUuoDZAKss0lfShKarCgmFg9wgGfNvLxlg8/XBhGNuTIphl5xhukrAIO3/8mUHLxVLUfjbQdyx9BGedFvi0E3cBkbcwMXWzwjxAyCOXAZs7SdY+J38oXfq36LpSWQb9DhyiRoW67PsIwflZ36/U9sUirK0rwYjr9jxbpBAXP5gTd9z95wqRgOARH4WSJBHqbREN/u0gLQLP1KblTnjWBdRmp5ngUrr3m9v/0tuUnDuQ47UsXEKbcISWfk8LSmIF0BNrSKgcwsF/sW+JtJ1Pw1dKZk4qPdDHQ5+DNzAWoaZVJeZQ8LQjepevkiiFN/+7m3YPiOY3qUxudkL0JE1WV8S5FESWVmSBKytDylAMEqjvliBi7qYDAWT0fNoT7d+yTvuWXsP3f8SFKCeZiQSQ6mc3KEt6S7LmZEjbJhK9W4avhLpiswxrhnoBK8+x3kMHOuJy79aXAse4m6VTwHy7DFLlqZn9TZXPr4wk3vBaDY+lyeh0kKE6xnodi1J8FRJuYJnWy7+fEUZbLZItL2avX3LRct0Sxh1W8Qh2obhmHoRhT08ZaQzc+fyfjGz6/Ey+CBfHWWU3a/ZErnUNHEaCmRP+DYJM1tBB8kKgfxhCwj/4zLwlvjqhRGokenv2b8XRc1wCZUKz6TtoopT6egJkHUp2c0x7yZ2VLUjeS0B8LxUUrAg7GVl7sLic/nfSN1igsGSnoRS29/EpzeeZ+S9UkfXvg92duycV8t81UZEgc2u6GbD96TUVGM/AdTY/sjNGBqYlU2C0m8uhcc9bG07lhcnATsVdvXppDWV2CrJGyKS2zo0rhiXnMB4LbeqW3tpjqB/q/Q5NhN/3jDVJ6htrzXJ97PtDsiKOXiA1CnalzgJ30PpSUzSasFeWCO5vCfvjcPMhYMpeVKOrPAJfgCARbc75UlOwtpgwqdM+NpVVi3C3ZlC8MrD4/QxNs5LtKn4ot0EBj4j9PU5SemJ/rNpqYZSYklOIkgwY9Iv2stAncYsm+yx57h1KUQUhPJtusuAi3akdIwbpX6ZEDNYpfteqlmFyeFVP0KZYPRecT+Ga6TLuXwCXvV+hil7LDs/aTyAxj/DEeoGwPleQxvU5uDAVgpbxH1MZ+nAQAAW12UsW+hCyEGFG65CAtiJ2Xd9TTuzjSZuwQpo3fq0Xs9NNdHBBhXnflkIoof8c+pZRW/IKpuKfKCVLV9e1iEzQStnit6la/WI79QoE3aMvyYf4L/5aZP7nf/M5moZxqxUKNM7P+1Sr+5aud0g/8Va8epTIajp6o83+wWbjGQvPHpnQa9TF3maAwntL1BrASD6Isvo2X+KphLPT4pb1BGiJHNn1X6GUIIV9ryobvk1uiUx23g+eZ+y2VtdHViQd7Mmt9rmMY7wAaRpkRzI0J0yxyNepZrWKT9TUcG3rYKqJbhnMA20Nxd25clN3R5a2sSXKREYS40ZwHabNybfuBXgCMfmRga3yny3mZ8GxFDqV60fEX2TEj8sZoOUfvlCmfIZsKISFNqujO8Pm3l6ZsxyCn6eYfJBRJ4VmdtAl9MEE1cMfPxX7+UeVrF13+GPFPquMKTH6Qf7GAJPYfFEyQo5cdNFhSGvQGe3kqBSUeVxM/XmH3108/3X7PmEOddT2ZgwT9rFZ9pLKPRKAZpdR0s+dh7pWnf2Fdmg4U+LdHI8CE9gYkOCXqVA4UllGR1H/jnnhJe/dr0Ajc1hBp8CNhXl7cwKWzhada9Ml7bJOVb8khemyRsPDQXSXX9TPQOQduDAvRi8/oMpXHZlssqtdSJ+oPeb7iJo1ml9tFcT+A85/p/a85RxsgWzh88Yjt5gfO08a77QrRPJ0E3/YjwR7Eoh+EPbwYJ2s/kHTt0i4SOwMK5AYIxWIUmq6vQoBYq1CJZbFpwW4MFO3H/D9V1ii6nC9rhjIqAcFrVkwnGQhI6rVftgJK7rBgOO7Wzo6i2NMq/sSqjGJKtz2kaLXSseeA2UPOHjsQe7W22ollhdhm8TkwNW3I4f5vU3as4jcPpzvYsrGslrrwxi4Sce1CgXdCRr/S5o6vtlq6h64YEk2TOzdF6J8nhDQnEfpIHlK9hT4+matizeq6e33Q6I1S+TcaqRiG4E7wLYFf0PU+hfmJoWnax8clq8fR+uObGdhnOf5OKEiEAgryqSxlpUR5dV3HP6qZUKsf9K5ZMqmjUICj/YX9F57PgnZZnaakFAy17E85tYBxtvYHhX9sp7tSiTF6EBTglOBlsODJyK+gsblU7OGiCy0IGeo2y7ptAiw7/Xzi57GFf8eOiq1SK2fQD1Mdd0Z1785lA7RNml0xspE1KlB+2DCFfa0msv+z5LBfS3Kt0RQ3X2Ye0mIq5tiX6bFbJir+uymOgbKfQdc7HatrAGt1dPZdXL/1IzRr92A8Wx3+EZWevhz5nnkh0fRnA4CiY8MFJYuGT9zINix9N37jT8ZKwgESQPnY9Smkf3JZ22HZP0jhU0QHNyDTqwAIDO5ePTn/e4zkvgKBC4nIkex6Q8MSzReh/4w4VJnYwAKELT9TJl1V1k9Q08pi8sFdilNnVVkI5hmLlP7PwZ+QCReKsJFfkWcrzhHT1R2G+BHOg7BdVebfJ/NIjVgq2OeLqW/mZRGxeVTIXrEeFrTblZzxqiOEkzT5b04+RsY8/Zhaayvad6Iwxm6rFc5cjd5O0LBQywq3JuX/VqxOtwcPWUOXx4U7VWmtqLntpwainTxLwf+LzC6vC6XOl+xzW54p5HYio8JXROTA72w+WCi3ttP+soX4j09vQ21gaRe16hb3omndFFFfr89/R3x78e/xlHgQubyJO63Q9/nWlpoh6aFZxWTnVGZq1Pp1gWVJXF1kMNgw0YWHIQEKT9JIkfnKSnFXYajhzsD/cx5Lb3nWyvm2m80tCUGKJfRS10OreSt13AKbHkIquyKH+Xcy7pVGEwBVV00XZjUoJQaFjG7Qmqz3GmuAh/jBLlw9EYGsRRmGLlTWu3do7bAhrm4mPV/mD1QeLn8ZlEAN3Z+0fYbwaJplDwoRIPQdNtEtte3b2amucsZcsIO1k0Ga9TfnlXwOSo3LxgQAYUwUE+hue4QDzNrm/qq3y5CDSEuQYxPONKmt4nF5s7QLgHPmGA+lT0C8Tvq2kMbyDbXjmyMRXRaoIYsnBbiHMxvNgmkDwOQvu1IiFvdoYu117LJFowZ/jqR7N7MWTU+h/PNd7tMuWH0ZAVemIm9DZ/am/p59UsdJi1hCUMbzpHj8HO9ErfINvRleOWGoDc27JGRyKSghnO9ZMlVvRxg1InFliW4WeTO6KWrB9N9fniVSaG+NHPvb39ITvUSRNxm9EMNSyL3PfpOmRYj6+u7gT6xbbAfPx/W64PGae61YMIxOp9QNoR6obvkJuWUl7sWSgetetLdbDAlSNxPh3uL2wyEH4OeETt8J/Dm3AFaJIB1gcyWqycWvS4GDTiBSvZb0ifI5Zfl4bzmz5sac74rbWcewSOuX/G77wf02fIRxiMQUhylr4kTEsScGNcsVzUVUCThaddx5kVOnag4MmdMB+n8cD6Je//stLHHkxtfuZpMScjh582N4/Nx3MTuRrTwj2OhlMD6CUF/X17m7uh3dPAVTFM0VNojcWjJ12AqtapvZu543ko6DP1CK8Id+bQwyM85rURYSJn/Q7B21OIKFsfwixFWlQlRcLiBEwCJAXuUd53ae6Ba9yEWuDKJ04OMgU64/Wb5Kc5Y7PuoQSvqRIXP2WLvKsJNcL0Jcf7l/c+sdYbJBWDcZAq/2JFHmqx0Q93Qc/O1rtSD+5Mnu90CHC26fHGT2Xnzw9+8Cei4ZQCwCIlkaPIYwgGiN9HX3nZW5cztccB3Ka7CGNRqx19D3j+8CgdH3tomOWT5Q5IL10XsFgUvXXdkF5kTokCIF4X8eXNlDKhoCS8qPTWPBG+EAmwPtyhBTJJuIwN+4mkNljM1ITfozP1BrjW9UfbdTykHZeM5rr/vIadsh/xpzkX6ofnhdW/pBdlDAA+VamxhyVs5gH9+2YIcRod2sIllJy0ysKmCkLaTdzCg/hCgoQ76xfj7F9vOEzmPsOU7zeVF19nGwHLOZJLK7kzDCBnYGT+rLQ184gO4JLPbSofeLv50VUs8RVGP5WtjiA8SNZFvU62ylGP0zO0/r/1nUWuASgt8FQtJ6fKxMSMm+UMQS+Hny/jOZD5KuwkBUub02to1dR1NIXOkzqq3lNT9HOiu0lnkNrY8x6jnvsSJLZAFgYxBXK53/YaSbYuadpoA8p463Ls/aj3yLuB5f13sdc/XIw2CI9WpLlnDM5rIzDXQRj2OsFcQnSdQL7f8WKaJEZny1u7gzcf3HQaMMT5YOR/rrj9ghAwfYKKUzgclLcXMTFnLqRK3Z35zpa2vScO3F+6DPfOfmP362k2kdosfWV7MVyQqoVCsSUFljoiXblVlqXcmLliJMAcvYFd9xWyP3DaiUtTheqv8zWM4lipj4BOV7Zam30peeX5tnR2bMLGPOfjfPLLFp7r+lJgFr3cQA462mEBwW991hsJLp0zbuMhU9wvMi97JYZAAYGTPcsibJKpuZkKiIDsZ4L7Pyj+JFsOKMrIdF9ljE5CJNcL/bY6HDoiWk9WaBvt8w3kTXxUfo4s+TVsP6jfA7rAuF8Ocm0rpWlKIiyPuE6ti3XZlhufLBdPEzepw+FGFeS3Snp3aD/6avl966x2jnta7MX+sdhLkL3S99N/OUWiETaFliBv2f0nyXhxR2cxG0DoBoTbiYkt7W9VJHpFg5zp1RzLrnN6qJtARGwSgJKxF6WFcRp89Nmr5JBfhPKiNbjyrMvkQIw1ru9vtbve9tVdF875Wu3Sv6XsUllUNHZxrIktPO6erHSWYWV7VL8kupISnHhKY2h0524+2WixQGJ2gKpZNzK44vXcxiccKOkrbP0WROJT7kRCsSYGKLD0X3+vUXRsLAa4WBrIwsCBf75zjBVQf0UGrs3pOUYYUoWfTJSb873zM1NQZ1RaVAXQgI5wEoiVMq839l4GJ5kvSa3tb6XuTjEvzrLtlU6EfT6V8yUbmA33clsSLbvDIkWrhDSmLdCkXA2VMmbuWOiWaRTi9fY0XADbAu1kECo2nnJ2yVje3/yKFBHs/f5RUTrwtfzlrZSlMXW8RDQIzyDDLjPlwAcizRd0k9NyqgCENNo7f8OrGhjmP9xMLw+UmtbXb4pxSTkQw5u20sO7AgoposbigL74QfbXnmM9RzJJA9bMMLt4G0oQAh0en7Oogyokuw+znxswqubDT3/jmHXamuVdhb9Q+ISFIWHGaL274z4YVWdPn/Dv+HP+0cQPJc21RgKVwy8/vIwrcXNhQyDXCsQ2+cYQohhkcCoscdICGWUXGgTvh+ti5fmgZg2Rok50MhGOrm8LHm+wf15iJV+WoMxmlN1kjW2YIPqfqenNmQK9XCcFDR7JMTFaKhTTTySXV/TBjcZPc4JdiPh6ZURi2UO84b52WLL6AnN4N5a+57c6zmii/3XH7ubDbxcOrJB7SaBrRJrP3Wx9DJwxtY6BsYBfLbfIygk2aiSOQvEmwOjt3sdIlnVGiXvQk40nQMZEQv0zCdyBvK6qLmpB0t9I4ysvLa6MxxeVjmoPiBUjViz2dyha66qnz7AmFA6jfMskkKuKBC7x709vzwkBZG9HbahDUQphwionkFvtEvYl7MOpmhMbqGDy1Tp4eTVJKw/EsOm8UW0XjDw/OHk8wgikI0GwbH6j/uLnP/QrHRYdqArfwPAm3Sr3v5QfOHFZ7Zv5vTjEyB+3hjxVjYYn/ai6CtT8beRsR9VeCNHzK4vMWBZ1tL8x7wdkdBK3zTtKi+/O+Twv5qRJN5svPmanYYnqlPWLac6MWLYvix0BzA4sXeRJTlHI0iss296nlfFmfnzH/ErUJQO/TrVx67NXpsITsRanfKARZG+owUtI18fc+WXjoyeMJLEJFNYMtPWSA8oDoa6HH+n90OTgb8YXnlv/QQBr4NVlc7ub1vngjgkJwsWfgZdVSd4Aq6GZdl5UaEG6Mga06/LZaz5JKW0GrL7J4dzfNhn/pYKjVfXYvCWEjSYhOyCK0TW7CZ8JkUADDGPlSwR8c+BuvFlY42rbbWK5SMz+WRWKeV7bJWhTnnCP07f5ieMJkyVg+U/QbxcQS7eoy8fkhzi/4mgHTJmSIlMQ39o33dAHe1Lw4/AATqbb0KWCDbVgb1C8GpChvH19zqh/S93ETQxsU4j1ljSOZi916x5b1Io5UefmRqKUy3SagV2b4SJmoQ2I/AW9U3fjDXlzxK6mVdmrFw3Woza8XQnwn0d7knChzRDpFLQfetGqQx0wluHgY45uGTYE59plYqmgMY7V9HDwAfex1woZ3bbXSvCJiLrFqS9XKI/PmxBUun9Alqdp7RUbU3Ry6fbDcaGJJfVYqiWwJQgQUDrWQM/7KWQeoOk6iIjILeqdaerK1DopKnNipSjPBuRvVS0I59G+r9AMzb4+ObNgv45NQb55AxZJAJqIeKt3uM4WGKxZbKD+yLZeJgVq3MYG+Ccxy9oKfe3SjO0i7MlH3/xhgdNaYeBThE0Lqhj1TKGCt5qoZiIqXYZ7rRi53xboWRR95Y13Pk2ESpJYNrwHsRuZTSkmVzLFBJ48ZJoIMd4kO8hOW/Hw5J/oHOHKAqTBqpbpJr7FcYhWmxzdyL32Du4APjY4SHrrhfuD6e7hV54dxCnbEYoUOLa/FItbntSpbl3qIG7Y3UHrYosL0KqOtzJMqq4IUsNAe7qhW5fd4oZOGDZ4TU12cTvJfiFuDODP2DuDRXXJL3GT/uMzTcgHsCWsyQ48jtDUgsTDfHnPulLAP7GrtllIT+9L8g+mtuCv7rh598zT/IiB/AAq/O60uKbCzt4TpYGvHouzqYBjUbUvGC9K3QyN1lqmv5LF5h2wLRfRBvYNWC2qN8SeLNUxdfY8hTccLUTIXdl1IOS10Xr5SZBj05Xtw+j+I5ij+ZpdAsEemf3G4L7Ba+Cc6KE/xnua4iaCjSpVvwZ/+jkpoDXP4ihXmUgYqjP8Ep7g0pVDMldlt4gKo3i3xUTHdFR8fv8J9HhXy4o1h1B7a+GyWL/5tlVq0t4jYNPbHwpX+BIEe87Gur1oc4hub7+sgYXZts5woXyWhehSfnJ6fotwgCDXRz0ZzkiyL/6jMG0hTPEOMhooG2ImbwmsCNRFezvgWI8XeXfwmu30DFSUfviTISiMtFII3vPXANE7tJts2rYWHTuie1zmXy9clpZIy1aZHj17uk4qd6uMI4CgdTIcT3PW5XKv2TSgdVvN/Rhut1QAQYP11sLmfcWcdlweRvEClh6xnU5/cn0m4nynCXkfL+95OaprtE0oVx3igqHRWGFaI6lEgnqsDRNOsn87gg8yV69wp2BTUf8O6vmnnPTX4cWo7sRssjkWUHNKHw8QHRsEymfWYsqFok1cl85iDupBCyL3iIUXmyl9S6o4ueGZmczm+VrG9UdFpAuria/ncAu4WyEBY/1O1WmKCQg7rJhg8VY/ABwFoceeX/FciBwsSpgY8XgciciXYNl+evh3eK/Lp6dy+10zKUJgAYkOGzaDJt8chTgKEYTxyrHbZfAoPjRBS5zXczUOzp9ejU5xkw06wtwODitWijDh2ncAOCy2RgAsOltUj2P4JL1QaqooNmQ/EbEo4sE5QmoKUuGaHtxY8VOKpSlgObqyCZt4YNym63n61acQijSvBXDJViyghSvL5V3zQ4B4SXXHZbY9G2tvtHiNiQGgC2zuQRAw1dLZHakceSec7NaUSo3xIWXHWEfserU74SkVFVdYrlajaa8BMuYYoEuQqK380DzdE98RTvV6XbY9pkKvnFxalO1KgdjQHgDnvlC8XVm1ypEhv3pzsUv6uu0kEuudNEhQxUy+Mrtm4kNbXc0BvHTX41y5xOKuA5g/Gy2aUWgcKbGtqLEI7XdEEDfLLDS6Em5SqMv7iTs6fXXREBbQefwAGVF/WeRnsvo47vvaNhMXvb7z0QodUZjlX1am0RPW47OwNmqvNB8JgWoiDMX7lX</t>
  </si>
  <si>
    <t>wVDjAE5HbkyKEAfY0Ga3RmpslkIM4qDf7QEwhmUMFdscQchRq9DuyZI2+rPEW7gBYETQdUW5QlEzyBBl8QaE61xV/7aSpvQ6NVhSZYc0NT1lHBBqEA5CFGVeo4inWQqCdyFa11y1kRL2maAptoLS7h1YSdjdwa9a8IeKZXuro2CHvOQyvg7ixQYgWzx2Rnow80Pjn0qCWsltoAllXiRvh3eMeujM/vxnhSGGZx9AonXWID8nK7pTY+UeVXacJyjAtXjfUclABUgensJ4MkXvmiTc43wP49b+eXFyAXeu1KFpfjcWrCySqdM6doJtHhqsGs5HtrVAhreMJOc40QW+yr3Nme0ItdVFdaqtl3MyKKal/1L7D3E2tKCfVkwsO2z18CYdhSJaCaL/+wZyEoqA2ryE4FOByO9N4pW1iTYBMPYt9wEaOPLHVw4u/D8VakLUCwx8yVcutTVVoXlW5og8YMcnKVg8uwFQBCnBBin+NHLoeykU0YxZVLUYjrjAdvDEXm/Wmua6VuwJmoCPeonbB6zW9A1Djb+bvekxW7RUVrxUfRSEmUe4pZavZbyiODvClzcE6I1gSyQ1H+5v38qy81nTgdBLjMIdSFJyLlojW7e+9yLOL/euZePX0nyYP7/AUTZk8TUn79TXPlTEClYrThWE9qmI8vF/VWX7j5nwFD1UF0XfntUKR0QR7xbYJH35tJsqX3FVTLHJN4Zpn3YSWXdZJwF4P1Ins60/ScYAGd7W88XFgNX4aQyB8svinYooZ1wnXYDxdW7dV8rU3ukSapj8KUhBznkD8LkmTX2s81nCMksaGz+n3yjsf02pZ8hdZkSN0Ejc4JRsyIN0Te/BtsvkRYjv1+tNAzTK/aafGIfyEcW1MwBe298UkkMANibdalifMmR5o2AfNYPSyCytiNLJIb3Byv9EGvD3yWmqKuOffnZvSHjapuJ9LvM0NilrX9Yb/Niw+yGeMupGODqDZa7AQBvJIqIqHypuoGBGyRoa5BkTpQBCp9CHbrsdFnmb2BCAeVCh8gfnhbagtLQgBvMj9iHOes4k+0ykf9QIScYQqtW5SQ4CthYkZ8/xcNpW0c+yIYqunb3H3Ixe4Gfbm6ciRcSmof9Gu5atWK9uAUvhN9uZTF5Y1AEsYn93sRJzLzZT21XXmIuuRv1EOmLXaweKu8qZy2pNb3sQTIdGfVZeaN9zvw3JooIqw1zYV6toYHjwyy/j820XkxHlOuoEe1HGH+G7dFoMlVS2z6oCrJ4Ipl+HFDWSnYFuA3DYQ4+8TtX4fM9LnJxrofacE21vJ1BTbDiO2hJgXtJjdlSwXILqbKE/HtsbXfcLJ6v7u9ADWdVDWTM8mqSqvOoBfFSiojjCRz4dRciq3pHej+JFhTh7fMjAxMNLP7TxuavCVWMZGpTZqZDoeFtNn+dUfAzLGP4iMNPJ+qR/J2sRvLP9cnhvMis1slFMfbs2rTnnnKcHf6j5rfYv9DQyWzfuTW6fSQsik7eR0ngt4j8W+P+bWQTjXRqsAtsHtOOEWHfNanmeksW7C7Gjh31SwBIWaZVJpO5zy/QHrckGB86pGHeuu3qkFJ2eW8KMfPCcxsnVudXbDOZ/zEUYdwXQuFCA6xbtA5a9vEgpsIrqJcMZv3i6jFsyI3ff5zWBotPvsQNee+2X2KgZHeBkjag4qtkdPUmV92x/uigNd+6sCROlMQplE0wOXn459OE42XLuRdqsQAc1M5QvZG/x+BeDxQTaVEau5htLkplbbeAY8HH6JRloLQDPrcQTCmDGTV6D5Fo+hHxGf+ByWWy3Jm0DoSzRZ7jd7ZSex0NxfLpJl3vhOglgid2ia4d7pBp3B2qMTKIJ2KiVAWZppodxpwPDROHMDc0AjaLinHfVOR1JmO7X21gDGypsSkZApIPH/fs3j6/hXso8BNrOonOh1zwHoIMWixqxT9Isgysu5iHmOyioxJg2Q79VCncVg4hvX5ozFBcGUzkCexEr5gMjFO6oHoAVzHao1nR+9tNRMxYAeScAC97ZXKAu98FDZWWtgSCDT6czz7JANnDv9ZoAqfkpmJY31ov+BX9NIIoPcZ/O7h4NYZyuLSJ04C5NyRdNyjkgKdDL2NWkcqGtonsBdGZcgpyas7fdMP6y8pQO1T9CXpy0Nkc1pd1sa2iJV3/QXHHzi+pOi/MlT99i+uNk2H9+QgYwon6nByTRnYdnJviJpP5hC3hybVbRoU8+5ZtaLz3uHGBOAO7Hooe7Cpy1tdL/QIf6gNR4CtA+SgmUZEeyPe+UVeYeiV06q6RBzw9oRjB+F1AlodqAvp3fdInDejUyT1nLYfwlkZEdGK4qyI/DgA4b1sflkFucTTZeiWRvYuc4grKLw62NmY1AF+JNvU1zkVgpAx0yuTk+hSmsNS/foxq7HKPrLUJYTvFpN/06Ecwe84Xyq0Y8p7ng8pyrjkCyracj9dVeHzoPMgIXbw528XbvjqIzy5UfNygVTauW4SrQhVRMom2SlhlNY6oKGPzEGPAyjsEDBWptrujmSofqR7MOm7xIYwWJ100URpXantD8m6bGSzYmYvQMETP4+dRvKxLARYvP9I8Fq3bF8lRwulACm1X2MDDb+DmY03xIqf8iB8l4ImpMg9hXyJcB6fefgWh2Qm6Cu8h6kdPjKobxlda5swcEnIqD8A7KF7mBgbEieYZtU1oEDza7XSbQMSDrv4FLSmebP8hoo2pFmGZP312nB7JYlisCAFSHU9l8dpTeWJYvqc1RZsGapAycxApRZdJ/mfCObZ+okaeLGA3cYFqdwcvI837nd5ymMCNvhRAV6dyI861v6f6l5cHdep36sooaUOSfr9voWFnevpt7t3iVWvaQAYe2PgkS5cAdpwssUIU8groadof8qzH3hAgK7QRQDVBw514vICPfId9NhrTVl+xsZEE2daiCzqzQa4YcYdKiNS26menFGVvcWYIsK6LsH2koviX1aVvQYdM+xQB+LrHfIom6KyIzmkZUVG04OGgigHPCBQYCA9LpZuVAUl8BIxvsIwyz2ZRlNk8decagtcOuSLKf0o2UBj3er467WIGWOxHQmdbSrGRJOtxXH5SzGnRGJMTRSq4viL8nG9GdZilZJQ2dveuyKambqZchX/eH0oVF/ifKc6nead+hDKzrfM8uuHJSjZhuOxt6fuVjSxio7kJyMrX0YALA4mOjm9TaPfXDXUEFiZSU+CFJhKvx+9RDTJCUZK0tstAktE9/C0AWg3RfioQIroyP7I2r0om0lNVb+XAHwqUuTcGGEbRsVMD9H1PfFfaDHSOTp/WeB222cL8kv1pOTG5CT9yegUXIGUp60iTgz+z7cYmPP0MqaEnrujw5Y5m/5cCqgrUttUikQW/ntQDXQm+quVzn0B0h6gimOG+It88Vwg5EmdhoZ75XcDU1OyFRXr7W4fGEhEuup8AmLmSyhKeJ+iLJG5I5V0Iw5p+KpIKS4CFRAKAJ8Csb4mEwkBDBGfuHRUFhlRKZb9Sg0VfX1Wtqw/qTIoaiZ6MQcCN2oi7qyKfrH4tsFtyG9w4gcZ/hDJhjseVhC9sLF+wUeNekiu2dWJzV3QWsP8JCbX5YnjuN0wEJx2vhUL+bYSwDDNueWsUsbpmGAeAxqiV9ha1kEp75H9YX8atzmTnVqhXgRXH7DaS/JDdRh04B4FF7pM7SHa8VXjeohGDy8AIAn8RIQRZqYqKoz/Ip6x5cKwnoLO00k7/QIFJyIf/JLAVB0D23m+JjshhUkVJNplfnmLyA8RVWDjlxJFRaxaEYlHXpuTTIqxMr3KiHREm8UODse4/qTkOAiTQ0oWYuUbhyP+ASF7zJZsay03ESreFXte2mlNR5gGvNQj44SwPZrrmvwHu4emk/n1pQigdArhvBLvTsxuc9lA3jly0OsST62a2LdQDv4K+l7y6UbrgBgQ2pb6v0IIzW74S15GHGA+Dq8YuIhFs0LPk3c4MkPNWJ9eYtTObMs9jI0mIy9GudUTLZRzO8scp+LSPdU2QjD48ESaBjbpZNn57JwTfYBJWRGRBPIdTThSP603ZNebP1cGrZ67HohMA9aZSxjYqsTRLon9dlvnZKhAeM4dCQT7ipX7Qe19kHqhsnUzr3H1OD7A//I5fI6IgbEef5cBwyw6i72Zh+qof1s3Ek3hfTT8hY/rCJXq/FSjvU1B6LAnrkqCsnMwHXKJCJaEGs6zWiMu3o4mcPhOxVEBsxC5B+flsTqRc4JWgbVnFLc7kTXKgXY9D2O6kWepE+yHEc2Ixqyz4BjeI28fpqBEiUcUDGAmO/NMek0W43AONBoeftbfXsU0HkRSsjWIG0De2rCsDMeWO47nIn6FQjfND5HsYPFH7hJ7DWg7c+D7vT+O2FvuZLClX07R59GG8UP7H3GLoHbons17AknJh08Yyui9ZNPPGz9G0532CNypANDkcfXA1GdAF582Obk5yiL9Ar1k+LHGGa79Q8vNRF0RkPDURSci9DT+71+8fG/7b8Ve80XQIqSm2G/wSvtCCLOwfsRGX9rbb/1tYcfSS6Km1UqY8nenWH9be6hIReKlFG2b5dzFZvBVGxwBeveOvWUfvzRnfcFYq0cCI+Qzqs3rJrCoFb6KryQDh+VrelKVtn4rKssJsAVIjyyxo8ReNP53ceHRNvFbJkF6fOsT4020aqkr29A5KzwysSQ89WLjPeZ5bWiB5kBgAkHpMKKyKVwIS0uqrVGtS16OkwtzzOL2xK71YyTGKi0+++sBr2/0+2W01gb3zeUT9NntogJ6CCEEqP8+Y5JU/kAnh8Ex0kt7z2p873dvaRETdxzXOais75Jf5Uhi4uTNSx0gMesZ9yMEgJz8f+ovMB61Qnkx7NEE+/KTZdqf7fvbgnxI/4/fU/604Nc6T5fczQTYmCwBQt/sMHgfC4XtkPOWKw8Ekhd+rBQ/Edu6ywHMDuilFcnrgRbwxg3Ze4wRfKV0SVzp/FmTibWMDrvEVjv4BPxCe1C22f+Zo7EE99bAWtaRyxlfbmKPNBEKzZxsymwK/baoIkszSLC2KkndFKYX5iY1kyF9YzuP0mVrZ0NzZeFqY2BO8ZlvxTjVYawyPeH7Sh6SgGoMOilstOPvJRw8avUgMOgh+hglIDd3PDLz7/sgW28QN/isTuRRzAqaHY7u52YAAnq8pbRyxdGGaty9W7RQbwFrwZPBPZHTMa6j6RQf4FMYOPS0CtUPkDwcapeDVfyJmN76fLEERSnfYS53ekWivpjoHCd1VjHeYXPmdcZrnNWzfk30AcUiW8uJAMIp/fiDZQcBJVhTUHs3PlXAXyCz8cQyIH4hWsODCV1UOkl9ytbrRN5kITAHrev88ducB7xoB8/wcUnfiPclZJguol+eTGxz/2AS2cQP+cyTLOjrig9YrEgBT2SHXVorL9Qj5UXmoYFEIOgWIYoyrbhKF+Jkl+88YrCw39MCoW6qpijrg7iRvqK1EmvIUZRXTGJaW9Ztf78ZEZ6tbeSmtCd7PC/SdBV7knqosTSi/iqRuZiyOfSrK74GZvEr1Dtl8GdS4qZtJfKwz6TFxiO3/z34cDCCOeWTSUcWKnvqugreFZGVIjd/I6A7DO3TQeGpnYPzP3AYvjEI/S+Xh9RTzsPqhYNVyBaqO2N5fX3LTsqCks8AMyNJ+J6XaVr5wim6PPcPaptOzT6lRvc85hE6E7nJHKS25mCb6E7SMbgLlLQ9inLIM40DBaGsKcYzeUTDz4X1xrTfcObh/kp90VPFNeCD2UT82SQ/xHQRRJvZSfnYwomsNv1jEDNpyF75EGg0t4c9tAPSol62oBku8wzdJY3njghPzZmVOnv/TTRTcjBtfWQRk3sfnsh+QSCupZr7c8xgAUu3rYn7mVddHbXvCDe/TCzYjnI/2GLYw/HitL3uWu6Es6M/bxfO9XQdLWdKTnZbAud6kwq3m5Xua5jgOW7yek0qQXMDknVYRczVufVOQ6xj56rSh1NrCxTFN0FE8UWj5IQmof47+BTrmron7QEZdneahn1LOpG0jRwwBPzOU60908o+LItqOYmHGJZcC+aiucqh/VmIAEAbafIsrHGHSbnqmbBAyTlX8NUrM50EtEuzzVLc/BERzHmQv1ov3k7aHTw3YVv5fXb4JRXoE00+cu7Tmnuw+X3O1UzP/4gFIXcL1h3SK8YV6iBb9bKX6ztu8E2st28LXpfZYQNY4soUDv5HwJ8w5jfceCwYnn2jUJKA9rngjzRPnJO1BwlaAb8u8LNk1Tx5YXlkY59g+GRrlEJz7k3KtbvrRdwX24obEQLLSE0yKcTTchMTzwv7tGdve7sUne0u8kL0I2086jf84pFVeuABjBoKYIt6D8Uc9LN9PGEtULgAobeTpqPI4Q6JSa0WV+/LK2hpWoc5fvuQcLZmkcaw0qzAICrJ2GhzS/GV65XUgo4KCLrzTtFaplGxDATEqVMeFOEPrdrRpEbaEsKffwj3en55ihM9rTEK14PLJTlTmHZ2oPDE36aqQwUUfENswr98EjK7ndzUiNmycraXIpzYzD0VKGYH1J8o4/S/z546P/q+FHM1Nb9l/NZSSCDM9xUEXr7IbQuGg+wEBGjWd/d3sdzsrqLghmV/agyOIx8T6uKGQQewVb5/m5G+wksTZ2lORK6juR0hzdKT/XkQXMQLvPMZ6KPuF+KU8Z2fUtqDsUOn2Vy7nP0kE7bojBcnxJPmTgP806iKIZ2wkKgxUTLEjDuyeswotrPo5kTdfKmAh9OhFWkAjKcMgvbCgpPr9nMsgTzpoCW9LxUEJ4tA1DFrFDPncf5+eXoV/ZXA2AWLmIDfGqX7YVFzxV9UcAB/y+SL+MQJ68MOKHDITUJ6MlLC+HqaOREaFEE+KDtGaam7lnzuwv62oo7DI7H1OKR+6DBbQcdj8JGP344EdSeVCAE2HHeWezBXUyNndldQH43UQSLOV/faq0z2X57hAfkQKaCe+JQ90klOBKSoEC5B/NC2mPN8w91v1cTs/zxZbC/dAebLQ3+erxvMmZsxXx6AzktVZwaY9TDoDyoV9xU6AdaS7OVzQ1kYZZRh1ci1BGJDwAhVeG5Py4faQgGUNe08GZjAizbPuA+50Q9fnSQlqyTmxHpGYluY65PefN867rAG0ljdYVqKUD34hgd6uQy7xpBBYjhCFoL0ADJPjy82DB/Ccm3ZG34A7IU1a5KgJFs3A99UblIVzMLppv70+gZBZHfhz4GkwLbyNIcfzDtVZSLsFwcsxHyggqatbnJb6YlqYzopgXiUKl4luYB65q6qqFeWkqchUg2D2v22WMeTmUIw4Q5IhueUVxzAdNgENYauaQhpDPLNeeGNOU2C4qSo02NAPMCb0K4i+AIEa4TRjoRws5JVcO5PVnHNmozQDZUlKiqYxwJqgUo2PcUTVyldYe1xyEjKEzMF592MHu5pKRKy7TXWFd4S77mGPVY5L+CNg/CsFihCEFNxSbMviM8TYzxawDjfGpBMz06xewbFQ2/pg6tKQYij1MlegFuPOr2VCNBZr4mfQFh7eg5COO70GarcAlH08c/q8rJxh3ZrApW0Ky2rLfyvUNfmkUFLP+rz1lALwTF/KRX9dACFQ4EzjDM0Wlh5cN+Rhnsdf6JT1sWnSnw8rYQnpYoRBKDa54bAjZEFvzerO+6h30JnreB4ohkKJ3pWxKWhWbUwlyxi6aYWRY9ZK7VjsVORSD53yFQI76svnydXi+GX9xWbmTYrXC+71m0QqsWwPhs4upaD/vvb7JB1PTbG6d2KmGUQyehlhiW4gx54pMMNbuUb3lIp3YBog/VPr2mljLpAo4w9IkQlKxlFmMZo7tn3zqgE9/efzPIs0Xn2NmWknsSSNqnklDvIwUNIeH76ss0sJTauqMXRDH8PGtlj8MCNS6gcvzlVaEcDDBc1UKUUoB2orbOskO+ylm9iJ2BjG/JnsofzXOCSHPc55tNuASNFF2MGUZ1RuhNqyjTWdPDTBeWvOLgqgbkkwy6c4GQti1YGHEo5gr/H7VUm4YZWYsdEUSXm0wrmYRMXZNoIs1yKs2m66XderzcoqNWktTMkidgq4x20e+vtzId6gGKuRsWUTcgfLQATsU8r4wyn1sxmoXOHgSLWPxeTS6pWHvYYao9NeDc3u0fWLFWm0EYic8a7bgSp4CQNQ36uZdGhn52uuK4O09+siZTTloBv5dM0y4wxjTz9pl9cvJybqdbK3w1x3JmCP/FnQTMlYegOaaV+F65Igay1TLlaYeYbDvro90lZBq3bx42MPDraZ9Cbdb7DwTcBgvRq/NIokyUpihkfzk8u47Te+/XA0eCTMn65E4GkAygbQj5/BOaY1chXEFoD8S9C5JezQZR2cmlNp+AnHMgcxDP9gVfDYYs0yz42L918PeIwpB4zUtAEASwueJra2HSfxchNpsh2mSShCbSC8d6VXpcjXouwUNwoIdNejwXMXfqK1g6dJ1W54I5jO1KtC/5Z/W+vMeRUcK58hOwjU3j5u6UZRtiNcLgys/7zakXoE6oB2OvvlEWpPYY93Lq0tVW09sSktETxoPKTNjRGPfZcC/qobKt/4c2dMVXW59RtxipSrfinm/XBJyUV6kxlhalzbUgYzxY0SyptALKQ5aCsez4hhMR8ANqra+KvRZt8FT9vNW56xNvSjqFVUJTx/6HZoWcIp0AFPCcqW04ffxmmEnpQ+5jEyaojtnNiGKLrhfrU25ldIVxBFKTw3Rl8hYRkvpCuT3HO4VraavjpuHS4+qn8/2QDwAjx4ZXhrsljnuTW9/Riv75hlV9FOzHvb/dS80w0lZ9U5R6beNugRibQ10OIb+nCLotrhm7hbSeEyK53/5GWGcD1BgFFFjSjMHitrdUgZRKnLzrc8GcufJD6Bawa5NV93yl2JF0KSbLbzZnxOoSfgpehoO2wpR8WKJ7IlaakdzxnuT4ytGotUxYqsB4Wqb3UKzBvBegWU3CAXr5q1o1xzYoW2bWEwyM3KczAdXVDX7i1Wv0/pehGYW2FNTK+GTzwhYIgXbVPSj3siUUy4WM3ut0/eulCFfVUabTdr4eNn5LmIY4J+c6/zsYuXY6yoD74TLnGnVetlTnAI97pcMf5JOXc0EBkR/hYwYeYFlSS2af9HMdhtQDK1ynK8dMU+ytS5LUGbYpCteY8SDXK2u9xFG7dlmtxjl4KDp4Adjam/YsIuVWruFM78UdZXQowlhnU+oADpIQ2MzMSAOT6Lc0RPmX5FJ1MEEeHoB0H9xFsuoVyzwVIS8juYGzK4RcwX4ASTHkCO13Unxyc/5FXsziHolcCZmUKTn/teaIMKNRB69my2elo/yPrPkGQZRrK0VfeeHsnvRmtgyp/rWtcFRmDSly3DAI+JrFosHK4mdjMjQjdGlli3VkJqI9CFpJuOT5ccL4PwVhpyIH6BblMcoUqHxV7qKJfDB2aLtz3KW5kzdFQq03Mfqd7wvMisdpNdrm9DpzgIPRJe38o050js7AWXld3yJjVUl5UumeAZbgWiMRKqjVFCycrJXQ7TXRRp8y7WyFi6gC0LqMbKNks8cGmP++kzYWp60FJKloL6YzsdBpboVUZ3WWid6xkwzyCh7xpch99upra8OFetPbNKHd800+FKqWKqqjM4kaIWqwiRGD3tFI+j0WS/KYJH+MxgK795F51M2PRQtcije8bwuMKWPkN1dBSqG6Xfpd0Hw7puFMBnlLyxPHJxauHkWDtv3zYncTCKza12Ymn4dHE50UFa7mePklO66vvcYrwGXjskkIJWSPns6rGmsdt41rZ9ZhbLZIdaiIV2U+869LZ1shrNb8riFvhwIUX09CL6PAn802HF9rORIdwcnZqCVJpLRsuT0t3VOAHQ9P+1lFWdB3T5QZALoUOdaCp64GKSk5/TUGHJqPh2tI+H2v1QnVvhJP5ZLKxE5ogJ+ANFz0R31e9kokbMcUhpDPM2+VMfliymk7m/KGRfTVJomGgQvU5hmMnBEJWAAIsZ+TQWhJNsqUu8Li9FT2UrLgiBzjO4bSfuq6+bSiy+mbtc29HibNj6rmGclroYeX3W8MkunkfQA3awXfZHenAfnI38YtqP8609mAdcIhEcMQHn6TdOS3cAD8KPp36ctk4aGzBVeAjo7O+73jxrTwsMHHapMF0ia6gX5dZdAgmwpyaPDPuftbLUsivJZbGiLXHKtOhB6kAgclnQt3FOrKC7Zfkz2QlROqKsD0YAdkwvkTUWtprXbqNm4h4wtWojJj39zjwiYgeJrGFP38o9ZAOj0xQRPc25vX1GzV4pv2LqS0Mw8KqvN8mE2mAGpcfqNC8SKWT6h1E0A2SFtYsKqCYBuYyciFW0F6k21JYF+pxUuCUbWUX+nV9G7ZZQE1Bi7P+JcfJnNy8T6cP49HNt54k84DKl0jSRYXVeAaX0OzSAn8Qgiv6bQ54Quu2EmXH4QwuEh1MvK0bRbd9e6x4r13EGnFQRJbTk8sQbxl8GX6SEEeyVK0N5GhXkGaULbqBATQS0mATFqKGoCgWvR1f3y874l9oJSlcKLXKUd86iCTvfan46VO1x1IDF4sSivNzI5cAHNP736Qv0+nR4XEaizi3VZ60SJ7PXns8y1riaN4U+vOmT11Zue5h53YAoSya+mJgkYf+2gqiGH1uP09fjBmRb0GVYUs6RHuZspRsPbTSbzCCWGaz140m3l0Q1wKGAg6VoGV5rc1hWmcd3cJLRaZf1XosCYUjtOlC3uaWCfqKXzL336eFfYj9NkPc/A0mCpB95md5fAnfO7zshcpLkuhY9qjM+f8OF/CogEy8R+TIredpT1X7PuXPl2L3tDeOBr+3llpWMM93A7MWUOyj6B/idrgA9x5f2aa/gtqmaV3Cp5VnPOwjkOnBFql1wMNa7h4+5z5YMYbdfrYjVd1hDaZ/ljpg/w+4149sx5+ykRxBsX1L0foJWQMWqHbUPZMRoC4f1OF8yp+6rA/JwYNpSDkciWlerCooP3jjm4/DkqLvf10j/2g1J+Sdse4uCvuZ1014ItItdE1nRPXvom6LgscUqY0h5yTBcZhTrZbOD3OHv+y4Zkw/Q+NtXE4QoWw3LZXt9te4QzqlJm2851r4kiwqzH+HmXQfognkLNufR9J609JOfrdaX+lkh0eM7xYNv9Jl8ECvLk03OqPwWsI/JNB/M6zOuEma2AiZnAwddmHR6OpNuK07+VDUM6rwIwnmGfpps9JpfkmlsjXlsbiHFIi1xA30phDQL7wHOFNHMjFDQrWzTpdrYJ3wBgf46Hah6xK+cWBaJiHpllVfROLlqLMxsvbjXbfeBq/rBRZfw15i/icaGhs1Qjf+P/NT4jSxhJKmABr3sbMN/zjKpoG+Mk33dwAwNSHO51snWhmTjUjLiVxBKiY1RRJg4AjZ1QpnriGJ8ANKFMpChJwJSLLYqc15M3lF1zJZPN+nEfiXjS/KIRVHneqR7sKwgSNoTV1Imd79L6VQDUbNjFXPLeaYziY4rzaFTG+URUWHUjU+ycmmpb28bKATy7q6LpbvRF5dX0zClIVOKH3pSauzspQfqzLAzNt85/moOmD/cKfmME1SxVzlXS18TRU4CjwIujnK74azRtGgnJlxTGGIdMXAd+Efe6OUkkj1PmXkeMuZyB+VLnXC45jc6CkEtUIFujZDVSdutTUWfD8QkAMc3hbKA845IxwZoN4PuVOhxJ3dvDG7PV3DhsS85sEYOu4OfN4k6VrZrOdwV/UTVU3G6MwK0NZXRjg77ryUH9Ml7u78wqsVHlLsbBc8Wpu8R/STK9LtWwwxYIFMyoaNuuUsZcfUKpY8bm9OxRhDO6ejofHcZzy+PwqvjF9bb9IkkOwRC1kCUXbCwiVu3v1niW/hH965xR9OKDT3q4UpZcSie6ExPWpS6FPyT0PKl36q5zR1k/PrfLDLmfXYAHmSFVD3Te9eTmjvwDdYaaw5jzgE9x6vCe3zV7uHaU57vLY1Ej06Q2uIv4lv2pkMEb4K5nBwI7nlGnOiqn8N8Pf6X2wkpfUzRwDjBDM7Nd5PLHdVn16IEz+1KVXng0h/VbM1tD+s2QEjCCsJlQT4y6lfRYfAOqmzgzAaLynPJn1jb28q3LoXfaQVob/k100vOSpeIAF/L9lTCDOxZMCvLRVvDq3eFg2gQHZG5aZ+KanstynD3+UNrLrd0yGisCOltrYVUaeVIkmrPnBj7fibeE5ZzMJPepYv/2d+xzXDqwPTHcL3Jjp3Nc5R7e/NbZec7n9TPOvurpWqY5VgEBVgyBa6QkKqZMk+DaVucHNR1A/+YSlAbtgiwV2DwWrsUSDWIhb9PZ402brTY/LrKOx6zh565zFzAgKGPp1hRpJltuzPjLqItt6xGxdx92PFQzbEZW449bF23Rny9mbqSYC/HiRp2g3LcLzuNcsFqLvxAEpL2nEwviQZW4mDQVnMziVE/cG6H3yo1QGbUW3jWRN8pRy+TpfgGtTQk18sGpuYjKmy96mVEJGGw3GW9Jd+gRNwNdeeH1Iu+ZluV5EXm+CtvEcZF3pkmxroafDKS/DBj6Fo6rh+Wi00eJ2ht9UKTPhjXsDnM0QRG7vLrZXjbxL6A1kQAjIyQXPwgZoyTGEf6wKcJD18RE/3Mf01IKPvfeSm1IjpDZ0tAHuDEiyvorWp0rzyVoOGnLj1a7rr+Z0tpa99i9p0ag4zfY1DdCNjeQ9gW4l0X3ZnKbTIagd+N3UoTW801EzZyf5XWZD7VdmwSo1OUqh+QO7iZFMJ006EaG4zbug512/uUTOmard9KXpbOlaKvzsRke75fH1ME20ENV8Qdmd/2oDa5pmScURq8/fBNxQoUAV7rwaH+heuhSkCBiJwV1OwtJb4ipqsYqftRPgD1M1rV8uvd9q01HeBy5fUB2fR46jnInWI2zr5LSFNZyDVRlKeMl9XXXJzPcYeNaMhSGeI92DYl5VcBtKbtM/mEAzWcqGQc1KiFGiCFNJVjQlX92ObUgEv6gj1EcKk1qpBH72nqhmXfVguzCEBJvCA0+ZTf9rrFbIjkJ/1/a+upl8vKbvq97uh+rTkF5ISjIdA3tTG+nRmlUsZnlxZMqw38kZq3B5gxEW4SNqrrGr+/yJ9Cr3tovoq67aR2C2PnBejtwo++bHBI6QPlcoj7Or7UYS9Ialte5/EfLMYKSooHoCSzepbh7adiWD1+oAtWYWMwuEGe0UFLX51OdB2mrNfYimUTj2SIffiVZP3reOAHU+hIyyJfDBi87kYe8pvu24e7IymUw/rhCcY3OS5rzviFRp7tyaKsKqTWCxktM9PP/Ba3vUfYEGIyuYeA8yWZjJi7ASOiDVLjB27bhpYDl2+Twaz7aoug5etsDaG7KWXiUlcRJ+XXEg83ldNjm4dsurgl7/AHktdV8eQg8bcLnnptB+6sojGqQ4u0C63lSZ+FhLQrNwrJQHG5B2cnMSt92IC85b9+aGpJjdHnUVJmjJwQxBXnBbyQbLBjAVXuWyA2QYEizlGVWzUV08mvkRL8rLdb7TxcaTk5sSeEIpPDILzDimk4g4ZnKJCnzk37SPT1UecB48AHAJxnTUfF+Xncjc2tSxTP3/wlVT8rZ7uTeA0ryEgRNCqWQhaC0skWsCZ25eLhvoagtdwj/8/Xl3gnKi5jnTZO8d5ETPfjkv6Fc9RzECyQ70oueqDOnkYnNxO9QT7OPzmDRzVSwNyJ/59E6AdUpNwfxK30Q6Ug8xL4rVwiXnnPd6KbN2goNCrP87191hu1olO85zQu9HSiesepc5C8Eim/kxWL13p6y1cBM3p0liptQQaLBUED0oDGZQMvHv1SbhHDauwSJ+X6MXOcEX8zo6POk55XHLwK8yYFMEtLbmNLqtKMxpKbVKc0A1wX8JhjVKCE6DLIgj19qumzXGzPBLmc0BmoEP0m0fIY5/TfSFbtjQg3ZbM0U9bYpQtKfCyzcVi94ngqYINQkXMFGX1Usc+Coi3r0xZqQAuGJd97NwnTLnl2iPg0Yby7ImlPLFb/n2kphyotFzAjRzicArNBt+Hve3LHu1OAKfnP40sMVu6TsJEMKkit+hfsgQNY1vADIzQGPM1H8xnKv2yYd83YXnMWe3Fo8YMYoDf4Xd2+2RdHuwPtoOVaZvSJOu0zeQOFIhiqwM0jlFDd50KA79aDklLLEq2vv9it9i91ofCyO9pQgHKNVW9ZBS0GlvDyGtYG/jtOIsD2Zi0PyaykluafAL7cAXaZ1FuOnEnlt6/kwi8nuBlkrUZpBaNEE82kMEmUz4+jE7zLFxvjNJNgEGcoE1Oz9KiVuV2B4KEAG+p5fb01PLt1QO7S3kWpQ4OLTQVhyKEY0KtstotsmBuKwPjv1bfbws4msOAO8Li4rQkGUvQnFmtCJcVcU6gb4MfbOV7dtgyffKlFP34i01ObkDJ2jfKy0Q0iZDJ0DkpmkGoMZVqVdbHo8fJKozvVTxxycF+Ib1UbwdHmeDeMolxJIbAHR6husoRsCa2/xiV+OVVp6oI92A52PWK8pfQBPnxUXh3HruulqDyV4NIq/piY2FpPmklqC5PPQhITxN3DH2suh5fmPmNs9kbA6WwLCIghFyc5lwuYi6xysKY3RyUvf9zJUF9FDV8TdMP9MeQcHp1J1Dl7uzeanPtS2b2fjRC6phL2szxvp/va79akgCEboM32BSSUQB71eNs3n/5CCFwERDSBP88ZUoxqS3oqTzfbE5KPNicppqbMRUpp345MEhAVVht8xkKWcBAX+JGONQqZDNvU1C0d+4xK0sy2dloqUNYFsBYBX53QTTwMTodjZ+0Y9dO9TJNZ6PHLuM0+J84wpWSceWPbEKPVLbLjVJpjoUwx9vgdi6xP/ux40L6AJk3BubIJ7+/s0LZ4GJz2baSRYPoWRpU9ooGYlP1MF6RL9EYk6YfBFcn3ud/oRtKVbnwmiLKVL+qpIooCTAb4RKO5t8CRgFKeL9RJo4gHsRhekdAWhuezAos+IpDacmqcGFJdz7YBg9YPE3SyWUWlCXoCNlzs2isuG2pF+26DWjMxhp+FELk30CR0B3Zl28dc8WqWbYw56DpXPx2yNuKNMZgSb6NITrt5iwkRW8pvdcedKogqhIcujsx1ONDm5OOz8fWW/CE+Rx9gt4zhUk/TaUtgHTrQw9zjkm3pdyaMA/s7dDhVkC0nGXYL5sciAFiBrcheeGqrKLn9xJHKf4FZtUgF1tx8nuM04+XLORpRlotLmbI7cVvCPD7Jg/ZDC6mAWpbSrglgWste+qa42/vCGdh8GVUYzd1cJe6afp5nzprjHQVvJ8aCN3Fhg/guMigkrhMh4cmG3slHjDYjXeSOZ9IYdI2f8/2bDBTF7gTrv+jGEetnLtPBnnF4+upxm4v3h4VUpDHnBNmJHBYU4qGV8xzKPRAo1a20bVrN1R2jhAK4N+8OojJf3I2I65TOU26kAl86NgHmM+vdF9YRvTSAp8Rkj4yCPlKBHVs381M4g6FdtPsHQvQI/saFTaog6MEPEnGq17kDTQ+BIKBRmq3a6K5lNtwcR7z3uqbC934fQi7jsaTiguvfPFQlZrw8Ja7nZTkDQbxOwuhJCA5v21KHCzwjq+r0KbpIicLEG+5NhsWU2d52NEoxdV0rMwssc+D9CEzsfE4VL8sctKbuxPv9CjmP2rN2OIvhgzTw65TCv3BKzxuQI2ScZ2mnK/NecYDeQ4g9uEUcs++jsfI4pwXuHOYP50eKN7yiAS4WQdPYtAZ8+miDTgfbzBRX8JYJQbOGPpsSxH0MU7eyW3Lw0/dSFr71XW97bXVkrkTkNXsVYqPDm1ka20j1GoJomUYUQN8ykzzragem9U1q8TVP6apAuLk6l1MiaYza3H1PYQ9VCcttGCWVKtj/lSvmAb1sgP30s70TMKCs5KU+mPQTx4HVaaqTmkktKUTHsUtLoquGQ0K+a7mwLcNY2/oG68uAVSiHpUmnT44Px1LaQ9Ldc/pMSBwTF5BZ4TPugg01jk2rrwpkNmBNUwpmk2oFzuK1trJ/IJBVnfiZi1aEm1P4qcNsSbqygMIxWfv+K7N0sGUsKp385ub7qRCFknd4DmqIP2wtskkXjvOOvMpt4qK1ye8p6XEd713BAuejP7ZD87i/3m1sg81ha0vqRhKszfDipBGBCq5tVasUh5D1ozxYskCld1x13yj9IhQSkEFyoECRSXEU34uyXWAjPQ9ZJmFm9K8yqaO3uGs6XJ++9I9mtMf/jonzW+Rauc5CPsBZ5S5wlLEP3WzNDZtfE9Y+m8Pzo2rV3cuySlU/Tl+cRtVIfKugX9FLs9fg0de0t9n32GxIoeJrzZrFpN3JxLWYLW/5bAaNBW4Wax7v9KR1TY+BwfOIzEwF1aaJTeD4qWMtqA2BmR7ZyOTb64e044ZgcRgf5NqQVKZc6Se6zyr4T/4UbZzLWS/o0N/r5RxqVadrlMzHYCcOCQ9M9alHvQlQrtTIJ8wAKytFH5WmpR8oToQ/Z2EI9v+aYzTSSpD3s0FwFhrIagzcALWVBzTtupKT8DFp6mdfnLWqSIyKyf2AJGRGcT4GYLBdZnByYV9c/pI70WN+zTTnhcUtn/P2T3Ol4fxfWqQc4KYzzmNl5Y/tC2PnswXxODuZeQB2Lqe/GtGzeFqEwA3M+EbcBN6RiEKiJ73VA0Uv0tdArlsH22Tx7jcanZDoLuOoElPbgGTCLyVcjPWLXSeN2mYvrDHJe0+j6CnATXwfkGURJ8uClGOyCTMxRWb+C7t8XECdFh73u5F9hCe+qQkkRLjhWqKrXCMiofoGexrGiqJ4IAZy/F8tC26ldSxi9Al0vrB4L6tYktd5aUC/n0bGF7cMuo7wg1PiTIpK0kM9tR2ONnCdkw5E1CXgE2JqXAp6DZhuL+/pREOq4zmrIn8NLjCyXcQGQjKPLX4raKuQGHxoGJhjA+rpUfs/IzzqBdNROfxEBB3n7rvTexiwaH3uO6AVoi+M9IWXs0tGWQJ34zoM7Jdy/WatcaGq/b2kZcpB/daXU/pGPUOIKP2jUALeD3U+qvLgK/BJ4XZIgZDO0lShR3UQIEnUptmWbKZaMMMTroo1pVvimrg5QWOjImn27LasEFO/r86hhsIlEtCipG6ValjJN9z9kmfd2BFdCJCuho6WslmUVjYj9/Fw3R315kQHWAuAJH6KOaWJhLxpx1xepLuVM71HxgKUOlQSrvEQnFMTv9db25jjxyPn2Qtrm2dKxI6/ZWzepGUeTk+WEWHOp7U9jQ5kSzXY/ojrWjph4hhXE9n95Ae82mPe3c8PTzmZqetZbI471T0Cj/JzS3BK3s6o5I5TW6vRXIRfOeZskEJlO8fuvcZ3YhnxwL0+tXm+jWS6VBoZm2jyzywzHoODNDvL3YBi9xQjcYddnzDlumMNybup0xQJw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</si>
</sst>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quot; EUR&quot;"/>
    <numFmt numFmtId="166" formatCode="#0.00%"/>
  </numFmts>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000000"/>
      </top>
      <bottom/>
      <diagonal/>
    </border>
  </borders>
  <cellStyleXfs count="1">
    <xf numFmtId="0" fontId="0" fillId="0" borderId="0" applyBorder="0"/>
  </cellStyleXfs>
  <cellXfs count="26">
    <xf numFmtId="0" fontId="0" fillId="0" borderId="0" xfId="0" applyNumberFormat="1" applyFill="1" applyAlignment="1" applyProtection="1"/>
    <xf numFmtId="0" fontId="1" fillId="0" borderId="1" xfId="0" applyNumberFormat="1" applyFont="1" applyFill="1" applyBorder="1" applyAlignment="1" applyProtection="1"/>
    <xf numFmtId="49" fontId="1" fillId="0" borderId="0" xfId="0" applyNumberFormat="1" applyFont="1" applyFill="1" applyAlignment="1" applyProtection="1"/>
    <xf numFmtId="49" fontId="0" fillId="0" borderId="0" xfId="0" applyNumberFormat="1" applyFill="1" applyAlignment="1" applyProtection="1"/>
    <xf numFmtId="164" fontId="0" fillId="0" borderId="0" xfId="0" applyNumberFormat="1" applyFill="1" applyAlignment="1" applyProtection="1"/>
    <xf numFmtId="165" fontId="0" fillId="0" borderId="0" xfId="0" applyNumberFormat="1" applyFill="1" applyAlignment="1" applyProtection="1"/>
    <xf numFmtId="166" fontId="0" fillId="0" borderId="0" xfId="0" applyNumberFormat="1" applyFill="1" applyAlignment="1" applyProtection="1"/>
    <xf numFmtId="0" fontId="1" fillId="0" borderId="0" xfId="0" applyNumberFormat="1" applyFont="1" applyFill="1" applyAlignment="1" applyProtection="1"/>
    <xf numFmtId="49" fontId="1" fillId="0" borderId="0" xfId="0" applyNumberFormat="1" applyFont="1" applyFill="1" applyAlignment="1" applyProtection="1"/>
    <xf numFmtId="0" fontId="1" fillId="0" borderId="1" xfId="0" applyNumberFormat="1" applyFont="1" applyFill="1" applyBorder="1" applyAlignment="1" applyProtection="1"/>
    <xf numFmtId="49" fontId="1" fillId="0" borderId="1" xfId="0" applyNumberFormat="1" applyFont="1" applyFill="1" applyBorder="1" applyAlignment="1" applyProtection="1"/>
    <xf numFmtId="164" fontId="1" fillId="0" borderId="1" xfId="0" applyNumberFormat="1" applyFont="1" applyFill="1" applyBorder="1" applyAlignment="1" applyProtection="1"/>
    <xf numFmtId="165" fontId="1" fillId="0" borderId="1" xfId="0" applyNumberFormat="1" applyFont="1" applyFill="1" applyBorder="1" applyAlignment="1" applyProtection="1"/>
    <xf numFmtId="166" fontId="1" fillId="0" borderId="1" xfId="0" applyNumberFormat="1" applyFont="1" applyFill="1" applyBorder="1" applyAlignment="1" applyProtection="1"/>
    <xf numFmtId="0" fontId="1" fillId="0" borderId="2" xfId="0" applyNumberFormat="1" applyFont="1" applyFill="1" applyBorder="1" applyAlignment="1" applyProtection="1"/>
    <xf numFmtId="49" fontId="1" fillId="0" borderId="2" xfId="0" applyNumberFormat="1" applyFont="1" applyFill="1" applyBorder="1" applyAlignment="1" applyProtection="1"/>
    <xf numFmtId="164" fontId="1" fillId="0" borderId="2" xfId="0" applyNumberFormat="1" applyFont="1" applyFill="1" applyBorder="1" applyAlignment="1" applyProtection="1"/>
    <xf numFmtId="165" fontId="1" fillId="0" borderId="2" xfId="0" applyNumberFormat="1" applyFont="1" applyFill="1" applyBorder="1" applyAlignment="1" applyProtection="1"/>
    <xf numFmtId="166" fontId="1" fillId="0" borderId="2" xfId="0" applyNumberFormat="1" applyFont="1" applyFill="1" applyBorder="1" applyAlignment="1" applyProtection="1"/>
    <xf numFmtId="165" fontId="0" fillId="0" borderId="0" xfId="0" applyNumberFormat="1" applyFill="1" applyAlignment="1" applyProtection="1">
      <alignment horizontal="right"/>
    </xf>
    <xf numFmtId="0" fontId="0" fillId="0" borderId="0" xfId="0" applyNumberFormat="1" applyFill="1" applyAlignment="1" applyProtection="1">
      <alignment horizontal="left"/>
    </xf>
    <xf numFmtId="0" fontId="1" fillId="0" borderId="0" xfId="0" applyNumberFormat="1" applyFont="1" applyFill="1" applyAlignment="1" applyProtection="1">
      <alignment horizontal="left"/>
    </xf>
    <xf numFmtId="49" fontId="1" fillId="0" borderId="1" xfId="0" applyNumberFormat="1" applyFont="1" applyFill="1" applyBorder="1" applyAlignment="1" applyProtection="1">
      <alignment horizontal="left"/>
    </xf>
    <xf numFmtId="0" fontId="1" fillId="0" borderId="1" xfId="0" applyNumberFormat="1" applyFont="1" applyFill="1" applyBorder="1" applyAlignment="1" applyProtection="1">
      <alignment horizontal="left"/>
    </xf>
    <xf numFmtId="165" fontId="1" fillId="0" borderId="1" xfId="0" applyNumberFormat="1" applyFont="1" applyFill="1" applyBorder="1" applyAlignment="1" applyProtection="1">
      <alignment horizontal="left"/>
    </xf>
    <xf numFmtId="22" fontId="0" fillId="0" borderId="0" xfId="0" applyNumberFormat="1" applyFill="1" applyAlignment="1" applyProtection="1"/>
  </cellXfs>
  <cellStyles count="1">
    <cellStyle name="Standard" xfId="0" builtinId="0"/>
  </cellStyles>
  <dxfs count="1">
    <dxf>
      <fill>
        <patternFill patternType="solid">
          <fgColor auto="1"/>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66"/>
  <sheetViews>
    <sheetView tabSelected="1" workbookViewId="0">
      <pane xSplit="3" ySplit="3" topLeftCell="D40" activePane="bottomRight" state="frozenSplit"/>
      <selection pane="topRight"/>
      <selection pane="bottomLeft"/>
      <selection pane="bottomRight" activeCell="D60" sqref="D60"/>
    </sheetView>
  </sheetViews>
  <sheetFormatPr baseColWidth="10" defaultColWidth="9.140625" defaultRowHeight="15" outlineLevelRow="2" x14ac:dyDescent="0.25"/>
  <cols>
    <col min="1" max="1" width="15.7109375" customWidth="1"/>
    <col min="2" max="2" width="15.7109375" style="3" customWidth="1"/>
    <col min="3" max="3" width="30.7109375" customWidth="1"/>
    <col min="4" max="4" width="255.7109375" bestFit="1" customWidth="1"/>
    <col min="5" max="5" width="9.7109375" style="4" customWidth="1"/>
    <col min="6" max="6" width="8.7109375" customWidth="1"/>
    <col min="7" max="7" width="9.7109375" style="5" customWidth="1"/>
    <col min="8" max="8" width="12.7109375" style="5" customWidth="1"/>
    <col min="9" max="9" width="9.7109375" style="6" customWidth="1"/>
    <col min="10" max="10" width="14.7109375" style="5" customWidth="1"/>
    <col min="11" max="11" width="7.7109375" style="6" customWidth="1"/>
    <col min="12" max="12" width="9.140625" style="3" hidden="1" customWidth="1"/>
    <col min="13" max="13" width="9.140625" hidden="1" customWidth="1"/>
  </cols>
  <sheetData>
    <row r="1" spans="1:13" s="7" customFormat="1" x14ac:dyDescent="0.25">
      <c r="A1" s="7" t="s">
        <v>0</v>
      </c>
      <c r="B1" s="2" t="str">
        <f>IF(Projektinfo!B1="","",Projektinfo!B1)</f>
        <v>049</v>
      </c>
      <c r="C1" s="2"/>
      <c r="D1" s="2"/>
      <c r="E1" s="2"/>
      <c r="F1" s="2"/>
      <c r="G1" s="2"/>
      <c r="H1" s="2"/>
      <c r="I1" s="2"/>
      <c r="J1" s="2"/>
      <c r="K1" s="2"/>
      <c r="L1" s="8"/>
    </row>
    <row r="2" spans="1:13" x14ac:dyDescent="0.25">
      <c r="A2" t="s">
        <v>1</v>
      </c>
      <c r="B2" s="6"/>
    </row>
    <row r="3" spans="1:13" s="7" customFormat="1" x14ac:dyDescent="0.25">
      <c r="A3" s="9" t="s">
        <v>2</v>
      </c>
      <c r="B3" s="10" t="s">
        <v>3</v>
      </c>
      <c r="C3" s="9" t="s">
        <v>4</v>
      </c>
      <c r="D3" s="9" t="s">
        <v>5</v>
      </c>
      <c r="E3" s="11" t="s">
        <v>6</v>
      </c>
      <c r="F3" s="9" t="s">
        <v>7</v>
      </c>
      <c r="G3" s="12" t="s">
        <v>8</v>
      </c>
      <c r="H3" s="12" t="s">
        <v>10</v>
      </c>
      <c r="I3" s="13" t="s">
        <v>9</v>
      </c>
      <c r="J3" s="12" t="s">
        <v>11</v>
      </c>
      <c r="K3" s="13" t="s">
        <v>1</v>
      </c>
      <c r="L3" s="8"/>
    </row>
    <row r="4" spans="1:13" x14ac:dyDescent="0.25">
      <c r="A4" t="s">
        <v>12</v>
      </c>
      <c r="C4" t="s">
        <v>13</v>
      </c>
    </row>
    <row r="5" spans="1:13" x14ac:dyDescent="0.25">
      <c r="A5" t="s">
        <v>14</v>
      </c>
      <c r="C5" t="s">
        <v>15</v>
      </c>
      <c r="D5" t="s">
        <v>16</v>
      </c>
      <c r="K5" s="6" t="str">
        <f>""</f>
        <v/>
      </c>
      <c r="M5" t="s">
        <v>17</v>
      </c>
    </row>
    <row r="6" spans="1:13" x14ac:dyDescent="0.25">
      <c r="A6" t="s">
        <v>14</v>
      </c>
      <c r="C6" t="s">
        <v>18</v>
      </c>
      <c r="D6" t="s">
        <v>19</v>
      </c>
      <c r="K6" s="6" t="str">
        <f>""</f>
        <v/>
      </c>
      <c r="M6" t="s">
        <v>20</v>
      </c>
    </row>
    <row r="7" spans="1:13" x14ac:dyDescent="0.25">
      <c r="A7" t="s">
        <v>14</v>
      </c>
      <c r="C7" t="s">
        <v>21</v>
      </c>
      <c r="D7" t="s">
        <v>22</v>
      </c>
      <c r="K7" s="6" t="str">
        <f>""</f>
        <v/>
      </c>
      <c r="M7" t="s">
        <v>23</v>
      </c>
    </row>
    <row r="8" spans="1:13" x14ac:dyDescent="0.25">
      <c r="A8" t="s">
        <v>14</v>
      </c>
      <c r="C8" t="s">
        <v>24</v>
      </c>
      <c r="D8" t="s">
        <v>25</v>
      </c>
      <c r="K8" s="6" t="str">
        <f>""</f>
        <v/>
      </c>
      <c r="M8" t="s">
        <v>26</v>
      </c>
    </row>
    <row r="9" spans="1:13" x14ac:dyDescent="0.25">
      <c r="A9" t="s">
        <v>14</v>
      </c>
      <c r="C9" t="s">
        <v>27</v>
      </c>
      <c r="D9" t="s">
        <v>28</v>
      </c>
      <c r="K9" s="6" t="str">
        <f>""</f>
        <v/>
      </c>
      <c r="M9" t="s">
        <v>29</v>
      </c>
    </row>
    <row r="10" spans="1:13" x14ac:dyDescent="0.25">
      <c r="A10" t="s">
        <v>14</v>
      </c>
      <c r="C10" t="s">
        <v>30</v>
      </c>
      <c r="D10" t="s">
        <v>31</v>
      </c>
      <c r="K10" s="6" t="str">
        <f>""</f>
        <v/>
      </c>
      <c r="M10" t="s">
        <v>32</v>
      </c>
    </row>
    <row r="11" spans="1:13" x14ac:dyDescent="0.25">
      <c r="A11" t="s">
        <v>14</v>
      </c>
      <c r="C11" t="s">
        <v>33</v>
      </c>
      <c r="D11" t="s">
        <v>34</v>
      </c>
      <c r="K11" s="6" t="str">
        <f>""</f>
        <v/>
      </c>
      <c r="M11" t="s">
        <v>35</v>
      </c>
    </row>
    <row r="12" spans="1:13" x14ac:dyDescent="0.25">
      <c r="A12" t="s">
        <v>14</v>
      </c>
      <c r="C12" t="s">
        <v>36</v>
      </c>
      <c r="D12" t="s">
        <v>37</v>
      </c>
      <c r="K12" s="6" t="str">
        <f>""</f>
        <v/>
      </c>
      <c r="M12" t="s">
        <v>38</v>
      </c>
    </row>
    <row r="13" spans="1:13" x14ac:dyDescent="0.25">
      <c r="A13" t="s">
        <v>14</v>
      </c>
      <c r="C13" t="s">
        <v>39</v>
      </c>
      <c r="D13" t="s">
        <v>40</v>
      </c>
      <c r="K13" s="6" t="str">
        <f>""</f>
        <v/>
      </c>
      <c r="M13" t="s">
        <v>41</v>
      </c>
    </row>
    <row r="14" spans="1:13" x14ac:dyDescent="0.25">
      <c r="A14" t="s">
        <v>14</v>
      </c>
      <c r="C14" t="s">
        <v>42</v>
      </c>
      <c r="D14" t="s">
        <v>43</v>
      </c>
      <c r="K14" s="6" t="str">
        <f>""</f>
        <v/>
      </c>
      <c r="M14" t="s">
        <v>44</v>
      </c>
    </row>
    <row r="15" spans="1:13" x14ac:dyDescent="0.25">
      <c r="A15" t="s">
        <v>14</v>
      </c>
      <c r="C15" t="s">
        <v>45</v>
      </c>
      <c r="D15" t="s">
        <v>46</v>
      </c>
      <c r="K15" s="6" t="str">
        <f>""</f>
        <v/>
      </c>
      <c r="M15" t="s">
        <v>47</v>
      </c>
    </row>
    <row r="16" spans="1:13" x14ac:dyDescent="0.25">
      <c r="A16" t="s">
        <v>14</v>
      </c>
      <c r="C16" t="s">
        <v>48</v>
      </c>
      <c r="D16" t="s">
        <v>49</v>
      </c>
      <c r="K16" s="6" t="str">
        <f>""</f>
        <v/>
      </c>
      <c r="M16" t="s">
        <v>50</v>
      </c>
    </row>
    <row r="17" spans="1:13" x14ac:dyDescent="0.25">
      <c r="A17" t="s">
        <v>14</v>
      </c>
      <c r="C17" t="s">
        <v>51</v>
      </c>
      <c r="D17" t="s">
        <v>52</v>
      </c>
      <c r="K17" s="6" t="str">
        <f>""</f>
        <v/>
      </c>
      <c r="M17" t="s">
        <v>53</v>
      </c>
    </row>
    <row r="18" spans="1:13" x14ac:dyDescent="0.25">
      <c r="A18" t="s">
        <v>14</v>
      </c>
      <c r="C18" t="s">
        <v>54</v>
      </c>
      <c r="D18" t="s">
        <v>55</v>
      </c>
      <c r="K18" s="6" t="str">
        <f>""</f>
        <v/>
      </c>
      <c r="M18" t="s">
        <v>56</v>
      </c>
    </row>
    <row r="19" spans="1:13" x14ac:dyDescent="0.25">
      <c r="A19" t="s">
        <v>14</v>
      </c>
      <c r="C19" t="s">
        <v>57</v>
      </c>
      <c r="D19" t="s">
        <v>58</v>
      </c>
      <c r="K19" s="6" t="str">
        <f>""</f>
        <v/>
      </c>
      <c r="M19" t="s">
        <v>59</v>
      </c>
    </row>
    <row r="20" spans="1:13" x14ac:dyDescent="0.25">
      <c r="A20" t="s">
        <v>14</v>
      </c>
      <c r="C20" t="s">
        <v>60</v>
      </c>
      <c r="D20" t="s">
        <v>61</v>
      </c>
      <c r="K20" s="6" t="str">
        <f>""</f>
        <v/>
      </c>
      <c r="M20" t="s">
        <v>62</v>
      </c>
    </row>
    <row r="21" spans="1:13" x14ac:dyDescent="0.25">
      <c r="A21" t="s">
        <v>14</v>
      </c>
      <c r="C21" t="s">
        <v>63</v>
      </c>
      <c r="D21" t="s">
        <v>64</v>
      </c>
      <c r="K21" s="6" t="str">
        <f>""</f>
        <v/>
      </c>
      <c r="M21" t="s">
        <v>65</v>
      </c>
    </row>
    <row r="22" spans="1:13" outlineLevel="1" x14ac:dyDescent="0.25">
      <c r="A22" t="s">
        <v>66</v>
      </c>
      <c r="B22" s="3" t="s">
        <v>67</v>
      </c>
      <c r="C22" t="s">
        <v>68</v>
      </c>
      <c r="K22" s="6" t="str">
        <f>""</f>
        <v/>
      </c>
    </row>
    <row r="23" spans="1:13" outlineLevel="1" x14ac:dyDescent="0.25">
      <c r="A23" t="s">
        <v>14</v>
      </c>
      <c r="C23" t="s">
        <v>69</v>
      </c>
      <c r="D23" t="s">
        <v>70</v>
      </c>
      <c r="K23" s="6" t="str">
        <f>""</f>
        <v/>
      </c>
      <c r="M23" t="s">
        <v>71</v>
      </c>
    </row>
    <row r="24" spans="1:13" outlineLevel="1" x14ac:dyDescent="0.25">
      <c r="A24" t="s">
        <v>14</v>
      </c>
      <c r="C24" t="s">
        <v>72</v>
      </c>
      <c r="D24" t="s">
        <v>73</v>
      </c>
      <c r="K24" s="6" t="str">
        <f>""</f>
        <v/>
      </c>
      <c r="M24" t="s">
        <v>74</v>
      </c>
    </row>
    <row r="25" spans="1:13" outlineLevel="1" x14ac:dyDescent="0.25">
      <c r="A25" t="s">
        <v>14</v>
      </c>
      <c r="C25" t="s">
        <v>75</v>
      </c>
      <c r="D25" t="s">
        <v>76</v>
      </c>
      <c r="K25" s="6" t="str">
        <f>""</f>
        <v/>
      </c>
      <c r="M25" t="s">
        <v>77</v>
      </c>
    </row>
    <row r="26" spans="1:13" outlineLevel="1" x14ac:dyDescent="0.25">
      <c r="A26" t="s">
        <v>14</v>
      </c>
      <c r="C26" t="s">
        <v>78</v>
      </c>
      <c r="D26" t="s">
        <v>79</v>
      </c>
      <c r="K26" s="6" t="str">
        <f>""</f>
        <v/>
      </c>
      <c r="M26" t="s">
        <v>80</v>
      </c>
    </row>
    <row r="27" spans="1:13" s="7" customFormat="1" x14ac:dyDescent="0.25">
      <c r="A27" s="14" t="s">
        <v>81</v>
      </c>
      <c r="B27" s="15" t="s">
        <v>67</v>
      </c>
      <c r="C27" s="14" t="s">
        <v>68</v>
      </c>
      <c r="D27" s="14"/>
      <c r="E27" s="16"/>
      <c r="F27" s="14"/>
      <c r="G27" s="17"/>
      <c r="H27" s="17">
        <f>SUMIF(L:L,"65ff528d-fd75-41e8-8799-c493e17362ef",J:J)</f>
        <v>0</v>
      </c>
      <c r="I27" s="18"/>
      <c r="J27" s="17">
        <f>H27*(1-I27)</f>
        <v>0</v>
      </c>
      <c r="K27" s="18"/>
      <c r="L27" s="8" t="s">
        <v>82</v>
      </c>
      <c r="M27" s="7" t="s">
        <v>83</v>
      </c>
    </row>
    <row r="28" spans="1:13" outlineLevel="1" x14ac:dyDescent="0.25">
      <c r="A28" t="s">
        <v>66</v>
      </c>
      <c r="B28" s="3" t="s">
        <v>84</v>
      </c>
      <c r="C28" t="s">
        <v>85</v>
      </c>
      <c r="K28" s="6" t="str">
        <f>""</f>
        <v/>
      </c>
    </row>
    <row r="29" spans="1:13" outlineLevel="1" x14ac:dyDescent="0.25">
      <c r="A29" t="s">
        <v>86</v>
      </c>
      <c r="B29" s="3" t="s">
        <v>87</v>
      </c>
      <c r="C29" t="s">
        <v>88</v>
      </c>
      <c r="D29" t="s">
        <v>89</v>
      </c>
      <c r="E29" s="4">
        <v>1</v>
      </c>
      <c r="F29" t="s">
        <v>90</v>
      </c>
      <c r="G29" s="5">
        <f>SUMPRODUCT((Kalkulation!A2:A50000=B29)*Kalkulation!D2:D50000)</f>
        <v>0</v>
      </c>
      <c r="H29" s="5">
        <f>G29*E29</f>
        <v>0</v>
      </c>
      <c r="J29" s="5">
        <f>H29*(1-I29)</f>
        <v>0</v>
      </c>
      <c r="K29" s="6">
        <f>B2</f>
        <v>0</v>
      </c>
      <c r="L29" s="3" t="s">
        <v>91</v>
      </c>
      <c r="M29" t="s">
        <v>92</v>
      </c>
    </row>
    <row r="30" spans="1:13" outlineLevel="1" x14ac:dyDescent="0.25">
      <c r="A30" t="s">
        <v>86</v>
      </c>
      <c r="B30" s="3" t="s">
        <v>93</v>
      </c>
      <c r="C30" t="s">
        <v>94</v>
      </c>
      <c r="D30" t="s">
        <v>95</v>
      </c>
      <c r="E30" s="4">
        <v>1</v>
      </c>
      <c r="F30" t="s">
        <v>90</v>
      </c>
      <c r="G30" s="5">
        <f>SUMPRODUCT((Kalkulation!A2:A50000=B30)*Kalkulation!D2:D50000)</f>
        <v>0</v>
      </c>
      <c r="H30" s="5">
        <f>G30*E30</f>
        <v>0</v>
      </c>
      <c r="J30" s="5">
        <f>H30*(1-I30)</f>
        <v>0</v>
      </c>
      <c r="K30" s="6">
        <f>B2</f>
        <v>0</v>
      </c>
      <c r="L30" s="3" t="s">
        <v>91</v>
      </c>
      <c r="M30" t="s">
        <v>96</v>
      </c>
    </row>
    <row r="31" spans="1:13" s="7" customFormat="1" x14ac:dyDescent="0.25">
      <c r="A31" s="14" t="s">
        <v>81</v>
      </c>
      <c r="B31" s="15" t="s">
        <v>84</v>
      </c>
      <c r="C31" s="14" t="s">
        <v>85</v>
      </c>
      <c r="D31" s="14"/>
      <c r="E31" s="16"/>
      <c r="F31" s="14"/>
      <c r="G31" s="17"/>
      <c r="H31" s="17">
        <f>SUMIF(L:L,"bc507428-c757-4ddf-97ea-138662557598",J:J)</f>
        <v>0</v>
      </c>
      <c r="I31" s="18"/>
      <c r="J31" s="17">
        <f>H31*(1-I31)</f>
        <v>0</v>
      </c>
      <c r="K31" s="18"/>
      <c r="L31" s="8" t="s">
        <v>82</v>
      </c>
      <c r="M31" s="7" t="s">
        <v>91</v>
      </c>
    </row>
    <row r="32" spans="1:13" outlineLevel="1" x14ac:dyDescent="0.25">
      <c r="A32" t="s">
        <v>66</v>
      </c>
      <c r="B32" s="3" t="s">
        <v>97</v>
      </c>
      <c r="C32" t="s">
        <v>98</v>
      </c>
      <c r="K32" s="6" t="str">
        <f>""</f>
        <v/>
      </c>
    </row>
    <row r="33" spans="1:13" outlineLevel="1" x14ac:dyDescent="0.25">
      <c r="A33" t="s">
        <v>86</v>
      </c>
      <c r="B33" s="3" t="s">
        <v>99</v>
      </c>
      <c r="C33" t="s">
        <v>100</v>
      </c>
      <c r="D33" t="s">
        <v>101</v>
      </c>
      <c r="E33" s="4">
        <v>1</v>
      </c>
      <c r="F33" t="s">
        <v>102</v>
      </c>
      <c r="G33" s="5">
        <f>SUMPRODUCT((Kalkulation!A2:A50000=B33)*Kalkulation!D2:D50000)</f>
        <v>0</v>
      </c>
      <c r="H33" s="5">
        <f>G33*E33</f>
        <v>0</v>
      </c>
      <c r="J33" s="5">
        <f>H33*(1-I33)</f>
        <v>0</v>
      </c>
      <c r="K33" s="6">
        <f>B2</f>
        <v>0</v>
      </c>
      <c r="L33" s="3" t="s">
        <v>103</v>
      </c>
      <c r="M33" t="s">
        <v>104</v>
      </c>
    </row>
    <row r="34" spans="1:13" outlineLevel="1" x14ac:dyDescent="0.25">
      <c r="A34" t="s">
        <v>86</v>
      </c>
      <c r="B34" s="3" t="s">
        <v>105</v>
      </c>
      <c r="C34" t="s">
        <v>106</v>
      </c>
      <c r="D34" t="s">
        <v>107</v>
      </c>
      <c r="E34" s="4">
        <v>6</v>
      </c>
      <c r="F34" t="s">
        <v>108</v>
      </c>
      <c r="G34" s="5">
        <f>SUMPRODUCT((Kalkulation!A2:A50000=B34)*Kalkulation!D2:D50000)</f>
        <v>0</v>
      </c>
      <c r="H34" s="5">
        <f>G34*E34</f>
        <v>0</v>
      </c>
      <c r="J34" s="5">
        <f>H34*(1-I34)</f>
        <v>0</v>
      </c>
      <c r="K34" s="6">
        <f>B2</f>
        <v>0</v>
      </c>
      <c r="L34" s="3" t="s">
        <v>103</v>
      </c>
      <c r="M34" t="s">
        <v>109</v>
      </c>
    </row>
    <row r="35" spans="1:13" s="7" customFormat="1" x14ac:dyDescent="0.25">
      <c r="A35" s="14" t="s">
        <v>81</v>
      </c>
      <c r="B35" s="15" t="s">
        <v>97</v>
      </c>
      <c r="C35" s="14" t="s">
        <v>98</v>
      </c>
      <c r="D35" s="14"/>
      <c r="E35" s="16"/>
      <c r="F35" s="14"/>
      <c r="G35" s="17"/>
      <c r="H35" s="17">
        <f>SUMIF(L:L,"dfe80876-8bad-418f-a63f-44afb52d5adf",J:J)</f>
        <v>0</v>
      </c>
      <c r="I35" s="18"/>
      <c r="J35" s="17">
        <f>H35*(1-I35)</f>
        <v>0</v>
      </c>
      <c r="K35" s="18"/>
      <c r="L35" s="8" t="s">
        <v>82</v>
      </c>
      <c r="M35" s="7" t="s">
        <v>103</v>
      </c>
    </row>
    <row r="36" spans="1:13" outlineLevel="1" x14ac:dyDescent="0.25">
      <c r="A36" t="s">
        <v>66</v>
      </c>
      <c r="B36" s="3" t="s">
        <v>110</v>
      </c>
      <c r="C36" t="s">
        <v>111</v>
      </c>
      <c r="K36" s="6" t="str">
        <f>""</f>
        <v/>
      </c>
    </row>
    <row r="37" spans="1:13" outlineLevel="2" x14ac:dyDescent="0.25">
      <c r="A37" t="s">
        <v>66</v>
      </c>
      <c r="B37" s="3" t="s">
        <v>112</v>
      </c>
      <c r="C37" t="s">
        <v>113</v>
      </c>
      <c r="K37" s="6" t="str">
        <f>""</f>
        <v/>
      </c>
    </row>
    <row r="38" spans="1:13" outlineLevel="2" x14ac:dyDescent="0.25">
      <c r="A38" t="s">
        <v>86</v>
      </c>
      <c r="B38" s="3" t="s">
        <v>114</v>
      </c>
      <c r="C38" t="s">
        <v>115</v>
      </c>
      <c r="D38" t="s">
        <v>116</v>
      </c>
      <c r="E38" s="4">
        <v>22</v>
      </c>
      <c r="F38" t="s">
        <v>117</v>
      </c>
      <c r="G38" s="5">
        <f>SUMPRODUCT((Kalkulation!A2:A50000=B38)*Kalkulation!D2:D50000)</f>
        <v>0</v>
      </c>
      <c r="H38" s="5">
        <f t="shared" ref="H38:H46" si="0">G38*E38</f>
        <v>0</v>
      </c>
      <c r="J38" s="5">
        <f t="shared" ref="J38:J47" si="1">H38*(1-I38)</f>
        <v>0</v>
      </c>
      <c r="K38" s="6">
        <f>B2</f>
        <v>0</v>
      </c>
      <c r="L38" s="3" t="s">
        <v>118</v>
      </c>
      <c r="M38" t="s">
        <v>119</v>
      </c>
    </row>
    <row r="39" spans="1:13" outlineLevel="2" x14ac:dyDescent="0.25">
      <c r="A39" t="s">
        <v>86</v>
      </c>
      <c r="B39" s="3" t="s">
        <v>120</v>
      </c>
      <c r="C39" t="s">
        <v>121</v>
      </c>
      <c r="D39" t="s">
        <v>122</v>
      </c>
      <c r="E39" s="4">
        <v>20.5</v>
      </c>
      <c r="F39" t="s">
        <v>117</v>
      </c>
      <c r="G39" s="5">
        <f>SUMPRODUCT((Kalkulation!A2:A50000=B39)*Kalkulation!D2:D50000)</f>
        <v>0</v>
      </c>
      <c r="H39" s="5">
        <f t="shared" si="0"/>
        <v>0</v>
      </c>
      <c r="J39" s="5">
        <f t="shared" si="1"/>
        <v>0</v>
      </c>
      <c r="K39" s="6">
        <f>B2</f>
        <v>0</v>
      </c>
      <c r="L39" s="3" t="s">
        <v>118</v>
      </c>
      <c r="M39" t="s">
        <v>123</v>
      </c>
    </row>
    <row r="40" spans="1:13" outlineLevel="2" x14ac:dyDescent="0.25">
      <c r="A40" t="s">
        <v>86</v>
      </c>
      <c r="B40" s="3" t="s">
        <v>124</v>
      </c>
      <c r="C40" t="s">
        <v>125</v>
      </c>
      <c r="D40" t="s">
        <v>126</v>
      </c>
      <c r="E40" s="4">
        <v>10</v>
      </c>
      <c r="F40" t="s">
        <v>117</v>
      </c>
      <c r="G40" s="5">
        <f>SUMPRODUCT((Kalkulation!A2:A50000=B40)*Kalkulation!D2:D50000)</f>
        <v>0</v>
      </c>
      <c r="H40" s="5">
        <f t="shared" si="0"/>
        <v>0</v>
      </c>
      <c r="J40" s="5">
        <f t="shared" si="1"/>
        <v>0</v>
      </c>
      <c r="K40" s="6">
        <f>B2</f>
        <v>0</v>
      </c>
      <c r="L40" s="3" t="s">
        <v>118</v>
      </c>
      <c r="M40" t="s">
        <v>127</v>
      </c>
    </row>
    <row r="41" spans="1:13" outlineLevel="2" x14ac:dyDescent="0.25">
      <c r="A41" t="s">
        <v>86</v>
      </c>
      <c r="B41" s="3" t="s">
        <v>128</v>
      </c>
      <c r="C41" t="s">
        <v>129</v>
      </c>
      <c r="D41" t="s">
        <v>130</v>
      </c>
      <c r="E41" s="4">
        <v>7.5</v>
      </c>
      <c r="F41" t="s">
        <v>117</v>
      </c>
      <c r="G41" s="5">
        <f>SUMPRODUCT((Kalkulation!A2:A50000=B41)*Kalkulation!D2:D50000)</f>
        <v>0</v>
      </c>
      <c r="H41" s="5">
        <f t="shared" si="0"/>
        <v>0</v>
      </c>
      <c r="J41" s="5">
        <f t="shared" si="1"/>
        <v>0</v>
      </c>
      <c r="K41" s="6">
        <f>B2</f>
        <v>0</v>
      </c>
      <c r="L41" s="3" t="s">
        <v>118</v>
      </c>
      <c r="M41" t="s">
        <v>131</v>
      </c>
    </row>
    <row r="42" spans="1:13" outlineLevel="2" x14ac:dyDescent="0.25">
      <c r="A42" t="s">
        <v>86</v>
      </c>
      <c r="B42" s="3" t="s">
        <v>132</v>
      </c>
      <c r="C42" t="s">
        <v>133</v>
      </c>
      <c r="D42" t="s">
        <v>134</v>
      </c>
      <c r="E42" s="4">
        <v>18.5</v>
      </c>
      <c r="F42" t="s">
        <v>117</v>
      </c>
      <c r="G42" s="5">
        <f>SUMPRODUCT((Kalkulation!A2:A50000=B42)*Kalkulation!D2:D50000)</f>
        <v>0</v>
      </c>
      <c r="H42" s="5">
        <f t="shared" si="0"/>
        <v>0</v>
      </c>
      <c r="J42" s="5">
        <f t="shared" si="1"/>
        <v>0</v>
      </c>
      <c r="K42" s="6">
        <f>B2</f>
        <v>0</v>
      </c>
      <c r="L42" s="3" t="s">
        <v>118</v>
      </c>
      <c r="M42" t="s">
        <v>135</v>
      </c>
    </row>
    <row r="43" spans="1:13" outlineLevel="2" x14ac:dyDescent="0.25">
      <c r="A43" t="s">
        <v>86</v>
      </c>
      <c r="B43" s="3" t="s">
        <v>136</v>
      </c>
      <c r="C43" t="s">
        <v>137</v>
      </c>
      <c r="D43" t="s">
        <v>138</v>
      </c>
      <c r="E43" s="4">
        <v>6</v>
      </c>
      <c r="F43" t="s">
        <v>117</v>
      </c>
      <c r="G43" s="5">
        <f>SUMPRODUCT((Kalkulation!A2:A50000=B43)*Kalkulation!D2:D50000)</f>
        <v>0</v>
      </c>
      <c r="H43" s="5">
        <f t="shared" si="0"/>
        <v>0</v>
      </c>
      <c r="J43" s="5">
        <f t="shared" si="1"/>
        <v>0</v>
      </c>
      <c r="K43" s="6">
        <f>B2</f>
        <v>0</v>
      </c>
      <c r="L43" s="3" t="s">
        <v>118</v>
      </c>
      <c r="M43" t="s">
        <v>139</v>
      </c>
    </row>
    <row r="44" spans="1:13" outlineLevel="2" x14ac:dyDescent="0.25">
      <c r="A44" t="s">
        <v>86</v>
      </c>
      <c r="B44" s="3" t="s">
        <v>140</v>
      </c>
      <c r="C44" t="s">
        <v>141</v>
      </c>
      <c r="D44" t="s">
        <v>142</v>
      </c>
      <c r="E44" s="4">
        <v>11</v>
      </c>
      <c r="F44" t="s">
        <v>117</v>
      </c>
      <c r="G44" s="5">
        <f>SUMPRODUCT((Kalkulation!A2:A50000=B44)*Kalkulation!D2:D50000)</f>
        <v>0</v>
      </c>
      <c r="H44" s="5">
        <f t="shared" si="0"/>
        <v>0</v>
      </c>
      <c r="J44" s="5">
        <f t="shared" si="1"/>
        <v>0</v>
      </c>
      <c r="K44" s="6">
        <f>B2</f>
        <v>0</v>
      </c>
      <c r="L44" s="3" t="s">
        <v>118</v>
      </c>
      <c r="M44" t="s">
        <v>143</v>
      </c>
    </row>
    <row r="45" spans="1:13" outlineLevel="2" x14ac:dyDescent="0.25">
      <c r="A45" t="s">
        <v>86</v>
      </c>
      <c r="B45" s="3" t="s">
        <v>144</v>
      </c>
      <c r="C45" t="s">
        <v>145</v>
      </c>
      <c r="D45" t="s">
        <v>146</v>
      </c>
      <c r="E45" s="4">
        <v>5</v>
      </c>
      <c r="F45" t="s">
        <v>117</v>
      </c>
      <c r="G45" s="5">
        <f>SUMPRODUCT((Kalkulation!A2:A50000=B45)*Kalkulation!D2:D50000)</f>
        <v>0</v>
      </c>
      <c r="H45" s="5">
        <f t="shared" si="0"/>
        <v>0</v>
      </c>
      <c r="J45" s="5">
        <f t="shared" si="1"/>
        <v>0</v>
      </c>
      <c r="K45" s="6">
        <f>B2</f>
        <v>0</v>
      </c>
      <c r="L45" s="3" t="s">
        <v>118</v>
      </c>
      <c r="M45" t="s">
        <v>147</v>
      </c>
    </row>
    <row r="46" spans="1:13" outlineLevel="2" x14ac:dyDescent="0.25">
      <c r="A46" t="s">
        <v>86</v>
      </c>
      <c r="B46" s="3" t="s">
        <v>148</v>
      </c>
      <c r="C46" t="s">
        <v>149</v>
      </c>
      <c r="D46" t="s">
        <v>150</v>
      </c>
      <c r="E46" s="4">
        <v>12</v>
      </c>
      <c r="F46" t="s">
        <v>117</v>
      </c>
      <c r="G46" s="5">
        <f>SUMPRODUCT((Kalkulation!A2:A50000=B46)*Kalkulation!D2:D50000)</f>
        <v>0</v>
      </c>
      <c r="H46" s="5">
        <f t="shared" si="0"/>
        <v>0</v>
      </c>
      <c r="J46" s="5">
        <f t="shared" si="1"/>
        <v>0</v>
      </c>
      <c r="K46" s="6">
        <f>B2</f>
        <v>0</v>
      </c>
      <c r="L46" s="3" t="s">
        <v>118</v>
      </c>
      <c r="M46" t="s">
        <v>151</v>
      </c>
    </row>
    <row r="47" spans="1:13" s="7" customFormat="1" outlineLevel="1" x14ac:dyDescent="0.25">
      <c r="A47" s="14" t="s">
        <v>81</v>
      </c>
      <c r="B47" s="15" t="s">
        <v>112</v>
      </c>
      <c r="C47" s="14" t="s">
        <v>113</v>
      </c>
      <c r="D47" s="14"/>
      <c r="E47" s="16"/>
      <c r="F47" s="14"/>
      <c r="G47" s="17"/>
      <c r="H47" s="17">
        <f>SUMIF(L:L,"cdefce3d-812d-44a1-b101-3ab0820f44aa",J:J)</f>
        <v>0</v>
      </c>
      <c r="I47" s="18"/>
      <c r="J47" s="17">
        <f t="shared" si="1"/>
        <v>0</v>
      </c>
      <c r="K47" s="18"/>
      <c r="L47" s="8" t="s">
        <v>152</v>
      </c>
      <c r="M47" s="7" t="s">
        <v>118</v>
      </c>
    </row>
    <row r="48" spans="1:13" outlineLevel="2" x14ac:dyDescent="0.25">
      <c r="A48" t="s">
        <v>66</v>
      </c>
      <c r="B48" s="3" t="s">
        <v>153</v>
      </c>
      <c r="C48" t="s">
        <v>154</v>
      </c>
      <c r="K48" s="6" t="str">
        <f>""</f>
        <v/>
      </c>
    </row>
    <row r="49" spans="1:13" outlineLevel="2" x14ac:dyDescent="0.25">
      <c r="A49" t="s">
        <v>86</v>
      </c>
      <c r="B49" s="3" t="s">
        <v>155</v>
      </c>
      <c r="C49" t="s">
        <v>156</v>
      </c>
      <c r="D49" t="s">
        <v>157</v>
      </c>
      <c r="E49" s="4">
        <v>48.5</v>
      </c>
      <c r="F49" t="s">
        <v>117</v>
      </c>
      <c r="G49" s="5">
        <f>SUMPRODUCT((Kalkulation!A2:A50000=B49)*Kalkulation!D2:D50000)</f>
        <v>0</v>
      </c>
      <c r="H49" s="5">
        <f t="shared" ref="H49:H61" si="2">G49*E49</f>
        <v>0</v>
      </c>
      <c r="J49" s="5">
        <f t="shared" ref="J49:J63" si="3">H49*(1-I49)</f>
        <v>0</v>
      </c>
      <c r="K49" s="6">
        <f>B2</f>
        <v>0</v>
      </c>
      <c r="L49" s="3" t="s">
        <v>158</v>
      </c>
      <c r="M49" t="s">
        <v>159</v>
      </c>
    </row>
    <row r="50" spans="1:13" outlineLevel="2" x14ac:dyDescent="0.25">
      <c r="A50" t="s">
        <v>86</v>
      </c>
      <c r="B50" s="3" t="s">
        <v>160</v>
      </c>
      <c r="C50" t="s">
        <v>161</v>
      </c>
      <c r="D50" t="s">
        <v>162</v>
      </c>
      <c r="E50" s="4">
        <v>48.5</v>
      </c>
      <c r="F50" t="s">
        <v>117</v>
      </c>
      <c r="G50" s="5">
        <f>SUMPRODUCT((Kalkulation!A2:A50000=B50)*Kalkulation!D2:D50000)</f>
        <v>0</v>
      </c>
      <c r="H50" s="5">
        <f t="shared" si="2"/>
        <v>0</v>
      </c>
      <c r="J50" s="5">
        <f t="shared" si="3"/>
        <v>0</v>
      </c>
      <c r="K50" s="6">
        <f>B2</f>
        <v>0</v>
      </c>
      <c r="L50" s="3" t="s">
        <v>158</v>
      </c>
      <c r="M50" t="s">
        <v>163</v>
      </c>
    </row>
    <row r="51" spans="1:13" outlineLevel="2" x14ac:dyDescent="0.25">
      <c r="A51" t="s">
        <v>86</v>
      </c>
      <c r="B51" s="3" t="s">
        <v>164</v>
      </c>
      <c r="C51" t="s">
        <v>165</v>
      </c>
      <c r="D51" t="s">
        <v>166</v>
      </c>
      <c r="E51" s="4">
        <v>48.5</v>
      </c>
      <c r="F51" t="s">
        <v>117</v>
      </c>
      <c r="G51" s="5">
        <f>SUMPRODUCT((Kalkulation!A2:A50000=B51)*Kalkulation!D2:D50000)</f>
        <v>0</v>
      </c>
      <c r="H51" s="5">
        <f t="shared" si="2"/>
        <v>0</v>
      </c>
      <c r="J51" s="5">
        <f t="shared" si="3"/>
        <v>0</v>
      </c>
      <c r="K51" s="6">
        <f>B2</f>
        <v>0</v>
      </c>
      <c r="L51" s="3" t="s">
        <v>158</v>
      </c>
      <c r="M51" t="s">
        <v>167</v>
      </c>
    </row>
    <row r="52" spans="1:13" outlineLevel="2" x14ac:dyDescent="0.25">
      <c r="A52" t="s">
        <v>86</v>
      </c>
      <c r="B52" s="3" t="s">
        <v>168</v>
      </c>
      <c r="C52" t="s">
        <v>169</v>
      </c>
      <c r="D52" t="s">
        <v>170</v>
      </c>
      <c r="E52" s="4">
        <v>48.5</v>
      </c>
      <c r="F52" t="s">
        <v>117</v>
      </c>
      <c r="G52" s="5">
        <f>SUMPRODUCT((Kalkulation!A2:A50000=B52)*Kalkulation!D2:D50000)</f>
        <v>0</v>
      </c>
      <c r="H52" s="5">
        <f t="shared" si="2"/>
        <v>0</v>
      </c>
      <c r="J52" s="5">
        <f t="shared" si="3"/>
        <v>0</v>
      </c>
      <c r="K52" s="6">
        <f>B2</f>
        <v>0</v>
      </c>
      <c r="L52" s="3" t="s">
        <v>158</v>
      </c>
      <c r="M52" t="s">
        <v>171</v>
      </c>
    </row>
    <row r="53" spans="1:13" outlineLevel="2" x14ac:dyDescent="0.25">
      <c r="A53" t="s">
        <v>86</v>
      </c>
      <c r="B53" s="3" t="s">
        <v>172</v>
      </c>
      <c r="C53" t="s">
        <v>173</v>
      </c>
      <c r="D53" t="s">
        <v>174</v>
      </c>
      <c r="E53" s="4">
        <v>48.5</v>
      </c>
      <c r="F53" t="s">
        <v>117</v>
      </c>
      <c r="G53" s="5">
        <f>SUMPRODUCT((Kalkulation!A2:A50000=B53)*Kalkulation!D2:D50000)</f>
        <v>0</v>
      </c>
      <c r="H53" s="5">
        <f t="shared" si="2"/>
        <v>0</v>
      </c>
      <c r="J53" s="5">
        <f t="shared" si="3"/>
        <v>0</v>
      </c>
      <c r="K53" s="6">
        <f>B2</f>
        <v>0</v>
      </c>
      <c r="L53" s="3" t="s">
        <v>158</v>
      </c>
      <c r="M53" t="s">
        <v>175</v>
      </c>
    </row>
    <row r="54" spans="1:13" outlineLevel="2" x14ac:dyDescent="0.25">
      <c r="A54" t="s">
        <v>86</v>
      </c>
      <c r="B54" s="3" t="s">
        <v>176</v>
      </c>
      <c r="C54" t="s">
        <v>177</v>
      </c>
      <c r="D54" t="s">
        <v>178</v>
      </c>
      <c r="E54" s="4">
        <v>50</v>
      </c>
      <c r="F54" t="s">
        <v>117</v>
      </c>
      <c r="G54" s="5">
        <f>SUMPRODUCT((Kalkulation!A2:A50000=B54)*Kalkulation!D2:D50000)</f>
        <v>0</v>
      </c>
      <c r="H54" s="5">
        <f t="shared" si="2"/>
        <v>0</v>
      </c>
      <c r="J54" s="5">
        <f t="shared" si="3"/>
        <v>0</v>
      </c>
      <c r="K54" s="6">
        <f>B2</f>
        <v>0</v>
      </c>
      <c r="L54" s="3" t="s">
        <v>158</v>
      </c>
      <c r="M54" t="s">
        <v>179</v>
      </c>
    </row>
    <row r="55" spans="1:13" outlineLevel="2" x14ac:dyDescent="0.25">
      <c r="A55" t="s">
        <v>86</v>
      </c>
      <c r="B55" s="3" t="s">
        <v>180</v>
      </c>
      <c r="C55" t="s">
        <v>181</v>
      </c>
      <c r="D55" t="s">
        <v>182</v>
      </c>
      <c r="E55" s="4">
        <v>62</v>
      </c>
      <c r="F55" t="s">
        <v>183</v>
      </c>
      <c r="G55" s="5">
        <f>SUMPRODUCT((Kalkulation!A2:A50000=B55)*Kalkulation!D2:D50000)</f>
        <v>0</v>
      </c>
      <c r="H55" s="5">
        <f t="shared" si="2"/>
        <v>0</v>
      </c>
      <c r="J55" s="5">
        <f t="shared" si="3"/>
        <v>0</v>
      </c>
      <c r="K55" s="6">
        <f>B2</f>
        <v>0</v>
      </c>
      <c r="L55" s="3" t="s">
        <v>158</v>
      </c>
      <c r="M55" t="s">
        <v>184</v>
      </c>
    </row>
    <row r="56" spans="1:13" outlineLevel="2" x14ac:dyDescent="0.25">
      <c r="A56" t="s">
        <v>86</v>
      </c>
      <c r="B56" s="3" t="s">
        <v>185</v>
      </c>
      <c r="C56" t="s">
        <v>186</v>
      </c>
      <c r="D56" t="s">
        <v>187</v>
      </c>
      <c r="E56" s="4">
        <v>8</v>
      </c>
      <c r="F56" t="s">
        <v>183</v>
      </c>
      <c r="G56" s="5">
        <f>SUMPRODUCT((Kalkulation!A2:A50000=B56)*Kalkulation!D2:D50000)</f>
        <v>0</v>
      </c>
      <c r="H56" s="5">
        <f t="shared" si="2"/>
        <v>0</v>
      </c>
      <c r="J56" s="5">
        <f t="shared" si="3"/>
        <v>0</v>
      </c>
      <c r="K56" s="6">
        <f>B2</f>
        <v>0</v>
      </c>
      <c r="L56" s="3" t="s">
        <v>158</v>
      </c>
      <c r="M56" t="s">
        <v>188</v>
      </c>
    </row>
    <row r="57" spans="1:13" outlineLevel="2" x14ac:dyDescent="0.25">
      <c r="A57" t="s">
        <v>86</v>
      </c>
      <c r="B57" s="3" t="s">
        <v>189</v>
      </c>
      <c r="C57" t="s">
        <v>190</v>
      </c>
      <c r="D57" t="s">
        <v>191</v>
      </c>
      <c r="E57" s="4">
        <v>10</v>
      </c>
      <c r="F57" t="s">
        <v>183</v>
      </c>
      <c r="G57" s="5">
        <f>SUMPRODUCT((Kalkulation!A2:A50000=B57)*Kalkulation!D2:D50000)</f>
        <v>0</v>
      </c>
      <c r="H57" s="5">
        <f t="shared" si="2"/>
        <v>0</v>
      </c>
      <c r="J57" s="5">
        <f t="shared" si="3"/>
        <v>0</v>
      </c>
      <c r="K57" s="6">
        <f>B2</f>
        <v>0</v>
      </c>
      <c r="L57" s="3" t="s">
        <v>158</v>
      </c>
      <c r="M57" t="s">
        <v>192</v>
      </c>
    </row>
    <row r="58" spans="1:13" outlineLevel="2" x14ac:dyDescent="0.25">
      <c r="A58" t="s">
        <v>86</v>
      </c>
      <c r="B58" s="3" t="s">
        <v>193</v>
      </c>
      <c r="C58" t="s">
        <v>194</v>
      </c>
      <c r="D58" t="s">
        <v>195</v>
      </c>
      <c r="E58" s="4">
        <v>6</v>
      </c>
      <c r="F58" t="s">
        <v>183</v>
      </c>
      <c r="G58" s="5">
        <f>SUMPRODUCT((Kalkulation!A2:A50000=B58)*Kalkulation!D2:D50000)</f>
        <v>0</v>
      </c>
      <c r="H58" s="5">
        <f t="shared" si="2"/>
        <v>0</v>
      </c>
      <c r="J58" s="5">
        <f t="shared" si="3"/>
        <v>0</v>
      </c>
      <c r="K58" s="6">
        <f>B2</f>
        <v>0</v>
      </c>
      <c r="L58" s="3" t="s">
        <v>158</v>
      </c>
      <c r="M58" t="s">
        <v>196</v>
      </c>
    </row>
    <row r="59" spans="1:13" outlineLevel="2" x14ac:dyDescent="0.25">
      <c r="A59" t="s">
        <v>86</v>
      </c>
      <c r="B59" s="3" t="s">
        <v>197</v>
      </c>
      <c r="C59" t="s">
        <v>198</v>
      </c>
      <c r="D59" t="s">
        <v>199</v>
      </c>
      <c r="E59" s="4">
        <v>12</v>
      </c>
      <c r="F59" t="s">
        <v>117</v>
      </c>
      <c r="G59" s="5">
        <f>SUMPRODUCT((Kalkulation!A2:A50000=B59)*Kalkulation!D2:D50000)</f>
        <v>0</v>
      </c>
      <c r="H59" s="5">
        <f t="shared" si="2"/>
        <v>0</v>
      </c>
      <c r="J59" s="5">
        <f t="shared" si="3"/>
        <v>0</v>
      </c>
      <c r="K59" s="6">
        <f>B2</f>
        <v>0</v>
      </c>
      <c r="L59" s="3" t="s">
        <v>158</v>
      </c>
      <c r="M59" t="s">
        <v>200</v>
      </c>
    </row>
    <row r="60" spans="1:13" outlineLevel="2" x14ac:dyDescent="0.25">
      <c r="A60" t="s">
        <v>86</v>
      </c>
      <c r="B60" s="3" t="s">
        <v>201</v>
      </c>
      <c r="C60" t="s">
        <v>202</v>
      </c>
      <c r="D60" t="s">
        <v>203</v>
      </c>
      <c r="E60" s="4">
        <v>1</v>
      </c>
      <c r="F60" t="s">
        <v>102</v>
      </c>
      <c r="G60" s="5">
        <f>SUMPRODUCT((Kalkulation!A2:A50000=B60)*Kalkulation!D2:D50000)</f>
        <v>0</v>
      </c>
      <c r="H60" s="5">
        <f t="shared" si="2"/>
        <v>0</v>
      </c>
      <c r="J60" s="5">
        <f t="shared" si="3"/>
        <v>0</v>
      </c>
      <c r="K60" s="6">
        <f>B2</f>
        <v>0</v>
      </c>
      <c r="L60" s="3" t="s">
        <v>158</v>
      </c>
      <c r="M60" t="s">
        <v>204</v>
      </c>
    </row>
    <row r="61" spans="1:13" outlineLevel="2" x14ac:dyDescent="0.25">
      <c r="A61" t="s">
        <v>86</v>
      </c>
      <c r="B61" s="3" t="s">
        <v>205</v>
      </c>
      <c r="C61" t="s">
        <v>206</v>
      </c>
      <c r="D61" t="s">
        <v>207</v>
      </c>
      <c r="E61" s="4">
        <v>1</v>
      </c>
      <c r="F61" t="s">
        <v>102</v>
      </c>
      <c r="G61" s="5">
        <f>SUMPRODUCT((Kalkulation!A2:A50000=B61)*Kalkulation!D2:D50000)</f>
        <v>0</v>
      </c>
      <c r="H61" s="5">
        <f t="shared" si="2"/>
        <v>0</v>
      </c>
      <c r="J61" s="5">
        <f t="shared" si="3"/>
        <v>0</v>
      </c>
      <c r="K61" s="6">
        <f>B2</f>
        <v>0</v>
      </c>
      <c r="L61" s="3" t="s">
        <v>158</v>
      </c>
      <c r="M61" t="s">
        <v>208</v>
      </c>
    </row>
    <row r="62" spans="1:13" s="7" customFormat="1" outlineLevel="1" x14ac:dyDescent="0.25">
      <c r="A62" s="14" t="s">
        <v>81</v>
      </c>
      <c r="B62" s="15" t="s">
        <v>153</v>
      </c>
      <c r="C62" s="14" t="s">
        <v>154</v>
      </c>
      <c r="D62" s="14"/>
      <c r="E62" s="16"/>
      <c r="F62" s="14"/>
      <c r="G62" s="17"/>
      <c r="H62" s="17">
        <f>SUMIF(L:L,"2bebe10b-a0bc-4d8a-ba3b-b747a44fe147",J:J)</f>
        <v>0</v>
      </c>
      <c r="I62" s="18"/>
      <c r="J62" s="17">
        <f t="shared" si="3"/>
        <v>0</v>
      </c>
      <c r="K62" s="18"/>
      <c r="L62" s="8" t="s">
        <v>152</v>
      </c>
      <c r="M62" s="7" t="s">
        <v>158</v>
      </c>
    </row>
    <row r="63" spans="1:13" s="7" customFormat="1" x14ac:dyDescent="0.25">
      <c r="A63" s="14" t="s">
        <v>81</v>
      </c>
      <c r="B63" s="15" t="s">
        <v>110</v>
      </c>
      <c r="C63" s="14" t="s">
        <v>111</v>
      </c>
      <c r="D63" s="14"/>
      <c r="E63" s="16"/>
      <c r="F63" s="14"/>
      <c r="G63" s="17"/>
      <c r="H63" s="17">
        <f>SUMIF(L:L,"569847cc-caa6-419e-a984-b7ebaa522b0b",J:J)</f>
        <v>0</v>
      </c>
      <c r="I63" s="18"/>
      <c r="J63" s="17">
        <f t="shared" si="3"/>
        <v>0</v>
      </c>
      <c r="K63" s="18"/>
      <c r="L63" s="8" t="s">
        <v>82</v>
      </c>
      <c r="M63" s="7" t="s">
        <v>152</v>
      </c>
    </row>
    <row r="64" spans="1:13" outlineLevel="1" x14ac:dyDescent="0.25">
      <c r="A64" t="s">
        <v>66</v>
      </c>
      <c r="B64" s="3" t="s">
        <v>209</v>
      </c>
      <c r="C64" t="s">
        <v>210</v>
      </c>
      <c r="K64" s="6" t="str">
        <f>""</f>
        <v/>
      </c>
    </row>
    <row r="65" spans="1:13" outlineLevel="2" x14ac:dyDescent="0.25">
      <c r="A65" t="s">
        <v>66</v>
      </c>
      <c r="B65" s="3" t="s">
        <v>211</v>
      </c>
      <c r="C65" t="s">
        <v>113</v>
      </c>
      <c r="K65" s="6" t="str">
        <f>""</f>
        <v/>
      </c>
    </row>
    <row r="66" spans="1:13" outlineLevel="2" x14ac:dyDescent="0.25">
      <c r="A66" t="s">
        <v>86</v>
      </c>
      <c r="B66" s="3" t="s">
        <v>212</v>
      </c>
      <c r="C66" t="s">
        <v>115</v>
      </c>
      <c r="D66" t="s">
        <v>213</v>
      </c>
      <c r="E66" s="4">
        <v>11</v>
      </c>
      <c r="F66" t="s">
        <v>117</v>
      </c>
      <c r="G66" s="5">
        <f>SUMPRODUCT((Kalkulation!A2:A50000=B66)*Kalkulation!D2:D50000)</f>
        <v>0</v>
      </c>
      <c r="H66" s="5">
        <f t="shared" ref="H66:H73" si="4">G66*E66</f>
        <v>0</v>
      </c>
      <c r="J66" s="5">
        <f t="shared" ref="J66:J74" si="5">H66*(1-I66)</f>
        <v>0</v>
      </c>
      <c r="K66" s="6">
        <f>B2</f>
        <v>0</v>
      </c>
      <c r="L66" s="3" t="s">
        <v>214</v>
      </c>
      <c r="M66" t="s">
        <v>215</v>
      </c>
    </row>
    <row r="67" spans="1:13" outlineLevel="2" x14ac:dyDescent="0.25">
      <c r="A67" t="s">
        <v>86</v>
      </c>
      <c r="B67" s="3" t="s">
        <v>216</v>
      </c>
      <c r="C67" t="s">
        <v>121</v>
      </c>
      <c r="D67" t="s">
        <v>217</v>
      </c>
      <c r="E67" s="4">
        <v>9</v>
      </c>
      <c r="F67" t="s">
        <v>117</v>
      </c>
      <c r="G67" s="5">
        <f>SUMPRODUCT((Kalkulation!A2:A50000=B67)*Kalkulation!D2:D50000)</f>
        <v>0</v>
      </c>
      <c r="H67" s="5">
        <f t="shared" si="4"/>
        <v>0</v>
      </c>
      <c r="J67" s="5">
        <f t="shared" si="5"/>
        <v>0</v>
      </c>
      <c r="K67" s="6">
        <f>B2</f>
        <v>0</v>
      </c>
      <c r="L67" s="3" t="s">
        <v>214</v>
      </c>
      <c r="M67" t="s">
        <v>218</v>
      </c>
    </row>
    <row r="68" spans="1:13" outlineLevel="2" x14ac:dyDescent="0.25">
      <c r="A68" t="s">
        <v>86</v>
      </c>
      <c r="B68" s="3" t="s">
        <v>219</v>
      </c>
      <c r="C68" t="s">
        <v>220</v>
      </c>
      <c r="D68" t="s">
        <v>221</v>
      </c>
      <c r="E68" s="4">
        <v>9</v>
      </c>
      <c r="F68" t="s">
        <v>117</v>
      </c>
      <c r="G68" s="5">
        <f>SUMPRODUCT((Kalkulation!A2:A50000=B68)*Kalkulation!D2:D50000)</f>
        <v>0</v>
      </c>
      <c r="H68" s="5">
        <f t="shared" si="4"/>
        <v>0</v>
      </c>
      <c r="J68" s="5">
        <f t="shared" si="5"/>
        <v>0</v>
      </c>
      <c r="K68" s="6">
        <f>B2</f>
        <v>0</v>
      </c>
      <c r="L68" s="3" t="s">
        <v>214</v>
      </c>
      <c r="M68" t="s">
        <v>222</v>
      </c>
    </row>
    <row r="69" spans="1:13" outlineLevel="2" x14ac:dyDescent="0.25">
      <c r="A69" t="s">
        <v>86</v>
      </c>
      <c r="B69" s="3" t="s">
        <v>223</v>
      </c>
      <c r="C69" t="s">
        <v>224</v>
      </c>
      <c r="D69" t="s">
        <v>225</v>
      </c>
      <c r="E69" s="4">
        <v>8.5</v>
      </c>
      <c r="F69" t="s">
        <v>117</v>
      </c>
      <c r="G69" s="5">
        <f>SUMPRODUCT((Kalkulation!A2:A50000=B69)*Kalkulation!D2:D50000)</f>
        <v>0</v>
      </c>
      <c r="H69" s="5">
        <f t="shared" si="4"/>
        <v>0</v>
      </c>
      <c r="J69" s="5">
        <f t="shared" si="5"/>
        <v>0</v>
      </c>
      <c r="K69" s="6">
        <f>B2</f>
        <v>0</v>
      </c>
      <c r="L69" s="3" t="s">
        <v>214</v>
      </c>
      <c r="M69" t="s">
        <v>226</v>
      </c>
    </row>
    <row r="70" spans="1:13" outlineLevel="2" x14ac:dyDescent="0.25">
      <c r="A70" t="s">
        <v>86</v>
      </c>
      <c r="B70" s="3" t="s">
        <v>227</v>
      </c>
      <c r="C70" t="s">
        <v>149</v>
      </c>
      <c r="D70" t="s">
        <v>228</v>
      </c>
      <c r="E70" s="4">
        <v>30</v>
      </c>
      <c r="F70" t="s">
        <v>117</v>
      </c>
      <c r="G70" s="5">
        <f>SUMPRODUCT((Kalkulation!A2:A50000=B70)*Kalkulation!D2:D50000)</f>
        <v>0</v>
      </c>
      <c r="H70" s="5">
        <f t="shared" si="4"/>
        <v>0</v>
      </c>
      <c r="J70" s="5">
        <f t="shared" si="5"/>
        <v>0</v>
      </c>
      <c r="K70" s="6">
        <f>B2</f>
        <v>0</v>
      </c>
      <c r="L70" s="3" t="s">
        <v>214</v>
      </c>
      <c r="M70" t="s">
        <v>229</v>
      </c>
    </row>
    <row r="71" spans="1:13" outlineLevel="2" x14ac:dyDescent="0.25">
      <c r="A71" t="s">
        <v>86</v>
      </c>
      <c r="B71" s="3" t="s">
        <v>230</v>
      </c>
      <c r="C71" t="s">
        <v>231</v>
      </c>
      <c r="D71" t="s">
        <v>232</v>
      </c>
      <c r="E71" s="4">
        <v>2</v>
      </c>
      <c r="F71" t="s">
        <v>117</v>
      </c>
      <c r="G71" s="5">
        <f>SUMPRODUCT((Kalkulation!A2:A50000=B71)*Kalkulation!D2:D50000)</f>
        <v>0</v>
      </c>
      <c r="H71" s="5">
        <f t="shared" si="4"/>
        <v>0</v>
      </c>
      <c r="J71" s="5">
        <f t="shared" si="5"/>
        <v>0</v>
      </c>
      <c r="K71" s="6">
        <f>B2</f>
        <v>0</v>
      </c>
      <c r="L71" s="3" t="s">
        <v>214</v>
      </c>
      <c r="M71" t="s">
        <v>233</v>
      </c>
    </row>
    <row r="72" spans="1:13" outlineLevel="2" x14ac:dyDescent="0.25">
      <c r="A72" t="s">
        <v>86</v>
      </c>
      <c r="B72" s="3" t="s">
        <v>234</v>
      </c>
      <c r="C72" t="s">
        <v>235</v>
      </c>
      <c r="D72" t="s">
        <v>236</v>
      </c>
      <c r="E72" s="4">
        <v>41</v>
      </c>
      <c r="F72" t="s">
        <v>117</v>
      </c>
      <c r="G72" s="5">
        <f>SUMPRODUCT((Kalkulation!A2:A50000=B72)*Kalkulation!D2:D50000)</f>
        <v>0</v>
      </c>
      <c r="H72" s="5">
        <f t="shared" si="4"/>
        <v>0</v>
      </c>
      <c r="J72" s="5">
        <f t="shared" si="5"/>
        <v>0</v>
      </c>
      <c r="K72" s="6">
        <f>B2</f>
        <v>0</v>
      </c>
      <c r="L72" s="3" t="s">
        <v>214</v>
      </c>
      <c r="M72" t="s">
        <v>237</v>
      </c>
    </row>
    <row r="73" spans="1:13" outlineLevel="2" x14ac:dyDescent="0.25">
      <c r="A73" t="s">
        <v>86</v>
      </c>
      <c r="B73" s="3" t="s">
        <v>238</v>
      </c>
      <c r="C73" t="s">
        <v>239</v>
      </c>
      <c r="D73" t="s">
        <v>240</v>
      </c>
      <c r="E73" s="4">
        <v>8</v>
      </c>
      <c r="F73" t="s">
        <v>117</v>
      </c>
      <c r="G73" s="5">
        <f>SUMPRODUCT((Kalkulation!A2:A50000=B73)*Kalkulation!D2:D50000)</f>
        <v>0</v>
      </c>
      <c r="H73" s="5">
        <f t="shared" si="4"/>
        <v>0</v>
      </c>
      <c r="J73" s="5">
        <f t="shared" si="5"/>
        <v>0</v>
      </c>
      <c r="K73" s="6">
        <f>B2</f>
        <v>0</v>
      </c>
      <c r="L73" s="3" t="s">
        <v>214</v>
      </c>
      <c r="M73" t="s">
        <v>241</v>
      </c>
    </row>
    <row r="74" spans="1:13" s="7" customFormat="1" outlineLevel="1" x14ac:dyDescent="0.25">
      <c r="A74" s="14" t="s">
        <v>81</v>
      </c>
      <c r="B74" s="15" t="s">
        <v>211</v>
      </c>
      <c r="C74" s="14" t="s">
        <v>113</v>
      </c>
      <c r="D74" s="14"/>
      <c r="E74" s="16"/>
      <c r="F74" s="14"/>
      <c r="G74" s="17"/>
      <c r="H74" s="17">
        <f>SUMIF(L:L,"73968f31-f719-4329-9ed9-50bbeafa2c92",J:J)</f>
        <v>0</v>
      </c>
      <c r="I74" s="18"/>
      <c r="J74" s="17">
        <f t="shared" si="5"/>
        <v>0</v>
      </c>
      <c r="K74" s="18"/>
      <c r="L74" s="8" t="s">
        <v>242</v>
      </c>
      <c r="M74" s="7" t="s">
        <v>214</v>
      </c>
    </row>
    <row r="75" spans="1:13" outlineLevel="2" x14ac:dyDescent="0.25">
      <c r="A75" t="s">
        <v>66</v>
      </c>
      <c r="B75" s="3" t="s">
        <v>243</v>
      </c>
      <c r="C75" t="s">
        <v>244</v>
      </c>
      <c r="K75" s="6" t="str">
        <f>""</f>
        <v/>
      </c>
    </row>
    <row r="76" spans="1:13" outlineLevel="2" x14ac:dyDescent="0.25">
      <c r="A76" t="s">
        <v>86</v>
      </c>
      <c r="B76" s="3" t="s">
        <v>245</v>
      </c>
      <c r="C76" t="s">
        <v>246</v>
      </c>
      <c r="D76" t="s">
        <v>247</v>
      </c>
      <c r="E76" s="4">
        <v>4.5</v>
      </c>
      <c r="F76" t="s">
        <v>117</v>
      </c>
      <c r="G76" s="5">
        <f>SUMPRODUCT((Kalkulation!A2:A50000=B76)*Kalkulation!D2:D50000)</f>
        <v>0</v>
      </c>
      <c r="H76" s="5">
        <f>G76*E76</f>
        <v>0</v>
      </c>
      <c r="J76" s="5">
        <f>H76*(1-I76)</f>
        <v>0</v>
      </c>
      <c r="K76" s="6">
        <f>B2</f>
        <v>0</v>
      </c>
      <c r="L76" s="3" t="s">
        <v>248</v>
      </c>
      <c r="M76" t="s">
        <v>249</v>
      </c>
    </row>
    <row r="77" spans="1:13" outlineLevel="2" x14ac:dyDescent="0.25">
      <c r="A77" t="s">
        <v>86</v>
      </c>
      <c r="B77" s="3" t="s">
        <v>250</v>
      </c>
      <c r="C77" t="s">
        <v>251</v>
      </c>
      <c r="D77" t="s">
        <v>252</v>
      </c>
      <c r="E77" s="4">
        <v>2</v>
      </c>
      <c r="F77" t="s">
        <v>102</v>
      </c>
      <c r="G77" s="5">
        <f>SUMPRODUCT((Kalkulation!A2:A50000=B77)*Kalkulation!D2:D50000)</f>
        <v>0</v>
      </c>
      <c r="H77" s="5">
        <f>G77*E77</f>
        <v>0</v>
      </c>
      <c r="J77" s="5">
        <f>H77*(1-I77)</f>
        <v>0</v>
      </c>
      <c r="K77" s="6">
        <f>B2</f>
        <v>0</v>
      </c>
      <c r="L77" s="3" t="s">
        <v>248</v>
      </c>
      <c r="M77" t="s">
        <v>253</v>
      </c>
    </row>
    <row r="78" spans="1:13" s="7" customFormat="1" outlineLevel="1" x14ac:dyDescent="0.25">
      <c r="A78" s="14" t="s">
        <v>81</v>
      </c>
      <c r="B78" s="15" t="s">
        <v>243</v>
      </c>
      <c r="C78" s="14" t="s">
        <v>244</v>
      </c>
      <c r="D78" s="14"/>
      <c r="E78" s="16"/>
      <c r="F78" s="14"/>
      <c r="G78" s="17"/>
      <c r="H78" s="17">
        <f>SUMIF(L:L,"75a64beb-2fe2-425b-bb32-e08721d7e4fa",J:J)</f>
        <v>0</v>
      </c>
      <c r="I78" s="18"/>
      <c r="J78" s="17">
        <f>H78*(1-I78)</f>
        <v>0</v>
      </c>
      <c r="K78" s="18"/>
      <c r="L78" s="8" t="s">
        <v>242</v>
      </c>
      <c r="M78" s="7" t="s">
        <v>248</v>
      </c>
    </row>
    <row r="79" spans="1:13" s="7" customFormat="1" x14ac:dyDescent="0.25">
      <c r="A79" s="14" t="s">
        <v>81</v>
      </c>
      <c r="B79" s="15" t="s">
        <v>209</v>
      </c>
      <c r="C79" s="14" t="s">
        <v>210</v>
      </c>
      <c r="D79" s="14"/>
      <c r="E79" s="16"/>
      <c r="F79" s="14"/>
      <c r="G79" s="17"/>
      <c r="H79" s="17">
        <f>SUMIF(L:L,"7a73cc31-a7ce-4719-a6bd-a95cae11bc00",J:J)</f>
        <v>0</v>
      </c>
      <c r="I79" s="18"/>
      <c r="J79" s="17">
        <f>H79*(1-I79)</f>
        <v>0</v>
      </c>
      <c r="K79" s="18"/>
      <c r="L79" s="8" t="s">
        <v>82</v>
      </c>
      <c r="M79" s="7" t="s">
        <v>242</v>
      </c>
    </row>
    <row r="80" spans="1:13" outlineLevel="1" x14ac:dyDescent="0.25">
      <c r="A80" t="s">
        <v>66</v>
      </c>
      <c r="B80" s="3" t="s">
        <v>254</v>
      </c>
      <c r="C80" t="s">
        <v>255</v>
      </c>
      <c r="K80" s="6" t="str">
        <f>""</f>
        <v/>
      </c>
    </row>
    <row r="81" spans="1:13" outlineLevel="2" x14ac:dyDescent="0.25">
      <c r="A81" t="s">
        <v>66</v>
      </c>
      <c r="B81" s="3" t="s">
        <v>256</v>
      </c>
      <c r="C81" t="s">
        <v>113</v>
      </c>
      <c r="K81" s="6" t="str">
        <f>""</f>
        <v/>
      </c>
    </row>
    <row r="82" spans="1:13" outlineLevel="2" x14ac:dyDescent="0.25">
      <c r="A82" t="s">
        <v>86</v>
      </c>
      <c r="B82" s="3" t="s">
        <v>257</v>
      </c>
      <c r="C82" t="s">
        <v>115</v>
      </c>
      <c r="D82" t="s">
        <v>258</v>
      </c>
      <c r="E82" s="4">
        <v>27</v>
      </c>
      <c r="F82" t="s">
        <v>117</v>
      </c>
      <c r="G82" s="5">
        <f>SUMPRODUCT((Kalkulation!A2:A50000=B82)*Kalkulation!D2:D50000)</f>
        <v>0</v>
      </c>
      <c r="H82" s="5">
        <f t="shared" ref="H82:H91" si="6">G82*E82</f>
        <v>0</v>
      </c>
      <c r="J82" s="5">
        <f t="shared" ref="J82:J92" si="7">H82*(1-I82)</f>
        <v>0</v>
      </c>
      <c r="K82" s="6">
        <f>B2</f>
        <v>0</v>
      </c>
      <c r="L82" s="3" t="s">
        <v>259</v>
      </c>
      <c r="M82" t="s">
        <v>260</v>
      </c>
    </row>
    <row r="83" spans="1:13" outlineLevel="2" x14ac:dyDescent="0.25">
      <c r="A83" t="s">
        <v>86</v>
      </c>
      <c r="B83" s="3" t="s">
        <v>261</v>
      </c>
      <c r="C83" t="s">
        <v>121</v>
      </c>
      <c r="D83" t="s">
        <v>262</v>
      </c>
      <c r="E83" s="4">
        <v>22</v>
      </c>
      <c r="F83" t="s">
        <v>117</v>
      </c>
      <c r="G83" s="5">
        <f>SUMPRODUCT((Kalkulation!A2:A50000=B83)*Kalkulation!D2:D50000)</f>
        <v>0</v>
      </c>
      <c r="H83" s="5">
        <f t="shared" si="6"/>
        <v>0</v>
      </c>
      <c r="J83" s="5">
        <f t="shared" si="7"/>
        <v>0</v>
      </c>
      <c r="K83" s="6">
        <f>B2</f>
        <v>0</v>
      </c>
      <c r="L83" s="3" t="s">
        <v>259</v>
      </c>
      <c r="M83" t="s">
        <v>263</v>
      </c>
    </row>
    <row r="84" spans="1:13" outlineLevel="2" x14ac:dyDescent="0.25">
      <c r="A84" t="s">
        <v>86</v>
      </c>
      <c r="B84" s="3" t="s">
        <v>264</v>
      </c>
      <c r="C84" t="s">
        <v>125</v>
      </c>
      <c r="D84" t="s">
        <v>265</v>
      </c>
      <c r="E84" s="4">
        <v>19.5</v>
      </c>
      <c r="F84" t="s">
        <v>117</v>
      </c>
      <c r="G84" s="5">
        <f>SUMPRODUCT((Kalkulation!A2:A50000=B84)*Kalkulation!D2:D50000)</f>
        <v>0</v>
      </c>
      <c r="H84" s="5">
        <f t="shared" si="6"/>
        <v>0</v>
      </c>
      <c r="J84" s="5">
        <f t="shared" si="7"/>
        <v>0</v>
      </c>
      <c r="K84" s="6">
        <f>B2</f>
        <v>0</v>
      </c>
      <c r="L84" s="3" t="s">
        <v>259</v>
      </c>
      <c r="M84" t="s">
        <v>266</v>
      </c>
    </row>
    <row r="85" spans="1:13" outlineLevel="2" x14ac:dyDescent="0.25">
      <c r="A85" t="s">
        <v>86</v>
      </c>
      <c r="B85" s="3" t="s">
        <v>267</v>
      </c>
      <c r="C85" t="s">
        <v>133</v>
      </c>
      <c r="D85" t="s">
        <v>268</v>
      </c>
      <c r="E85" s="4">
        <v>36.5</v>
      </c>
      <c r="F85" t="s">
        <v>117</v>
      </c>
      <c r="G85" s="5">
        <f>SUMPRODUCT((Kalkulation!A2:A50000=B85)*Kalkulation!D2:D50000)</f>
        <v>0</v>
      </c>
      <c r="H85" s="5">
        <f t="shared" si="6"/>
        <v>0</v>
      </c>
      <c r="J85" s="5">
        <f t="shared" si="7"/>
        <v>0</v>
      </c>
      <c r="K85" s="6">
        <f>B2</f>
        <v>0</v>
      </c>
      <c r="L85" s="3" t="s">
        <v>259</v>
      </c>
      <c r="M85" t="s">
        <v>269</v>
      </c>
    </row>
    <row r="86" spans="1:13" outlineLevel="2" x14ac:dyDescent="0.25">
      <c r="A86" t="s">
        <v>86</v>
      </c>
      <c r="B86" s="3" t="s">
        <v>270</v>
      </c>
      <c r="C86" t="s">
        <v>137</v>
      </c>
      <c r="D86" t="s">
        <v>271</v>
      </c>
      <c r="E86" s="4">
        <v>30.5</v>
      </c>
      <c r="F86" t="s">
        <v>117</v>
      </c>
      <c r="G86" s="5">
        <f>SUMPRODUCT((Kalkulation!A2:A50000=B86)*Kalkulation!D2:D50000)</f>
        <v>0</v>
      </c>
      <c r="H86" s="5">
        <f t="shared" si="6"/>
        <v>0</v>
      </c>
      <c r="J86" s="5">
        <f t="shared" si="7"/>
        <v>0</v>
      </c>
      <c r="K86" s="6">
        <f>B2</f>
        <v>0</v>
      </c>
      <c r="L86" s="3" t="s">
        <v>259</v>
      </c>
      <c r="M86" t="s">
        <v>272</v>
      </c>
    </row>
    <row r="87" spans="1:13" outlineLevel="2" x14ac:dyDescent="0.25">
      <c r="A87" t="s">
        <v>86</v>
      </c>
      <c r="B87" s="3" t="s">
        <v>273</v>
      </c>
      <c r="C87" t="s">
        <v>149</v>
      </c>
      <c r="D87" t="s">
        <v>274</v>
      </c>
      <c r="E87" s="4">
        <v>13</v>
      </c>
      <c r="F87" t="s">
        <v>117</v>
      </c>
      <c r="G87" s="5">
        <f>SUMPRODUCT((Kalkulation!A2:A50000=B87)*Kalkulation!D2:D50000)</f>
        <v>0</v>
      </c>
      <c r="H87" s="5">
        <f t="shared" si="6"/>
        <v>0</v>
      </c>
      <c r="J87" s="5">
        <f t="shared" si="7"/>
        <v>0</v>
      </c>
      <c r="K87" s="6">
        <f>B2</f>
        <v>0</v>
      </c>
      <c r="L87" s="3" t="s">
        <v>259</v>
      </c>
      <c r="M87" t="s">
        <v>275</v>
      </c>
    </row>
    <row r="88" spans="1:13" outlineLevel="2" x14ac:dyDescent="0.25">
      <c r="A88" t="s">
        <v>86</v>
      </c>
      <c r="B88" s="3" t="s">
        <v>276</v>
      </c>
      <c r="C88" t="s">
        <v>277</v>
      </c>
      <c r="D88" t="s">
        <v>278</v>
      </c>
      <c r="E88" s="4">
        <v>1</v>
      </c>
      <c r="F88" t="s">
        <v>117</v>
      </c>
      <c r="G88" s="5">
        <f>SUMPRODUCT((Kalkulation!A2:A50000=B88)*Kalkulation!D2:D50000)</f>
        <v>0</v>
      </c>
      <c r="H88" s="5">
        <f t="shared" si="6"/>
        <v>0</v>
      </c>
      <c r="J88" s="5">
        <f t="shared" si="7"/>
        <v>0</v>
      </c>
      <c r="K88" s="6">
        <f>B2</f>
        <v>0</v>
      </c>
      <c r="L88" s="3" t="s">
        <v>259</v>
      </c>
      <c r="M88" t="s">
        <v>279</v>
      </c>
    </row>
    <row r="89" spans="1:13" outlineLevel="2" x14ac:dyDescent="0.25">
      <c r="A89" t="s">
        <v>86</v>
      </c>
      <c r="B89" s="3" t="s">
        <v>280</v>
      </c>
      <c r="C89" t="s">
        <v>235</v>
      </c>
      <c r="D89" t="s">
        <v>281</v>
      </c>
      <c r="E89" s="4">
        <v>14</v>
      </c>
      <c r="F89" t="s">
        <v>117</v>
      </c>
      <c r="G89" s="5">
        <f>SUMPRODUCT((Kalkulation!A2:A50000=B89)*Kalkulation!D2:D50000)</f>
        <v>0</v>
      </c>
      <c r="H89" s="5">
        <f t="shared" si="6"/>
        <v>0</v>
      </c>
      <c r="J89" s="5">
        <f t="shared" si="7"/>
        <v>0</v>
      </c>
      <c r="K89" s="6">
        <f>B2</f>
        <v>0</v>
      </c>
      <c r="L89" s="3" t="s">
        <v>259</v>
      </c>
      <c r="M89" t="s">
        <v>282</v>
      </c>
    </row>
    <row r="90" spans="1:13" outlineLevel="2" x14ac:dyDescent="0.25">
      <c r="A90" t="s">
        <v>86</v>
      </c>
      <c r="B90" s="3" t="s">
        <v>283</v>
      </c>
      <c r="C90" t="s">
        <v>284</v>
      </c>
      <c r="D90" t="s">
        <v>285</v>
      </c>
      <c r="E90" s="4">
        <v>2.5</v>
      </c>
      <c r="F90" t="s">
        <v>117</v>
      </c>
      <c r="G90" s="5">
        <f>SUMPRODUCT((Kalkulation!A2:A50000=B90)*Kalkulation!D2:D50000)</f>
        <v>0</v>
      </c>
      <c r="H90" s="5">
        <f t="shared" si="6"/>
        <v>0</v>
      </c>
      <c r="J90" s="5">
        <f t="shared" si="7"/>
        <v>0</v>
      </c>
      <c r="K90" s="6">
        <f>B2</f>
        <v>0</v>
      </c>
      <c r="L90" s="3" t="s">
        <v>259</v>
      </c>
      <c r="M90" t="s">
        <v>286</v>
      </c>
    </row>
    <row r="91" spans="1:13" outlineLevel="2" x14ac:dyDescent="0.25">
      <c r="A91" t="s">
        <v>86</v>
      </c>
      <c r="B91" s="3" t="s">
        <v>287</v>
      </c>
      <c r="C91" t="s">
        <v>239</v>
      </c>
      <c r="D91" t="s">
        <v>288</v>
      </c>
      <c r="E91" s="4">
        <v>6</v>
      </c>
      <c r="F91" t="s">
        <v>117</v>
      </c>
      <c r="G91" s="5">
        <f>SUMPRODUCT((Kalkulation!A2:A50000=B91)*Kalkulation!D2:D50000)</f>
        <v>0</v>
      </c>
      <c r="H91" s="5">
        <f t="shared" si="6"/>
        <v>0</v>
      </c>
      <c r="J91" s="5">
        <f t="shared" si="7"/>
        <v>0</v>
      </c>
      <c r="K91" s="6">
        <f>B2</f>
        <v>0</v>
      </c>
      <c r="L91" s="3" t="s">
        <v>259</v>
      </c>
      <c r="M91" t="s">
        <v>289</v>
      </c>
    </row>
    <row r="92" spans="1:13" s="7" customFormat="1" outlineLevel="1" x14ac:dyDescent="0.25">
      <c r="A92" s="14" t="s">
        <v>81</v>
      </c>
      <c r="B92" s="15" t="s">
        <v>256</v>
      </c>
      <c r="C92" s="14" t="s">
        <v>113</v>
      </c>
      <c r="D92" s="14"/>
      <c r="E92" s="16"/>
      <c r="F92" s="14"/>
      <c r="G92" s="17"/>
      <c r="H92" s="17">
        <f>SUMIF(L:L,"da7efe4c-eaba-4e83-8dfc-14dc8326c6f2",J:J)</f>
        <v>0</v>
      </c>
      <c r="I92" s="18"/>
      <c r="J92" s="17">
        <f t="shared" si="7"/>
        <v>0</v>
      </c>
      <c r="K92" s="18"/>
      <c r="L92" s="8" t="s">
        <v>290</v>
      </c>
      <c r="M92" s="7" t="s">
        <v>259</v>
      </c>
    </row>
    <row r="93" spans="1:13" outlineLevel="2" x14ac:dyDescent="0.25">
      <c r="A93" t="s">
        <v>66</v>
      </c>
      <c r="B93" s="3" t="s">
        <v>291</v>
      </c>
      <c r="C93" t="s">
        <v>244</v>
      </c>
      <c r="K93" s="6" t="str">
        <f>""</f>
        <v/>
      </c>
    </row>
    <row r="94" spans="1:13" outlineLevel="2" x14ac:dyDescent="0.25">
      <c r="A94" t="s">
        <v>86</v>
      </c>
      <c r="B94" s="3" t="s">
        <v>292</v>
      </c>
      <c r="C94" t="s">
        <v>246</v>
      </c>
      <c r="D94" t="s">
        <v>293</v>
      </c>
      <c r="E94" s="4">
        <v>35</v>
      </c>
      <c r="F94" t="s">
        <v>117</v>
      </c>
      <c r="G94" s="5">
        <f>SUMPRODUCT((Kalkulation!A2:A50000=B94)*Kalkulation!D2:D50000)</f>
        <v>0</v>
      </c>
      <c r="H94" s="5">
        <f>G94*E94</f>
        <v>0</v>
      </c>
      <c r="J94" s="5">
        <f>H94*(1-I94)</f>
        <v>0</v>
      </c>
      <c r="K94" s="6">
        <f>B2</f>
        <v>0</v>
      </c>
      <c r="L94" s="3" t="s">
        <v>294</v>
      </c>
      <c r="M94" t="s">
        <v>295</v>
      </c>
    </row>
    <row r="95" spans="1:13" outlineLevel="2" x14ac:dyDescent="0.25">
      <c r="A95" t="s">
        <v>86</v>
      </c>
      <c r="B95" s="3" t="s">
        <v>296</v>
      </c>
      <c r="C95" t="s">
        <v>251</v>
      </c>
      <c r="D95" t="s">
        <v>297</v>
      </c>
      <c r="E95" s="4">
        <v>21</v>
      </c>
      <c r="F95" t="s">
        <v>102</v>
      </c>
      <c r="G95" s="5">
        <f>SUMPRODUCT((Kalkulation!A2:A50000=B95)*Kalkulation!D2:D50000)</f>
        <v>0</v>
      </c>
      <c r="H95" s="5">
        <f>G95*E95</f>
        <v>0</v>
      </c>
      <c r="J95" s="5">
        <f>H95*(1-I95)</f>
        <v>0</v>
      </c>
      <c r="K95" s="6">
        <f>B2</f>
        <v>0</v>
      </c>
      <c r="L95" s="3" t="s">
        <v>294</v>
      </c>
      <c r="M95" t="s">
        <v>298</v>
      </c>
    </row>
    <row r="96" spans="1:13" outlineLevel="2" x14ac:dyDescent="0.25">
      <c r="A96" t="s">
        <v>86</v>
      </c>
      <c r="B96" s="3" t="s">
        <v>299</v>
      </c>
      <c r="C96" t="s">
        <v>300</v>
      </c>
      <c r="D96" t="s">
        <v>301</v>
      </c>
      <c r="E96" s="4">
        <v>44</v>
      </c>
      <c r="F96" t="s">
        <v>117</v>
      </c>
      <c r="G96" s="5">
        <f>SUMPRODUCT((Kalkulation!A2:A50000=B96)*Kalkulation!D2:D50000)</f>
        <v>0</v>
      </c>
      <c r="H96" s="5">
        <f>G96*E96</f>
        <v>0</v>
      </c>
      <c r="J96" s="5">
        <f>H96*(1-I96)</f>
        <v>0</v>
      </c>
      <c r="K96" s="6">
        <f>B2</f>
        <v>0</v>
      </c>
      <c r="L96" s="3" t="s">
        <v>294</v>
      </c>
      <c r="M96" t="s">
        <v>302</v>
      </c>
    </row>
    <row r="97" spans="1:13" outlineLevel="2" x14ac:dyDescent="0.25">
      <c r="A97" t="s">
        <v>86</v>
      </c>
      <c r="B97" s="3" t="s">
        <v>303</v>
      </c>
      <c r="C97" t="s">
        <v>304</v>
      </c>
      <c r="D97" t="s">
        <v>305</v>
      </c>
      <c r="E97" s="4">
        <v>4</v>
      </c>
      <c r="F97" t="s">
        <v>102</v>
      </c>
      <c r="G97" s="5">
        <f>SUMPRODUCT((Kalkulation!A2:A50000=B97)*Kalkulation!D2:D50000)</f>
        <v>0</v>
      </c>
      <c r="H97" s="5">
        <f>G97*E97</f>
        <v>0</v>
      </c>
      <c r="J97" s="5">
        <f>H97*(1-I97)</f>
        <v>0</v>
      </c>
      <c r="K97" s="6">
        <f>B2</f>
        <v>0</v>
      </c>
      <c r="L97" s="3" t="s">
        <v>294</v>
      </c>
      <c r="M97" t="s">
        <v>306</v>
      </c>
    </row>
    <row r="98" spans="1:13" s="7" customFormat="1" outlineLevel="1" x14ac:dyDescent="0.25">
      <c r="A98" s="14" t="s">
        <v>81</v>
      </c>
      <c r="B98" s="15" t="s">
        <v>291</v>
      </c>
      <c r="C98" s="14" t="s">
        <v>244</v>
      </c>
      <c r="D98" s="14"/>
      <c r="E98" s="16"/>
      <c r="F98" s="14"/>
      <c r="G98" s="17"/>
      <c r="H98" s="17">
        <f>SUMIF(L:L,"d5f2a4c6-5a73-492b-aaaf-45b65680876d",J:J)</f>
        <v>0</v>
      </c>
      <c r="I98" s="18"/>
      <c r="J98" s="17">
        <f>H98*(1-I98)</f>
        <v>0</v>
      </c>
      <c r="K98" s="18"/>
      <c r="L98" s="8" t="s">
        <v>290</v>
      </c>
      <c r="M98" s="7" t="s">
        <v>294</v>
      </c>
    </row>
    <row r="99" spans="1:13" outlineLevel="2" x14ac:dyDescent="0.25">
      <c r="A99" t="s">
        <v>66</v>
      </c>
      <c r="B99" s="3" t="s">
        <v>307</v>
      </c>
      <c r="C99" t="s">
        <v>154</v>
      </c>
      <c r="K99" s="6" t="str">
        <f>""</f>
        <v/>
      </c>
    </row>
    <row r="100" spans="1:13" outlineLevel="2" x14ac:dyDescent="0.25">
      <c r="A100" t="s">
        <v>86</v>
      </c>
      <c r="B100" s="3" t="s">
        <v>308</v>
      </c>
      <c r="C100" t="s">
        <v>156</v>
      </c>
      <c r="D100" t="s">
        <v>309</v>
      </c>
      <c r="E100" s="4">
        <v>35</v>
      </c>
      <c r="F100" t="s">
        <v>117</v>
      </c>
      <c r="G100" s="5">
        <f>SUMPRODUCT((Kalkulation!A2:A50000=B100)*Kalkulation!D2:D50000)</f>
        <v>0</v>
      </c>
      <c r="H100" s="5">
        <f>G100*E100</f>
        <v>0</v>
      </c>
      <c r="J100" s="5">
        <f t="shared" ref="J100:J106" si="8">H100*(1-I100)</f>
        <v>0</v>
      </c>
      <c r="K100" s="6">
        <f>B2</f>
        <v>0</v>
      </c>
      <c r="L100" s="3" t="s">
        <v>310</v>
      </c>
      <c r="M100" t="s">
        <v>311</v>
      </c>
    </row>
    <row r="101" spans="1:13" outlineLevel="2" x14ac:dyDescent="0.25">
      <c r="A101" t="s">
        <v>86</v>
      </c>
      <c r="B101" s="3" t="s">
        <v>312</v>
      </c>
      <c r="C101" t="s">
        <v>313</v>
      </c>
      <c r="D101" t="s">
        <v>314</v>
      </c>
      <c r="E101" s="4">
        <v>35</v>
      </c>
      <c r="F101" t="s">
        <v>117</v>
      </c>
      <c r="G101" s="5">
        <f>SUMPRODUCT((Kalkulation!A2:A50000=B101)*Kalkulation!D2:D50000)</f>
        <v>0</v>
      </c>
      <c r="H101" s="5">
        <f>G101*E101</f>
        <v>0</v>
      </c>
      <c r="J101" s="5">
        <f t="shared" si="8"/>
        <v>0</v>
      </c>
      <c r="K101" s="6">
        <f>B2</f>
        <v>0</v>
      </c>
      <c r="L101" s="3" t="s">
        <v>310</v>
      </c>
      <c r="M101" t="s">
        <v>315</v>
      </c>
    </row>
    <row r="102" spans="1:13" outlineLevel="2" x14ac:dyDescent="0.25">
      <c r="A102" t="s">
        <v>86</v>
      </c>
      <c r="B102" s="3" t="s">
        <v>316</v>
      </c>
      <c r="C102" t="s">
        <v>177</v>
      </c>
      <c r="D102" t="s">
        <v>317</v>
      </c>
      <c r="E102" s="4">
        <v>38</v>
      </c>
      <c r="F102" t="s">
        <v>117</v>
      </c>
      <c r="G102" s="5">
        <f>SUMPRODUCT((Kalkulation!A2:A50000=B102)*Kalkulation!D2:D50000)</f>
        <v>0</v>
      </c>
      <c r="H102" s="5">
        <f>G102*E102</f>
        <v>0</v>
      </c>
      <c r="J102" s="5">
        <f t="shared" si="8"/>
        <v>0</v>
      </c>
      <c r="K102" s="6">
        <f>B2</f>
        <v>0</v>
      </c>
      <c r="L102" s="3" t="s">
        <v>310</v>
      </c>
      <c r="M102" t="s">
        <v>318</v>
      </c>
    </row>
    <row r="103" spans="1:13" outlineLevel="2" x14ac:dyDescent="0.25">
      <c r="A103" t="s">
        <v>86</v>
      </c>
      <c r="B103" s="3" t="s">
        <v>319</v>
      </c>
      <c r="C103" t="s">
        <v>320</v>
      </c>
      <c r="D103" t="s">
        <v>321</v>
      </c>
      <c r="E103" s="4">
        <v>35</v>
      </c>
      <c r="F103" t="s">
        <v>117</v>
      </c>
      <c r="G103" s="5">
        <f>SUMPRODUCT((Kalkulation!A2:A50000=B103)*Kalkulation!D2:D50000)</f>
        <v>0</v>
      </c>
      <c r="H103" s="5">
        <f>G103*E103</f>
        <v>0</v>
      </c>
      <c r="J103" s="5">
        <f t="shared" si="8"/>
        <v>0</v>
      </c>
      <c r="K103" s="6">
        <f>B2</f>
        <v>0</v>
      </c>
      <c r="L103" s="3" t="s">
        <v>310</v>
      </c>
      <c r="M103" t="s">
        <v>322</v>
      </c>
    </row>
    <row r="104" spans="1:13" outlineLevel="2" x14ac:dyDescent="0.25">
      <c r="A104" t="s">
        <v>86</v>
      </c>
      <c r="B104" s="3" t="s">
        <v>323</v>
      </c>
      <c r="C104" t="s">
        <v>324</v>
      </c>
      <c r="D104" t="s">
        <v>325</v>
      </c>
      <c r="E104" s="4">
        <v>35</v>
      </c>
      <c r="F104" t="s">
        <v>117</v>
      </c>
      <c r="G104" s="5">
        <f>SUMPRODUCT((Kalkulation!A2:A50000=B104)*Kalkulation!D2:D50000)</f>
        <v>0</v>
      </c>
      <c r="H104" s="5">
        <f>G104*E104</f>
        <v>0</v>
      </c>
      <c r="J104" s="5">
        <f t="shared" si="8"/>
        <v>0</v>
      </c>
      <c r="K104" s="6">
        <f>B2</f>
        <v>0</v>
      </c>
      <c r="L104" s="3" t="s">
        <v>310</v>
      </c>
      <c r="M104" t="s">
        <v>326</v>
      </c>
    </row>
    <row r="105" spans="1:13" s="7" customFormat="1" outlineLevel="1" x14ac:dyDescent="0.25">
      <c r="A105" s="14" t="s">
        <v>81</v>
      </c>
      <c r="B105" s="15" t="s">
        <v>307</v>
      </c>
      <c r="C105" s="14" t="s">
        <v>154</v>
      </c>
      <c r="D105" s="14"/>
      <c r="E105" s="16"/>
      <c r="F105" s="14"/>
      <c r="G105" s="17"/>
      <c r="H105" s="17">
        <f>SUMIF(L:L,"65d67cf8-d2ef-4ee1-b4eb-f5b211564f01",J:J)</f>
        <v>0</v>
      </c>
      <c r="I105" s="18"/>
      <c r="J105" s="17">
        <f t="shared" si="8"/>
        <v>0</v>
      </c>
      <c r="K105" s="18"/>
      <c r="L105" s="8" t="s">
        <v>290</v>
      </c>
      <c r="M105" s="7" t="s">
        <v>310</v>
      </c>
    </row>
    <row r="106" spans="1:13" s="7" customFormat="1" x14ac:dyDescent="0.25">
      <c r="A106" s="14" t="s">
        <v>81</v>
      </c>
      <c r="B106" s="15" t="s">
        <v>254</v>
      </c>
      <c r="C106" s="14" t="s">
        <v>255</v>
      </c>
      <c r="D106" s="14"/>
      <c r="E106" s="16"/>
      <c r="F106" s="14"/>
      <c r="G106" s="17"/>
      <c r="H106" s="17">
        <f>SUMIF(L:L,"a8ced816-c85a-4145-96a4-c7c188a2b300",J:J)</f>
        <v>0</v>
      </c>
      <c r="I106" s="18"/>
      <c r="J106" s="17">
        <f t="shared" si="8"/>
        <v>0</v>
      </c>
      <c r="K106" s="18"/>
      <c r="L106" s="8" t="s">
        <v>82</v>
      </c>
      <c r="M106" s="7" t="s">
        <v>290</v>
      </c>
    </row>
    <row r="107" spans="1:13" outlineLevel="1" x14ac:dyDescent="0.25">
      <c r="A107" t="s">
        <v>66</v>
      </c>
      <c r="B107" s="3" t="s">
        <v>327</v>
      </c>
      <c r="C107" t="s">
        <v>328</v>
      </c>
      <c r="K107" s="6" t="str">
        <f>""</f>
        <v/>
      </c>
    </row>
    <row r="108" spans="1:13" outlineLevel="2" x14ac:dyDescent="0.25">
      <c r="A108" t="s">
        <v>66</v>
      </c>
      <c r="B108" s="3" t="s">
        <v>329</v>
      </c>
      <c r="C108" t="s">
        <v>113</v>
      </c>
      <c r="K108" s="6" t="str">
        <f>""</f>
        <v/>
      </c>
    </row>
    <row r="109" spans="1:13" outlineLevel="2" x14ac:dyDescent="0.25">
      <c r="A109" t="s">
        <v>86</v>
      </c>
      <c r="B109" s="3" t="s">
        <v>330</v>
      </c>
      <c r="C109" t="s">
        <v>115</v>
      </c>
      <c r="D109" t="s">
        <v>331</v>
      </c>
      <c r="E109" s="4">
        <v>12</v>
      </c>
      <c r="F109" t="s">
        <v>117</v>
      </c>
      <c r="G109" s="5">
        <f>SUMPRODUCT((Kalkulation!A2:A50000=B109)*Kalkulation!D2:D50000)</f>
        <v>0</v>
      </c>
      <c r="H109" s="5">
        <f>G109*E109</f>
        <v>0</v>
      </c>
      <c r="J109" s="5">
        <f t="shared" ref="J109:J114" si="9">H109*(1-I109)</f>
        <v>0</v>
      </c>
      <c r="K109" s="6">
        <f>B2</f>
        <v>0</v>
      </c>
      <c r="L109" s="3" t="s">
        <v>332</v>
      </c>
      <c r="M109" t="s">
        <v>333</v>
      </c>
    </row>
    <row r="110" spans="1:13" outlineLevel="2" x14ac:dyDescent="0.25">
      <c r="A110" t="s">
        <v>86</v>
      </c>
      <c r="B110" s="3" t="s">
        <v>334</v>
      </c>
      <c r="C110" t="s">
        <v>121</v>
      </c>
      <c r="D110" t="s">
        <v>335</v>
      </c>
      <c r="E110" s="4">
        <v>5</v>
      </c>
      <c r="F110" t="s">
        <v>117</v>
      </c>
      <c r="G110" s="5">
        <f>SUMPRODUCT((Kalkulation!A2:A50000=B110)*Kalkulation!D2:D50000)</f>
        <v>0</v>
      </c>
      <c r="H110" s="5">
        <f>G110*E110</f>
        <v>0</v>
      </c>
      <c r="J110" s="5">
        <f t="shared" si="9"/>
        <v>0</v>
      </c>
      <c r="K110" s="6">
        <f>B2</f>
        <v>0</v>
      </c>
      <c r="L110" s="3" t="s">
        <v>332</v>
      </c>
      <c r="M110" t="s">
        <v>336</v>
      </c>
    </row>
    <row r="111" spans="1:13" outlineLevel="2" x14ac:dyDescent="0.25">
      <c r="A111" t="s">
        <v>86</v>
      </c>
      <c r="B111" s="3" t="s">
        <v>337</v>
      </c>
      <c r="C111" t="s">
        <v>149</v>
      </c>
      <c r="D111" t="s">
        <v>338</v>
      </c>
      <c r="E111" s="4">
        <v>11</v>
      </c>
      <c r="F111" t="s">
        <v>117</v>
      </c>
      <c r="G111" s="5">
        <f>SUMPRODUCT((Kalkulation!A2:A50000=B111)*Kalkulation!D2:D50000)</f>
        <v>0</v>
      </c>
      <c r="H111" s="5">
        <f>G111*E111</f>
        <v>0</v>
      </c>
      <c r="J111" s="5">
        <f t="shared" si="9"/>
        <v>0</v>
      </c>
      <c r="K111" s="6">
        <f>B2</f>
        <v>0</v>
      </c>
      <c r="L111" s="3" t="s">
        <v>332</v>
      </c>
      <c r="M111" t="s">
        <v>339</v>
      </c>
    </row>
    <row r="112" spans="1:13" outlineLevel="2" x14ac:dyDescent="0.25">
      <c r="A112" t="s">
        <v>86</v>
      </c>
      <c r="B112" s="3" t="s">
        <v>340</v>
      </c>
      <c r="C112" t="s">
        <v>235</v>
      </c>
      <c r="D112" t="s">
        <v>341</v>
      </c>
      <c r="E112" s="4">
        <v>12</v>
      </c>
      <c r="F112" t="s">
        <v>117</v>
      </c>
      <c r="G112" s="5">
        <f>SUMPRODUCT((Kalkulation!A2:A50000=B112)*Kalkulation!D2:D50000)</f>
        <v>0</v>
      </c>
      <c r="H112" s="5">
        <f>G112*E112</f>
        <v>0</v>
      </c>
      <c r="J112" s="5">
        <f t="shared" si="9"/>
        <v>0</v>
      </c>
      <c r="K112" s="6">
        <f>B2</f>
        <v>0</v>
      </c>
      <c r="L112" s="3" t="s">
        <v>332</v>
      </c>
      <c r="M112" t="s">
        <v>342</v>
      </c>
    </row>
    <row r="113" spans="1:13" outlineLevel="2" x14ac:dyDescent="0.25">
      <c r="A113" t="s">
        <v>86</v>
      </c>
      <c r="B113" s="3" t="s">
        <v>343</v>
      </c>
      <c r="C113" t="s">
        <v>344</v>
      </c>
      <c r="D113" t="s">
        <v>345</v>
      </c>
      <c r="E113" s="4">
        <v>1</v>
      </c>
      <c r="F113" t="s">
        <v>102</v>
      </c>
      <c r="G113" s="5">
        <f>SUMPRODUCT((Kalkulation!A2:A50000=B113)*Kalkulation!D2:D50000)</f>
        <v>0</v>
      </c>
      <c r="H113" s="5">
        <f>G113*E113</f>
        <v>0</v>
      </c>
      <c r="J113" s="5">
        <f t="shared" si="9"/>
        <v>0</v>
      </c>
      <c r="K113" s="6">
        <f>B2</f>
        <v>0</v>
      </c>
      <c r="L113" s="3" t="s">
        <v>332</v>
      </c>
      <c r="M113" t="s">
        <v>346</v>
      </c>
    </row>
    <row r="114" spans="1:13" s="7" customFormat="1" outlineLevel="1" x14ac:dyDescent="0.25">
      <c r="A114" s="14" t="s">
        <v>81</v>
      </c>
      <c r="B114" s="15" t="s">
        <v>329</v>
      </c>
      <c r="C114" s="14" t="s">
        <v>113</v>
      </c>
      <c r="D114" s="14"/>
      <c r="E114" s="16"/>
      <c r="F114" s="14"/>
      <c r="G114" s="17"/>
      <c r="H114" s="17">
        <f>SUMIF(L:L,"216045ba-01d4-48b8-9630-64036dba72df",J:J)</f>
        <v>0</v>
      </c>
      <c r="I114" s="18"/>
      <c r="J114" s="17">
        <f t="shared" si="9"/>
        <v>0</v>
      </c>
      <c r="K114" s="18"/>
      <c r="L114" s="8" t="s">
        <v>347</v>
      </c>
      <c r="M114" s="7" t="s">
        <v>332</v>
      </c>
    </row>
    <row r="115" spans="1:13" outlineLevel="2" x14ac:dyDescent="0.25">
      <c r="A115" t="s">
        <v>66</v>
      </c>
      <c r="B115" s="3" t="s">
        <v>348</v>
      </c>
      <c r="C115" t="s">
        <v>244</v>
      </c>
      <c r="K115" s="6" t="str">
        <f>""</f>
        <v/>
      </c>
    </row>
    <row r="116" spans="1:13" outlineLevel="2" x14ac:dyDescent="0.25">
      <c r="A116" t="s">
        <v>86</v>
      </c>
      <c r="B116" s="3" t="s">
        <v>349</v>
      </c>
      <c r="C116" t="s">
        <v>246</v>
      </c>
      <c r="D116" t="s">
        <v>350</v>
      </c>
      <c r="E116" s="4">
        <v>7</v>
      </c>
      <c r="F116" t="s">
        <v>117</v>
      </c>
      <c r="G116" s="5">
        <f>SUMPRODUCT((Kalkulation!A2:A50000=B116)*Kalkulation!D2:D50000)</f>
        <v>0</v>
      </c>
      <c r="H116" s="5">
        <f>G116*E116</f>
        <v>0</v>
      </c>
      <c r="J116" s="5">
        <f>H116*(1-I116)</f>
        <v>0</v>
      </c>
      <c r="K116" s="6">
        <f>B2</f>
        <v>0</v>
      </c>
      <c r="L116" s="3" t="s">
        <v>351</v>
      </c>
      <c r="M116" t="s">
        <v>352</v>
      </c>
    </row>
    <row r="117" spans="1:13" s="7" customFormat="1" outlineLevel="1" x14ac:dyDescent="0.25">
      <c r="A117" s="14" t="s">
        <v>81</v>
      </c>
      <c r="B117" s="15" t="s">
        <v>348</v>
      </c>
      <c r="C117" s="14" t="s">
        <v>244</v>
      </c>
      <c r="D117" s="14"/>
      <c r="E117" s="16"/>
      <c r="F117" s="14"/>
      <c r="G117" s="17"/>
      <c r="H117" s="17">
        <f>SUMIF(L:L,"fc1f51e4-a6e3-4987-928c-c88e5e70503a",J:J)</f>
        <v>0</v>
      </c>
      <c r="I117" s="18"/>
      <c r="J117" s="17">
        <f>H117*(1-I117)</f>
        <v>0</v>
      </c>
      <c r="K117" s="18"/>
      <c r="L117" s="8" t="s">
        <v>347</v>
      </c>
      <c r="M117" s="7" t="s">
        <v>351</v>
      </c>
    </row>
    <row r="118" spans="1:13" outlineLevel="2" x14ac:dyDescent="0.25">
      <c r="A118" t="s">
        <v>66</v>
      </c>
      <c r="B118" s="3" t="s">
        <v>353</v>
      </c>
      <c r="C118" t="s">
        <v>154</v>
      </c>
      <c r="K118" s="6" t="str">
        <f>""</f>
        <v/>
      </c>
    </row>
    <row r="119" spans="1:13" outlineLevel="2" x14ac:dyDescent="0.25">
      <c r="A119" t="s">
        <v>86</v>
      </c>
      <c r="B119" s="3" t="s">
        <v>354</v>
      </c>
      <c r="C119" t="s">
        <v>156</v>
      </c>
      <c r="D119" t="s">
        <v>355</v>
      </c>
      <c r="E119" s="4">
        <v>19</v>
      </c>
      <c r="F119" t="s">
        <v>117</v>
      </c>
      <c r="G119" s="5">
        <f>SUMPRODUCT((Kalkulation!A2:A50000=B119)*Kalkulation!D2:D50000)</f>
        <v>0</v>
      </c>
      <c r="H119" s="5">
        <f>G119*E119</f>
        <v>0</v>
      </c>
      <c r="J119" s="5">
        <f t="shared" ref="J119:J125" si="10">H119*(1-I119)</f>
        <v>0</v>
      </c>
      <c r="K119" s="6">
        <f>B2</f>
        <v>0</v>
      </c>
      <c r="L119" s="3" t="s">
        <v>356</v>
      </c>
      <c r="M119" t="s">
        <v>357</v>
      </c>
    </row>
    <row r="120" spans="1:13" outlineLevel="2" x14ac:dyDescent="0.25">
      <c r="A120" t="s">
        <v>86</v>
      </c>
      <c r="B120" s="3" t="s">
        <v>358</v>
      </c>
      <c r="C120" t="s">
        <v>313</v>
      </c>
      <c r="D120" t="s">
        <v>359</v>
      </c>
      <c r="E120" s="4">
        <v>19</v>
      </c>
      <c r="F120" t="s">
        <v>117</v>
      </c>
      <c r="G120" s="5">
        <f>SUMPRODUCT((Kalkulation!A2:A50000=B120)*Kalkulation!D2:D50000)</f>
        <v>0</v>
      </c>
      <c r="H120" s="5">
        <f>G120*E120</f>
        <v>0</v>
      </c>
      <c r="J120" s="5">
        <f t="shared" si="10"/>
        <v>0</v>
      </c>
      <c r="K120" s="6">
        <f>B2</f>
        <v>0</v>
      </c>
      <c r="L120" s="3" t="s">
        <v>356</v>
      </c>
      <c r="M120" t="s">
        <v>360</v>
      </c>
    </row>
    <row r="121" spans="1:13" outlineLevel="2" x14ac:dyDescent="0.25">
      <c r="A121" t="s">
        <v>86</v>
      </c>
      <c r="B121" s="3" t="s">
        <v>361</v>
      </c>
      <c r="C121" t="s">
        <v>177</v>
      </c>
      <c r="D121" t="s">
        <v>362</v>
      </c>
      <c r="E121" s="4">
        <v>19</v>
      </c>
      <c r="F121" t="s">
        <v>117</v>
      </c>
      <c r="G121" s="5">
        <f>SUMPRODUCT((Kalkulation!A2:A50000=B121)*Kalkulation!D2:D50000)</f>
        <v>0</v>
      </c>
      <c r="H121" s="5">
        <f>G121*E121</f>
        <v>0</v>
      </c>
      <c r="J121" s="5">
        <f t="shared" si="10"/>
        <v>0</v>
      </c>
      <c r="K121" s="6">
        <f>B2</f>
        <v>0</v>
      </c>
      <c r="L121" s="3" t="s">
        <v>356</v>
      </c>
      <c r="M121" t="s">
        <v>363</v>
      </c>
    </row>
    <row r="122" spans="1:13" outlineLevel="2" x14ac:dyDescent="0.25">
      <c r="A122" t="s">
        <v>86</v>
      </c>
      <c r="B122" s="3" t="s">
        <v>364</v>
      </c>
      <c r="C122" t="s">
        <v>320</v>
      </c>
      <c r="D122" t="s">
        <v>365</v>
      </c>
      <c r="E122" s="4">
        <v>19</v>
      </c>
      <c r="F122" t="s">
        <v>117</v>
      </c>
      <c r="G122" s="5">
        <f>SUMPRODUCT((Kalkulation!A2:A50000=B122)*Kalkulation!D2:D50000)</f>
        <v>0</v>
      </c>
      <c r="H122" s="5">
        <f>G122*E122</f>
        <v>0</v>
      </c>
      <c r="J122" s="5">
        <f t="shared" si="10"/>
        <v>0</v>
      </c>
      <c r="K122" s="6">
        <f>B2</f>
        <v>0</v>
      </c>
      <c r="L122" s="3" t="s">
        <v>356</v>
      </c>
      <c r="M122" t="s">
        <v>366</v>
      </c>
    </row>
    <row r="123" spans="1:13" outlineLevel="2" x14ac:dyDescent="0.25">
      <c r="A123" t="s">
        <v>86</v>
      </c>
      <c r="B123" s="3" t="s">
        <v>367</v>
      </c>
      <c r="C123" t="s">
        <v>324</v>
      </c>
      <c r="D123" t="s">
        <v>368</v>
      </c>
      <c r="E123" s="4">
        <v>19</v>
      </c>
      <c r="F123" t="s">
        <v>117</v>
      </c>
      <c r="G123" s="5">
        <f>SUMPRODUCT((Kalkulation!A2:A50000=B123)*Kalkulation!D2:D50000)</f>
        <v>0</v>
      </c>
      <c r="H123" s="5">
        <f>G123*E123</f>
        <v>0</v>
      </c>
      <c r="J123" s="5">
        <f t="shared" si="10"/>
        <v>0</v>
      </c>
      <c r="K123" s="6">
        <f>B2</f>
        <v>0</v>
      </c>
      <c r="L123" s="3" t="s">
        <v>356</v>
      </c>
      <c r="M123" t="s">
        <v>369</v>
      </c>
    </row>
    <row r="124" spans="1:13" s="7" customFormat="1" outlineLevel="1" x14ac:dyDescent="0.25">
      <c r="A124" s="14" t="s">
        <v>81</v>
      </c>
      <c r="B124" s="15" t="s">
        <v>353</v>
      </c>
      <c r="C124" s="14" t="s">
        <v>154</v>
      </c>
      <c r="D124" s="14"/>
      <c r="E124" s="16"/>
      <c r="F124" s="14"/>
      <c r="G124" s="17"/>
      <c r="H124" s="17">
        <f>SUMIF(L:L,"6a4601b3-cbfe-4ef4-856f-4b5e67b89d8b",J:J)</f>
        <v>0</v>
      </c>
      <c r="I124" s="18"/>
      <c r="J124" s="17">
        <f t="shared" si="10"/>
        <v>0</v>
      </c>
      <c r="K124" s="18"/>
      <c r="L124" s="8" t="s">
        <v>347</v>
      </c>
      <c r="M124" s="7" t="s">
        <v>356</v>
      </c>
    </row>
    <row r="125" spans="1:13" s="7" customFormat="1" x14ac:dyDescent="0.25">
      <c r="A125" s="14" t="s">
        <v>81</v>
      </c>
      <c r="B125" s="15" t="s">
        <v>327</v>
      </c>
      <c r="C125" s="14" t="s">
        <v>328</v>
      </c>
      <c r="D125" s="14"/>
      <c r="E125" s="16"/>
      <c r="F125" s="14"/>
      <c r="G125" s="17"/>
      <c r="H125" s="17">
        <f>SUMIF(L:L,"f3ee2091-fa1c-4d8f-b5a2-9793047a6117",J:J)</f>
        <v>0</v>
      </c>
      <c r="I125" s="18"/>
      <c r="J125" s="17">
        <f t="shared" si="10"/>
        <v>0</v>
      </c>
      <c r="K125" s="18"/>
      <c r="L125" s="8" t="s">
        <v>82</v>
      </c>
      <c r="M125" s="7" t="s">
        <v>347</v>
      </c>
    </row>
    <row r="126" spans="1:13" outlineLevel="1" x14ac:dyDescent="0.25">
      <c r="A126" t="s">
        <v>66</v>
      </c>
      <c r="B126" s="3" t="s">
        <v>370</v>
      </c>
      <c r="C126" t="s">
        <v>371</v>
      </c>
      <c r="K126" s="6" t="str">
        <f>""</f>
        <v/>
      </c>
    </row>
    <row r="127" spans="1:13" outlineLevel="2" x14ac:dyDescent="0.25">
      <c r="A127" t="s">
        <v>66</v>
      </c>
      <c r="B127" s="3" t="s">
        <v>372</v>
      </c>
      <c r="C127" t="s">
        <v>113</v>
      </c>
      <c r="K127" s="6" t="str">
        <f>""</f>
        <v/>
      </c>
    </row>
    <row r="128" spans="1:13" outlineLevel="2" x14ac:dyDescent="0.25">
      <c r="A128" t="s">
        <v>86</v>
      </c>
      <c r="B128" s="3" t="s">
        <v>373</v>
      </c>
      <c r="C128" t="s">
        <v>149</v>
      </c>
      <c r="D128" t="s">
        <v>374</v>
      </c>
      <c r="E128" s="4">
        <v>1.5</v>
      </c>
      <c r="F128" t="s">
        <v>117</v>
      </c>
      <c r="G128" s="5">
        <f>SUMPRODUCT((Kalkulation!A2:A50000=B128)*Kalkulation!D2:D50000)</f>
        <v>0</v>
      </c>
      <c r="H128" s="5">
        <f>G128*E128</f>
        <v>0</v>
      </c>
      <c r="J128" s="5">
        <f>H128*(1-I128)</f>
        <v>0</v>
      </c>
      <c r="K128" s="6">
        <f>B2</f>
        <v>0</v>
      </c>
      <c r="L128" s="3" t="s">
        <v>375</v>
      </c>
      <c r="M128" t="s">
        <v>376</v>
      </c>
    </row>
    <row r="129" spans="1:13" s="7" customFormat="1" outlineLevel="1" x14ac:dyDescent="0.25">
      <c r="A129" s="14" t="s">
        <v>81</v>
      </c>
      <c r="B129" s="15" t="s">
        <v>372</v>
      </c>
      <c r="C129" s="14" t="s">
        <v>113</v>
      </c>
      <c r="D129" s="14"/>
      <c r="E129" s="16"/>
      <c r="F129" s="14"/>
      <c r="G129" s="17"/>
      <c r="H129" s="17">
        <f>SUMIF(L:L,"76361c43-c5da-4754-be68-2337df8c0279",J:J)</f>
        <v>0</v>
      </c>
      <c r="I129" s="18"/>
      <c r="J129" s="17">
        <f>H129*(1-I129)</f>
        <v>0</v>
      </c>
      <c r="K129" s="18"/>
      <c r="L129" s="8" t="s">
        <v>377</v>
      </c>
      <c r="M129" s="7" t="s">
        <v>375</v>
      </c>
    </row>
    <row r="130" spans="1:13" s="7" customFormat="1" x14ac:dyDescent="0.25">
      <c r="A130" s="14" t="s">
        <v>81</v>
      </c>
      <c r="B130" s="15" t="s">
        <v>370</v>
      </c>
      <c r="C130" s="14" t="s">
        <v>371</v>
      </c>
      <c r="D130" s="14"/>
      <c r="E130" s="16"/>
      <c r="F130" s="14"/>
      <c r="G130" s="17"/>
      <c r="H130" s="17">
        <f>SUMIF(L:L,"890bb2ad-0902-49e8-8914-d16ba24264ea",J:J)</f>
        <v>0</v>
      </c>
      <c r="I130" s="18"/>
      <c r="J130" s="17">
        <f>H130*(1-I130)</f>
        <v>0</v>
      </c>
      <c r="K130" s="18"/>
      <c r="L130" s="8" t="s">
        <v>82</v>
      </c>
      <c r="M130" s="7" t="s">
        <v>377</v>
      </c>
    </row>
    <row r="131" spans="1:13" outlineLevel="1" x14ac:dyDescent="0.25">
      <c r="A131" t="s">
        <v>66</v>
      </c>
      <c r="B131" s="3" t="s">
        <v>378</v>
      </c>
      <c r="C131" t="s">
        <v>379</v>
      </c>
      <c r="K131" s="6" t="str">
        <f>""</f>
        <v/>
      </c>
    </row>
    <row r="132" spans="1:13" outlineLevel="1" x14ac:dyDescent="0.25">
      <c r="A132" t="s">
        <v>86</v>
      </c>
      <c r="B132" s="3" t="s">
        <v>380</v>
      </c>
      <c r="C132" t="s">
        <v>381</v>
      </c>
      <c r="D132" t="s">
        <v>382</v>
      </c>
      <c r="E132" s="4">
        <v>21</v>
      </c>
      <c r="F132" t="s">
        <v>102</v>
      </c>
      <c r="G132" s="5">
        <f>SUMPRODUCT((Kalkulation!A2:A50000=B132)*Kalkulation!D2:D50000)</f>
        <v>0</v>
      </c>
      <c r="H132" s="5">
        <f t="shared" ref="H132:H153" si="11">G132*E132</f>
        <v>0</v>
      </c>
      <c r="J132" s="5">
        <f t="shared" ref="J132:J154" si="12">H132*(1-I132)</f>
        <v>0</v>
      </c>
      <c r="K132" s="6">
        <f>B2</f>
        <v>0</v>
      </c>
      <c r="L132" s="3" t="s">
        <v>383</v>
      </c>
      <c r="M132" t="s">
        <v>384</v>
      </c>
    </row>
    <row r="133" spans="1:13" outlineLevel="1" x14ac:dyDescent="0.25">
      <c r="A133" t="s">
        <v>86</v>
      </c>
      <c r="B133" s="3" t="s">
        <v>385</v>
      </c>
      <c r="C133" t="s">
        <v>386</v>
      </c>
      <c r="D133" t="s">
        <v>387</v>
      </c>
      <c r="E133" s="4">
        <v>31</v>
      </c>
      <c r="F133" t="s">
        <v>183</v>
      </c>
      <c r="G133" s="5">
        <f>SUMPRODUCT((Kalkulation!A2:A50000=B133)*Kalkulation!D2:D50000)</f>
        <v>0</v>
      </c>
      <c r="H133" s="5">
        <f t="shared" si="11"/>
        <v>0</v>
      </c>
      <c r="J133" s="5">
        <f t="shared" si="12"/>
        <v>0</v>
      </c>
      <c r="K133" s="6">
        <f>B2</f>
        <v>0</v>
      </c>
      <c r="L133" s="3" t="s">
        <v>383</v>
      </c>
      <c r="M133" t="s">
        <v>388</v>
      </c>
    </row>
    <row r="134" spans="1:13" outlineLevel="1" x14ac:dyDescent="0.25">
      <c r="A134" t="s">
        <v>86</v>
      </c>
      <c r="B134" s="3" t="s">
        <v>389</v>
      </c>
      <c r="C134" t="s">
        <v>390</v>
      </c>
      <c r="D134" t="s">
        <v>391</v>
      </c>
      <c r="E134" s="4">
        <v>137</v>
      </c>
      <c r="F134" t="s">
        <v>183</v>
      </c>
      <c r="G134" s="5">
        <f>SUMPRODUCT((Kalkulation!A2:A50000=B134)*Kalkulation!D2:D50000)</f>
        <v>0</v>
      </c>
      <c r="H134" s="5">
        <f t="shared" si="11"/>
        <v>0</v>
      </c>
      <c r="J134" s="5">
        <f t="shared" si="12"/>
        <v>0</v>
      </c>
      <c r="K134" s="6">
        <f>B2</f>
        <v>0</v>
      </c>
      <c r="L134" s="3" t="s">
        <v>383</v>
      </c>
      <c r="M134" t="s">
        <v>392</v>
      </c>
    </row>
    <row r="135" spans="1:13" outlineLevel="1" x14ac:dyDescent="0.25">
      <c r="A135" t="s">
        <v>86</v>
      </c>
      <c r="B135" s="3" t="s">
        <v>393</v>
      </c>
      <c r="C135" t="s">
        <v>394</v>
      </c>
      <c r="D135" t="s">
        <v>395</v>
      </c>
      <c r="E135" s="4">
        <v>115</v>
      </c>
      <c r="F135" t="s">
        <v>183</v>
      </c>
      <c r="G135" s="5">
        <f>SUMPRODUCT((Kalkulation!A2:A50000=B135)*Kalkulation!D2:D50000)</f>
        <v>0</v>
      </c>
      <c r="H135" s="5">
        <f t="shared" si="11"/>
        <v>0</v>
      </c>
      <c r="J135" s="5">
        <f t="shared" si="12"/>
        <v>0</v>
      </c>
      <c r="K135" s="6">
        <f>B2</f>
        <v>0</v>
      </c>
      <c r="L135" s="3" t="s">
        <v>383</v>
      </c>
      <c r="M135" t="s">
        <v>396</v>
      </c>
    </row>
    <row r="136" spans="1:13" outlineLevel="1" x14ac:dyDescent="0.25">
      <c r="A136" t="s">
        <v>86</v>
      </c>
      <c r="B136" s="3" t="s">
        <v>397</v>
      </c>
      <c r="C136" t="s">
        <v>398</v>
      </c>
      <c r="D136" t="s">
        <v>399</v>
      </c>
      <c r="E136" s="4">
        <v>18.600000000000001</v>
      </c>
      <c r="F136" t="s">
        <v>183</v>
      </c>
      <c r="G136" s="5">
        <f>SUMPRODUCT((Kalkulation!A2:A50000=B136)*Kalkulation!D2:D50000)</f>
        <v>0</v>
      </c>
      <c r="H136" s="5">
        <f t="shared" si="11"/>
        <v>0</v>
      </c>
      <c r="J136" s="5">
        <f t="shared" si="12"/>
        <v>0</v>
      </c>
      <c r="K136" s="6">
        <f>B2</f>
        <v>0</v>
      </c>
      <c r="L136" s="3" t="s">
        <v>383</v>
      </c>
      <c r="M136" t="s">
        <v>400</v>
      </c>
    </row>
    <row r="137" spans="1:13" outlineLevel="1" x14ac:dyDescent="0.25">
      <c r="A137" t="s">
        <v>86</v>
      </c>
      <c r="B137" s="3" t="s">
        <v>401</v>
      </c>
      <c r="C137" t="s">
        <v>402</v>
      </c>
      <c r="D137" t="s">
        <v>403</v>
      </c>
      <c r="E137" s="4">
        <v>31</v>
      </c>
      <c r="F137" t="s">
        <v>183</v>
      </c>
      <c r="G137" s="5">
        <f>SUMPRODUCT((Kalkulation!A2:A50000=B137)*Kalkulation!D2:D50000)</f>
        <v>0</v>
      </c>
      <c r="H137" s="5">
        <f t="shared" si="11"/>
        <v>0</v>
      </c>
      <c r="J137" s="5">
        <f t="shared" si="12"/>
        <v>0</v>
      </c>
      <c r="K137" s="6">
        <f>B2</f>
        <v>0</v>
      </c>
      <c r="L137" s="3" t="s">
        <v>383</v>
      </c>
      <c r="M137" t="s">
        <v>404</v>
      </c>
    </row>
    <row r="138" spans="1:13" outlineLevel="1" x14ac:dyDescent="0.25">
      <c r="A138" t="s">
        <v>86</v>
      </c>
      <c r="B138" s="3" t="s">
        <v>405</v>
      </c>
      <c r="C138" t="s">
        <v>406</v>
      </c>
      <c r="D138" t="s">
        <v>407</v>
      </c>
      <c r="E138" s="4">
        <v>37.200000000000003</v>
      </c>
      <c r="F138" t="s">
        <v>183</v>
      </c>
      <c r="G138" s="5">
        <f>SUMPRODUCT((Kalkulation!A2:A50000=B138)*Kalkulation!D2:D50000)</f>
        <v>0</v>
      </c>
      <c r="H138" s="5">
        <f t="shared" si="11"/>
        <v>0</v>
      </c>
      <c r="J138" s="5">
        <f t="shared" si="12"/>
        <v>0</v>
      </c>
      <c r="K138" s="6">
        <f>B2</f>
        <v>0</v>
      </c>
      <c r="L138" s="3" t="s">
        <v>383</v>
      </c>
      <c r="M138" t="s">
        <v>408</v>
      </c>
    </row>
    <row r="139" spans="1:13" outlineLevel="1" x14ac:dyDescent="0.25">
      <c r="A139" t="s">
        <v>86</v>
      </c>
      <c r="B139" s="3" t="s">
        <v>409</v>
      </c>
      <c r="C139" t="s">
        <v>410</v>
      </c>
      <c r="D139" t="s">
        <v>411</v>
      </c>
      <c r="E139" s="4">
        <v>115</v>
      </c>
      <c r="F139" t="s">
        <v>183</v>
      </c>
      <c r="G139" s="5">
        <f>SUMPRODUCT((Kalkulation!A2:A50000=B139)*Kalkulation!D2:D50000)</f>
        <v>0</v>
      </c>
      <c r="H139" s="5">
        <f t="shared" si="11"/>
        <v>0</v>
      </c>
      <c r="J139" s="5">
        <f t="shared" si="12"/>
        <v>0</v>
      </c>
      <c r="K139" s="6">
        <f>B2</f>
        <v>0</v>
      </c>
      <c r="L139" s="3" t="s">
        <v>383</v>
      </c>
      <c r="M139" t="s">
        <v>412</v>
      </c>
    </row>
    <row r="140" spans="1:13" outlineLevel="1" x14ac:dyDescent="0.25">
      <c r="A140" t="s">
        <v>86</v>
      </c>
      <c r="B140" s="3" t="s">
        <v>413</v>
      </c>
      <c r="C140" t="s">
        <v>414</v>
      </c>
      <c r="D140" t="s">
        <v>415</v>
      </c>
      <c r="E140" s="4">
        <v>38</v>
      </c>
      <c r="F140" t="s">
        <v>102</v>
      </c>
      <c r="G140" s="5">
        <f>SUMPRODUCT((Kalkulation!A2:A50000=B140)*Kalkulation!D2:D50000)</f>
        <v>0</v>
      </c>
      <c r="H140" s="5">
        <f t="shared" si="11"/>
        <v>0</v>
      </c>
      <c r="J140" s="5">
        <f t="shared" si="12"/>
        <v>0</v>
      </c>
      <c r="K140" s="6">
        <f>B2</f>
        <v>0</v>
      </c>
      <c r="L140" s="3" t="s">
        <v>383</v>
      </c>
      <c r="M140" t="s">
        <v>416</v>
      </c>
    </row>
    <row r="141" spans="1:13" outlineLevel="1" x14ac:dyDescent="0.25">
      <c r="A141" t="s">
        <v>86</v>
      </c>
      <c r="B141" s="3" t="s">
        <v>417</v>
      </c>
      <c r="C141" t="s">
        <v>418</v>
      </c>
      <c r="D141" t="s">
        <v>419</v>
      </c>
      <c r="E141" s="4">
        <v>14</v>
      </c>
      <c r="F141" t="s">
        <v>102</v>
      </c>
      <c r="G141" s="5">
        <f>SUMPRODUCT((Kalkulation!A2:A50000=B141)*Kalkulation!D2:D50000)</f>
        <v>0</v>
      </c>
      <c r="H141" s="5">
        <f t="shared" si="11"/>
        <v>0</v>
      </c>
      <c r="J141" s="5">
        <f t="shared" si="12"/>
        <v>0</v>
      </c>
      <c r="K141" s="6">
        <f>B2</f>
        <v>0</v>
      </c>
      <c r="L141" s="3" t="s">
        <v>383</v>
      </c>
      <c r="M141" t="s">
        <v>420</v>
      </c>
    </row>
    <row r="142" spans="1:13" outlineLevel="1" x14ac:dyDescent="0.25">
      <c r="A142" t="s">
        <v>86</v>
      </c>
      <c r="B142" s="3" t="s">
        <v>421</v>
      </c>
      <c r="C142" t="s">
        <v>422</v>
      </c>
      <c r="D142" t="s">
        <v>423</v>
      </c>
      <c r="E142" s="4">
        <v>62</v>
      </c>
      <c r="F142" t="s">
        <v>102</v>
      </c>
      <c r="G142" s="5">
        <f>SUMPRODUCT((Kalkulation!A2:A50000=B142)*Kalkulation!D2:D50000)</f>
        <v>0</v>
      </c>
      <c r="H142" s="5">
        <f t="shared" si="11"/>
        <v>0</v>
      </c>
      <c r="J142" s="5">
        <f t="shared" si="12"/>
        <v>0</v>
      </c>
      <c r="K142" s="6">
        <f>B2</f>
        <v>0</v>
      </c>
      <c r="L142" s="3" t="s">
        <v>383</v>
      </c>
      <c r="M142" t="s">
        <v>424</v>
      </c>
    </row>
    <row r="143" spans="1:13" outlineLevel="1" x14ac:dyDescent="0.25">
      <c r="A143" t="s">
        <v>86</v>
      </c>
      <c r="B143" s="3" t="s">
        <v>425</v>
      </c>
      <c r="C143" t="s">
        <v>426</v>
      </c>
      <c r="D143" t="s">
        <v>427</v>
      </c>
      <c r="E143" s="4">
        <v>8</v>
      </c>
      <c r="F143" t="s">
        <v>102</v>
      </c>
      <c r="G143" s="5">
        <f>SUMPRODUCT((Kalkulation!A2:A50000=B143)*Kalkulation!D2:D50000)</f>
        <v>0</v>
      </c>
      <c r="H143" s="5">
        <f t="shared" si="11"/>
        <v>0</v>
      </c>
      <c r="J143" s="5">
        <f t="shared" si="12"/>
        <v>0</v>
      </c>
      <c r="K143" s="6">
        <f>B2</f>
        <v>0</v>
      </c>
      <c r="L143" s="3" t="s">
        <v>383</v>
      </c>
      <c r="M143" t="s">
        <v>428</v>
      </c>
    </row>
    <row r="144" spans="1:13" outlineLevel="1" x14ac:dyDescent="0.25">
      <c r="A144" t="s">
        <v>86</v>
      </c>
      <c r="B144" s="3" t="s">
        <v>429</v>
      </c>
      <c r="C144" t="s">
        <v>430</v>
      </c>
      <c r="D144" t="s">
        <v>431</v>
      </c>
      <c r="E144" s="4">
        <v>8</v>
      </c>
      <c r="F144" t="s">
        <v>102</v>
      </c>
      <c r="G144" s="5">
        <f>SUMPRODUCT((Kalkulation!A2:A50000=B144)*Kalkulation!D2:D50000)</f>
        <v>0</v>
      </c>
      <c r="H144" s="5">
        <f t="shared" si="11"/>
        <v>0</v>
      </c>
      <c r="J144" s="5">
        <f t="shared" si="12"/>
        <v>0</v>
      </c>
      <c r="K144" s="6">
        <f>B2</f>
        <v>0</v>
      </c>
      <c r="L144" s="3" t="s">
        <v>383</v>
      </c>
      <c r="M144" t="s">
        <v>432</v>
      </c>
    </row>
    <row r="145" spans="1:13" outlineLevel="1" x14ac:dyDescent="0.25">
      <c r="A145" t="s">
        <v>86</v>
      </c>
      <c r="B145" s="3" t="s">
        <v>433</v>
      </c>
      <c r="C145" t="s">
        <v>434</v>
      </c>
      <c r="D145" t="s">
        <v>435</v>
      </c>
      <c r="E145" s="4">
        <v>8</v>
      </c>
      <c r="F145" t="s">
        <v>102</v>
      </c>
      <c r="G145" s="5">
        <f>SUMPRODUCT((Kalkulation!A2:A50000=B145)*Kalkulation!D2:D50000)</f>
        <v>0</v>
      </c>
      <c r="H145" s="5">
        <f t="shared" si="11"/>
        <v>0</v>
      </c>
      <c r="J145" s="5">
        <f t="shared" si="12"/>
        <v>0</v>
      </c>
      <c r="K145" s="6">
        <f>B2</f>
        <v>0</v>
      </c>
      <c r="L145" s="3" t="s">
        <v>383</v>
      </c>
      <c r="M145" t="s">
        <v>436</v>
      </c>
    </row>
    <row r="146" spans="1:13" outlineLevel="1" x14ac:dyDescent="0.25">
      <c r="A146" t="s">
        <v>86</v>
      </c>
      <c r="B146" s="3" t="s">
        <v>437</v>
      </c>
      <c r="C146" t="s">
        <v>438</v>
      </c>
      <c r="D146" t="s">
        <v>439</v>
      </c>
      <c r="E146" s="4">
        <v>2</v>
      </c>
      <c r="F146" t="s">
        <v>102</v>
      </c>
      <c r="G146" s="5">
        <f>SUMPRODUCT((Kalkulation!A2:A50000=B146)*Kalkulation!D2:D50000)</f>
        <v>0</v>
      </c>
      <c r="H146" s="5">
        <f t="shared" si="11"/>
        <v>0</v>
      </c>
      <c r="J146" s="5">
        <f t="shared" si="12"/>
        <v>0</v>
      </c>
      <c r="K146" s="6">
        <f>B2</f>
        <v>0</v>
      </c>
      <c r="L146" s="3" t="s">
        <v>383</v>
      </c>
      <c r="M146" t="s">
        <v>440</v>
      </c>
    </row>
    <row r="147" spans="1:13" outlineLevel="1" x14ac:dyDescent="0.25">
      <c r="A147" t="s">
        <v>86</v>
      </c>
      <c r="B147" s="3" t="s">
        <v>441</v>
      </c>
      <c r="C147" t="s">
        <v>442</v>
      </c>
      <c r="D147" t="s">
        <v>443</v>
      </c>
      <c r="E147" s="4">
        <v>2</v>
      </c>
      <c r="F147" t="s">
        <v>102</v>
      </c>
      <c r="G147" s="5">
        <f>SUMPRODUCT((Kalkulation!A2:A50000=B147)*Kalkulation!D2:D50000)</f>
        <v>0</v>
      </c>
      <c r="H147" s="5">
        <f t="shared" si="11"/>
        <v>0</v>
      </c>
      <c r="J147" s="5">
        <f t="shared" si="12"/>
        <v>0</v>
      </c>
      <c r="K147" s="6">
        <f>B2</f>
        <v>0</v>
      </c>
      <c r="L147" s="3" t="s">
        <v>383</v>
      </c>
      <c r="M147" t="s">
        <v>444</v>
      </c>
    </row>
    <row r="148" spans="1:13" outlineLevel="1" x14ac:dyDescent="0.25">
      <c r="A148" t="s">
        <v>86</v>
      </c>
      <c r="B148" s="3" t="s">
        <v>445</v>
      </c>
      <c r="C148" t="s">
        <v>446</v>
      </c>
      <c r="D148" t="s">
        <v>447</v>
      </c>
      <c r="E148" s="4">
        <v>1</v>
      </c>
      <c r="F148" t="s">
        <v>102</v>
      </c>
      <c r="G148" s="5">
        <f>SUMPRODUCT((Kalkulation!A2:A50000=B148)*Kalkulation!D2:D50000)</f>
        <v>0</v>
      </c>
      <c r="H148" s="5">
        <f t="shared" si="11"/>
        <v>0</v>
      </c>
      <c r="J148" s="5">
        <f t="shared" si="12"/>
        <v>0</v>
      </c>
      <c r="K148" s="6">
        <f>B2</f>
        <v>0</v>
      </c>
      <c r="L148" s="3" t="s">
        <v>383</v>
      </c>
      <c r="M148" t="s">
        <v>448</v>
      </c>
    </row>
    <row r="149" spans="1:13" outlineLevel="1" x14ac:dyDescent="0.25">
      <c r="A149" t="s">
        <v>86</v>
      </c>
      <c r="B149" s="3" t="s">
        <v>449</v>
      </c>
      <c r="C149" t="s">
        <v>450</v>
      </c>
      <c r="D149" t="s">
        <v>451</v>
      </c>
      <c r="E149" s="4">
        <v>1</v>
      </c>
      <c r="F149" t="s">
        <v>102</v>
      </c>
      <c r="G149" s="5">
        <f>SUMPRODUCT((Kalkulation!A2:A50000=B149)*Kalkulation!D2:D50000)</f>
        <v>0</v>
      </c>
      <c r="H149" s="5">
        <f t="shared" si="11"/>
        <v>0</v>
      </c>
      <c r="J149" s="5">
        <f t="shared" si="12"/>
        <v>0</v>
      </c>
      <c r="K149" s="6">
        <f>B2</f>
        <v>0</v>
      </c>
      <c r="L149" s="3" t="s">
        <v>383</v>
      </c>
      <c r="M149" t="s">
        <v>452</v>
      </c>
    </row>
    <row r="150" spans="1:13" outlineLevel="1" x14ac:dyDescent="0.25">
      <c r="A150" t="s">
        <v>86</v>
      </c>
      <c r="B150" s="3" t="s">
        <v>453</v>
      </c>
      <c r="C150" t="s">
        <v>454</v>
      </c>
      <c r="D150" t="s">
        <v>455</v>
      </c>
      <c r="E150" s="4">
        <v>1</v>
      </c>
      <c r="F150" t="s">
        <v>102</v>
      </c>
      <c r="G150" s="5">
        <f>SUMPRODUCT((Kalkulation!A2:A50000=B150)*Kalkulation!D2:D50000)</f>
        <v>0</v>
      </c>
      <c r="H150" s="5">
        <f t="shared" si="11"/>
        <v>0</v>
      </c>
      <c r="J150" s="5">
        <f t="shared" si="12"/>
        <v>0</v>
      </c>
      <c r="K150" s="6">
        <f>B2</f>
        <v>0</v>
      </c>
      <c r="L150" s="3" t="s">
        <v>383</v>
      </c>
      <c r="M150" t="s">
        <v>456</v>
      </c>
    </row>
    <row r="151" spans="1:13" outlineLevel="1" x14ac:dyDescent="0.25">
      <c r="A151" t="s">
        <v>86</v>
      </c>
      <c r="B151" s="3" t="s">
        <v>457</v>
      </c>
      <c r="C151" t="s">
        <v>458</v>
      </c>
      <c r="D151" t="s">
        <v>459</v>
      </c>
      <c r="E151" s="4">
        <v>1</v>
      </c>
      <c r="F151" t="s">
        <v>102</v>
      </c>
      <c r="G151" s="5">
        <f>SUMPRODUCT((Kalkulation!A2:A50000=B151)*Kalkulation!D2:D50000)</f>
        <v>0</v>
      </c>
      <c r="H151" s="5">
        <f t="shared" si="11"/>
        <v>0</v>
      </c>
      <c r="J151" s="5">
        <f t="shared" si="12"/>
        <v>0</v>
      </c>
      <c r="K151" s="6">
        <f>B2</f>
        <v>0</v>
      </c>
      <c r="L151" s="3" t="s">
        <v>383</v>
      </c>
      <c r="M151" t="s">
        <v>460</v>
      </c>
    </row>
    <row r="152" spans="1:13" outlineLevel="1" x14ac:dyDescent="0.25">
      <c r="A152" t="s">
        <v>86</v>
      </c>
      <c r="B152" s="3" t="s">
        <v>461</v>
      </c>
      <c r="C152" t="s">
        <v>462</v>
      </c>
      <c r="D152" t="s">
        <v>463</v>
      </c>
      <c r="E152" s="4">
        <v>532</v>
      </c>
      <c r="F152" t="s">
        <v>183</v>
      </c>
      <c r="G152" s="5">
        <f>SUMPRODUCT((Kalkulation!A2:A50000=B152)*Kalkulation!D2:D50000)</f>
        <v>0</v>
      </c>
      <c r="H152" s="5">
        <f t="shared" si="11"/>
        <v>0</v>
      </c>
      <c r="J152" s="5">
        <f t="shared" si="12"/>
        <v>0</v>
      </c>
      <c r="K152" s="6">
        <f>B2</f>
        <v>0</v>
      </c>
      <c r="L152" s="3" t="s">
        <v>383</v>
      </c>
      <c r="M152" t="s">
        <v>464</v>
      </c>
    </row>
    <row r="153" spans="1:13" outlineLevel="1" x14ac:dyDescent="0.25">
      <c r="A153" t="s">
        <v>86</v>
      </c>
      <c r="B153" s="3" t="s">
        <v>465</v>
      </c>
      <c r="C153" t="s">
        <v>466</v>
      </c>
      <c r="D153" t="s">
        <v>467</v>
      </c>
      <c r="E153" s="4">
        <v>132</v>
      </c>
      <c r="F153" t="s">
        <v>117</v>
      </c>
      <c r="G153" s="5">
        <f>SUMPRODUCT((Kalkulation!A2:A50000=B153)*Kalkulation!D2:D50000)</f>
        <v>0</v>
      </c>
      <c r="H153" s="5">
        <f t="shared" si="11"/>
        <v>0</v>
      </c>
      <c r="J153" s="5">
        <f t="shared" si="12"/>
        <v>0</v>
      </c>
      <c r="K153" s="6">
        <f>B2</f>
        <v>0</v>
      </c>
      <c r="L153" s="3" t="s">
        <v>383</v>
      </c>
      <c r="M153" t="s">
        <v>468</v>
      </c>
    </row>
    <row r="154" spans="1:13" s="7" customFormat="1" x14ac:dyDescent="0.25">
      <c r="A154" s="14" t="s">
        <v>81</v>
      </c>
      <c r="B154" s="15" t="s">
        <v>378</v>
      </c>
      <c r="C154" s="14" t="s">
        <v>379</v>
      </c>
      <c r="D154" s="14"/>
      <c r="E154" s="16"/>
      <c r="F154" s="14"/>
      <c r="G154" s="17"/>
      <c r="H154" s="17">
        <f>SUMIF(L:L,"f0466562-d9ba-4c21-9c6c-f4a085b85adb",J:J)</f>
        <v>0</v>
      </c>
      <c r="I154" s="18"/>
      <c r="J154" s="17">
        <f t="shared" si="12"/>
        <v>0</v>
      </c>
      <c r="K154" s="18"/>
      <c r="L154" s="8" t="s">
        <v>82</v>
      </c>
      <c r="M154" s="7" t="s">
        <v>383</v>
      </c>
    </row>
    <row r="155" spans="1:13" outlineLevel="1" x14ac:dyDescent="0.25">
      <c r="A155" t="s">
        <v>66</v>
      </c>
      <c r="B155" s="3" t="s">
        <v>469</v>
      </c>
      <c r="C155" t="s">
        <v>470</v>
      </c>
      <c r="K155" s="6" t="str">
        <f>""</f>
        <v/>
      </c>
    </row>
    <row r="156" spans="1:13" outlineLevel="1" x14ac:dyDescent="0.25">
      <c r="A156" t="s">
        <v>86</v>
      </c>
      <c r="B156" s="3" t="s">
        <v>471</v>
      </c>
      <c r="C156" t="s">
        <v>472</v>
      </c>
      <c r="D156" t="s">
        <v>473</v>
      </c>
      <c r="E156" s="4">
        <v>1</v>
      </c>
      <c r="F156" t="s">
        <v>90</v>
      </c>
      <c r="G156" s="5">
        <f>SUMPRODUCT((Kalkulation!A2:A50000=B156)*Kalkulation!D2:D50000)</f>
        <v>0</v>
      </c>
      <c r="H156" s="5">
        <f>G156*E156</f>
        <v>0</v>
      </c>
      <c r="J156" s="5">
        <f>H156*(1-I156)</f>
        <v>0</v>
      </c>
      <c r="K156" s="6">
        <f>B2</f>
        <v>0</v>
      </c>
      <c r="L156" s="3" t="s">
        <v>474</v>
      </c>
      <c r="M156" t="s">
        <v>475</v>
      </c>
    </row>
    <row r="157" spans="1:13" s="7" customFormat="1" x14ac:dyDescent="0.25">
      <c r="A157" s="14" t="s">
        <v>81</v>
      </c>
      <c r="B157" s="15" t="s">
        <v>469</v>
      </c>
      <c r="C157" s="14" t="s">
        <v>470</v>
      </c>
      <c r="D157" s="14"/>
      <c r="E157" s="16"/>
      <c r="F157" s="14"/>
      <c r="G157" s="17"/>
      <c r="H157" s="17">
        <f>SUMIF(L:L,"94cc042c-f92b-4671-b94f-744bd8290704",J:J)</f>
        <v>0</v>
      </c>
      <c r="I157" s="18"/>
      <c r="J157" s="17">
        <f>H157*(1-I157)</f>
        <v>0</v>
      </c>
      <c r="K157" s="18"/>
      <c r="L157" s="8" t="s">
        <v>82</v>
      </c>
      <c r="M157" s="7" t="s">
        <v>474</v>
      </c>
    </row>
    <row r="158" spans="1:13" outlineLevel="1" x14ac:dyDescent="0.25">
      <c r="A158" t="s">
        <v>66</v>
      </c>
      <c r="B158" s="3" t="s">
        <v>476</v>
      </c>
      <c r="C158" t="s">
        <v>477</v>
      </c>
      <c r="K158" s="6" t="str">
        <f>""</f>
        <v/>
      </c>
    </row>
    <row r="159" spans="1:13" outlineLevel="1" x14ac:dyDescent="0.25">
      <c r="A159" t="s">
        <v>14</v>
      </c>
      <c r="C159" t="s">
        <v>478</v>
      </c>
      <c r="D159" t="s">
        <v>479</v>
      </c>
      <c r="K159" s="6" t="str">
        <f>""</f>
        <v/>
      </c>
      <c r="M159" t="s">
        <v>480</v>
      </c>
    </row>
    <row r="160" spans="1:13" outlineLevel="1" x14ac:dyDescent="0.25">
      <c r="A160" t="s">
        <v>86</v>
      </c>
      <c r="B160" s="3" t="s">
        <v>481</v>
      </c>
      <c r="C160" t="s">
        <v>482</v>
      </c>
      <c r="D160" t="s">
        <v>483</v>
      </c>
      <c r="E160" s="4">
        <v>5</v>
      </c>
      <c r="F160" t="s">
        <v>484</v>
      </c>
      <c r="G160" s="5">
        <f>SUMPRODUCT((Kalkulation!A2:A50000=B160)*Kalkulation!D2:D50000)</f>
        <v>0</v>
      </c>
      <c r="H160" s="5">
        <f>G160*E160</f>
        <v>0</v>
      </c>
      <c r="J160" s="5">
        <f>H160*(1-I160)</f>
        <v>0</v>
      </c>
      <c r="K160" s="6">
        <f>B2</f>
        <v>0</v>
      </c>
      <c r="L160" s="3" t="s">
        <v>485</v>
      </c>
      <c r="M160" t="s">
        <v>486</v>
      </c>
    </row>
    <row r="161" spans="1:13" outlineLevel="1" x14ac:dyDescent="0.25">
      <c r="A161" t="s">
        <v>86</v>
      </c>
      <c r="B161" s="3" t="s">
        <v>487</v>
      </c>
      <c r="C161" t="s">
        <v>488</v>
      </c>
      <c r="D161" t="s">
        <v>489</v>
      </c>
      <c r="E161" s="4">
        <v>5</v>
      </c>
      <c r="F161" t="s">
        <v>484</v>
      </c>
      <c r="G161" s="5">
        <f>SUMPRODUCT((Kalkulation!A2:A50000=B161)*Kalkulation!D2:D50000)</f>
        <v>0</v>
      </c>
      <c r="H161" s="5">
        <f>G161*E161</f>
        <v>0</v>
      </c>
      <c r="J161" s="5">
        <f>H161*(1-I161)</f>
        <v>0</v>
      </c>
      <c r="K161" s="6">
        <f>B2</f>
        <v>0</v>
      </c>
      <c r="L161" s="3" t="s">
        <v>485</v>
      </c>
      <c r="M161" t="s">
        <v>490</v>
      </c>
    </row>
    <row r="162" spans="1:13" outlineLevel="1" x14ac:dyDescent="0.25">
      <c r="A162" t="s">
        <v>86</v>
      </c>
      <c r="B162" s="3" t="s">
        <v>491</v>
      </c>
      <c r="C162" t="s">
        <v>492</v>
      </c>
      <c r="D162" t="s">
        <v>493</v>
      </c>
      <c r="E162" s="4">
        <v>5</v>
      </c>
      <c r="F162" t="s">
        <v>484</v>
      </c>
      <c r="G162" s="5">
        <f>SUMPRODUCT((Kalkulation!A2:A50000=B162)*Kalkulation!D2:D50000)</f>
        <v>0</v>
      </c>
      <c r="H162" s="5">
        <f>G162*E162</f>
        <v>0</v>
      </c>
      <c r="J162" s="5">
        <f>H162*(1-I162)</f>
        <v>0</v>
      </c>
      <c r="K162" s="6">
        <f>B2</f>
        <v>0</v>
      </c>
      <c r="L162" s="3" t="s">
        <v>485</v>
      </c>
      <c r="M162" t="s">
        <v>494</v>
      </c>
    </row>
    <row r="163" spans="1:13" s="7" customFormat="1" x14ac:dyDescent="0.25">
      <c r="A163" s="14" t="s">
        <v>81</v>
      </c>
      <c r="B163" s="15" t="s">
        <v>476</v>
      </c>
      <c r="C163" s="14" t="s">
        <v>477</v>
      </c>
      <c r="D163" s="14"/>
      <c r="E163" s="16"/>
      <c r="F163" s="14"/>
      <c r="G163" s="17"/>
      <c r="H163" s="17">
        <f>SUMIF(L:L,"d7b634f0-9b09-4d1a-833c-0f276a38e494",J:J)</f>
        <v>0</v>
      </c>
      <c r="I163" s="18"/>
      <c r="J163" s="17">
        <f>H163*(1-I163)</f>
        <v>0</v>
      </c>
      <c r="K163" s="18"/>
      <c r="L163" s="8" t="s">
        <v>82</v>
      </c>
      <c r="M163" s="7" t="s">
        <v>485</v>
      </c>
    </row>
    <row r="164" spans="1:13" s="7" customFormat="1" x14ac:dyDescent="0.25">
      <c r="A164" s="14" t="s">
        <v>495</v>
      </c>
      <c r="B164" s="15"/>
      <c r="C164" s="14"/>
      <c r="D164" s="14"/>
      <c r="E164" s="16"/>
      <c r="F164" s="14"/>
      <c r="G164" s="17"/>
      <c r="H164" s="17">
        <f>SUMIF(L:L,"6dc70e31-e96c-4610-bf73-f2ab9e6f1e90",J:J)</f>
        <v>0</v>
      </c>
      <c r="I164" s="18"/>
      <c r="J164" s="17">
        <f>(1-I164)*H164</f>
        <v>0</v>
      </c>
      <c r="K164" s="18"/>
      <c r="L164" s="8"/>
      <c r="M164" s="7" t="s">
        <v>82</v>
      </c>
    </row>
    <row r="165" spans="1:13" x14ac:dyDescent="0.25">
      <c r="I165" s="6" t="str">
        <f>"MwSt. "&amp;$B$2*100&amp;"%"</f>
        <v>MwSt. 0%</v>
      </c>
      <c r="J165" s="5">
        <f>$B$2*J164</f>
        <v>0</v>
      </c>
    </row>
    <row r="166" spans="1:13" x14ac:dyDescent="0.25">
      <c r="I166" s="13" t="s">
        <v>496</v>
      </c>
      <c r="J166" s="12">
        <f>(1+$B$2)*J164</f>
        <v>0</v>
      </c>
    </row>
  </sheetData>
  <mergeCells count="1">
    <mergeCell ref="B1:K1"/>
  </mergeCells>
  <pageMargins left="0.4" right="0.4" top="0.75" bottom="1" header="0.5" footer="0.75"/>
  <pageSetup paperSize="9" fitToHeight="0" orientation="landscape"/>
  <headerFooter>
    <oddHeader>&amp;CGAEB Export - 049&amp;R&amp;D</oddHeader>
    <oddFooter>&amp;LDangl.AVA.Converter www.dangl-it.com V2.28.9 ©2026&amp;R&amp;P/&amp;N</oddFooter>
    <evenHeader>&amp;CGAEB Export - 049&amp;R&amp;D</evenHeader>
    <evenFooter>&amp;LDangl.AVA.Converter www.dangl-it.com V2.28.9 ©2026&amp;R&amp;P/&amp;N</evenFooter>
    <firstHeader>&amp;CGAEB Export - 049&amp;R&amp;D</firstHeader>
    <firstFooter>&amp;LDangl.AVA.Converter www.dangl-it.com V2.28.9 ©2026&amp;R&amp;P/&amp;N</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1"/>
  <sheetViews>
    <sheetView workbookViewId="0"/>
  </sheetViews>
  <sheetFormatPr baseColWidth="10" defaultColWidth="9.140625" defaultRowHeight="15" x14ac:dyDescent="0.25"/>
  <cols>
    <col min="1" max="1" width="30.7109375" customWidth="1"/>
    <col min="2" max="2" width="40.7109375" customWidth="1"/>
  </cols>
  <sheetData>
    <row r="1" spans="1:2" x14ac:dyDescent="0.25">
      <c r="A1" s="7" t="s">
        <v>0</v>
      </c>
      <c r="B1" t="s">
        <v>497</v>
      </c>
    </row>
    <row r="2" spans="1:2" x14ac:dyDescent="0.25">
      <c r="A2" s="1" t="s">
        <v>498</v>
      </c>
      <c r="B2" s="1"/>
    </row>
    <row r="3" spans="1:2" x14ac:dyDescent="0.25">
      <c r="A3" t="s">
        <v>499</v>
      </c>
      <c r="B3" t="s">
        <v>500</v>
      </c>
    </row>
    <row r="4" spans="1:2" x14ac:dyDescent="0.25">
      <c r="A4" t="s">
        <v>501</v>
      </c>
      <c r="B4" t="s">
        <v>502</v>
      </c>
    </row>
    <row r="5" spans="1:2" x14ac:dyDescent="0.25">
      <c r="A5" t="s">
        <v>503</v>
      </c>
      <c r="B5" t="s">
        <v>504</v>
      </c>
    </row>
    <row r="6" spans="1:2" x14ac:dyDescent="0.25">
      <c r="A6" t="s">
        <v>505</v>
      </c>
      <c r="B6" t="s">
        <v>506</v>
      </c>
    </row>
    <row r="7" spans="1:2" x14ac:dyDescent="0.25">
      <c r="A7" t="s">
        <v>507</v>
      </c>
      <c r="B7" t="s">
        <v>508</v>
      </c>
    </row>
    <row r="9" spans="1:2" x14ac:dyDescent="0.25">
      <c r="A9" s="1" t="s">
        <v>509</v>
      </c>
      <c r="B9" s="1"/>
    </row>
    <row r="10" spans="1:2" x14ac:dyDescent="0.25">
      <c r="A10" t="s">
        <v>510</v>
      </c>
    </row>
    <row r="11" spans="1:2" x14ac:dyDescent="0.25">
      <c r="A11" t="s">
        <v>511</v>
      </c>
    </row>
    <row r="12" spans="1:2" x14ac:dyDescent="0.25">
      <c r="A12" t="s">
        <v>512</v>
      </c>
    </row>
    <row r="13" spans="1:2" x14ac:dyDescent="0.25">
      <c r="A13" t="s">
        <v>513</v>
      </c>
    </row>
    <row r="14" spans="1:2" x14ac:dyDescent="0.25">
      <c r="A14" t="s">
        <v>514</v>
      </c>
    </row>
    <row r="15" spans="1:2" x14ac:dyDescent="0.25">
      <c r="A15" t="s">
        <v>515</v>
      </c>
    </row>
    <row r="16" spans="1:2" x14ac:dyDescent="0.25">
      <c r="A16" t="s">
        <v>516</v>
      </c>
    </row>
    <row r="17" spans="1:2" x14ac:dyDescent="0.25">
      <c r="A17" t="s">
        <v>517</v>
      </c>
    </row>
    <row r="20" spans="1:2" x14ac:dyDescent="0.25">
      <c r="A20" s="1" t="s">
        <v>518</v>
      </c>
      <c r="B20" s="1"/>
    </row>
    <row r="21" spans="1:2" x14ac:dyDescent="0.25">
      <c r="A21" t="s">
        <v>510</v>
      </c>
    </row>
    <row r="25" spans="1:2" x14ac:dyDescent="0.25">
      <c r="A25" t="s">
        <v>511</v>
      </c>
    </row>
    <row r="26" spans="1:2" x14ac:dyDescent="0.25">
      <c r="A26" t="s">
        <v>512</v>
      </c>
    </row>
    <row r="27" spans="1:2" x14ac:dyDescent="0.25">
      <c r="A27" t="s">
        <v>513</v>
      </c>
    </row>
    <row r="28" spans="1:2" x14ac:dyDescent="0.25">
      <c r="A28" t="s">
        <v>514</v>
      </c>
    </row>
    <row r="29" spans="1:2" x14ac:dyDescent="0.25">
      <c r="A29" t="s">
        <v>515</v>
      </c>
    </row>
    <row r="30" spans="1:2" x14ac:dyDescent="0.25">
      <c r="A30" t="s">
        <v>516</v>
      </c>
    </row>
    <row r="31" spans="1:2" x14ac:dyDescent="0.25">
      <c r="A31" t="s">
        <v>517</v>
      </c>
    </row>
  </sheetData>
  <mergeCells count="3">
    <mergeCell ref="A2:B2"/>
    <mergeCell ref="A9:B9"/>
    <mergeCell ref="A20:B20"/>
  </mergeCells>
  <pageMargins left="0.75" right="0.75" top="0.75" bottom="0.5" header="0.5" footer="0.75"/>
  <pageSetup paperSize="9" orientation="portrait"/>
  <headerFooter>
    <oddHeader>&amp;L&amp;P/&amp;N&amp;CProjektinfo - 049&amp;R&amp;D</oddHeader>
    <oddFooter>&amp;LDangl.AVA.Converter www.dangl-it.com V2.28.9 ©2026</oddFooter>
    <evenHeader>&amp;L&amp;P/&amp;N&amp;CProjektinfo - 049&amp;R&amp;D</evenHeader>
    <evenFooter>&amp;LDangl.AVA.Converter www.dangl-it.com V2.28.9 ©2026</evenFooter>
    <firstHeader>&amp;L&amp;P/&amp;N&amp;CProjektinfo - 049&amp;R&amp;D</firstHeader>
    <firstFooter>&amp;LDangl.AVA.Converter www.dangl-it.com V2.28.9 ©2026</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4"/>
  <sheetViews>
    <sheetView workbookViewId="0">
      <pane ySplit="1" topLeftCell="A2" activePane="bottomLeft" state="frozenSplit"/>
      <selection pane="bottomLeft"/>
    </sheetView>
  </sheetViews>
  <sheetFormatPr baseColWidth="10" defaultColWidth="9.140625" defaultRowHeight="15" x14ac:dyDescent="0.25"/>
  <cols>
    <col min="1" max="1" width="15.7109375" style="3" customWidth="1"/>
    <col min="2" max="2" width="76.7109375" customWidth="1"/>
    <col min="3" max="3" width="20.7109375" customWidth="1"/>
    <col min="4" max="4" width="15.7109375" style="19" customWidth="1"/>
    <col min="5" max="5" width="12.7109375" style="20" customWidth="1"/>
    <col min="6" max="6" width="9.140625" hidden="1" customWidth="1"/>
  </cols>
  <sheetData>
    <row r="1" spans="1:6" s="21" customFormat="1" x14ac:dyDescent="0.25">
      <c r="A1" s="22" t="s">
        <v>3</v>
      </c>
      <c r="B1" s="23" t="s">
        <v>519</v>
      </c>
      <c r="C1" s="23" t="s">
        <v>520</v>
      </c>
      <c r="D1" s="24" t="s">
        <v>521</v>
      </c>
      <c r="E1" s="23" t="s">
        <v>7</v>
      </c>
      <c r="F1" s="21" t="s">
        <v>87</v>
      </c>
    </row>
    <row r="2" spans="1:6" x14ac:dyDescent="0.25">
      <c r="A2" s="3" t="s">
        <v>87</v>
      </c>
      <c r="E2" s="20" t="str">
        <f>IF(ISBLANK(A2),"",IF(ISNA(VLOOKUP(A2,'049'!$B$4:$F$166,5,FALSE)),"",VLOOKUP(A2,'049'!$B$4:$F$166,5,FALSE))&amp;"")</f>
        <v>psch</v>
      </c>
      <c r="F2" t="s">
        <v>93</v>
      </c>
    </row>
    <row r="3" spans="1:6" x14ac:dyDescent="0.25">
      <c r="A3" s="3" t="s">
        <v>93</v>
      </c>
      <c r="E3" s="20" t="str">
        <f>IF(ISBLANK(A3),"",IF(ISNA(VLOOKUP(A3,'049'!$B$4:$F$166,5,FALSE)),"",VLOOKUP(A3,'049'!$B$4:$F$166,5,FALSE))&amp;"")</f>
        <v>psch</v>
      </c>
      <c r="F3" t="s">
        <v>99</v>
      </c>
    </row>
    <row r="4" spans="1:6" x14ac:dyDescent="0.25">
      <c r="A4" s="3" t="s">
        <v>99</v>
      </c>
      <c r="E4" s="20" t="str">
        <f>IF(ISBLANK(A4),"",IF(ISNA(VLOOKUP(A4,'049'!$B$4:$F$166,5,FALSE)),"",VLOOKUP(A4,'049'!$B$4:$F$166,5,FALSE))&amp;"")</f>
        <v>St</v>
      </c>
      <c r="F4" t="s">
        <v>105</v>
      </c>
    </row>
    <row r="5" spans="1:6" x14ac:dyDescent="0.25">
      <c r="A5" s="3" t="s">
        <v>105</v>
      </c>
      <c r="E5" s="20" t="str">
        <f>IF(ISBLANK(A5),"",IF(ISNA(VLOOKUP(A5,'049'!$B$4:$F$166,5,FALSE)),"",VLOOKUP(A5,'049'!$B$4:$F$166,5,FALSE))&amp;"")</f>
        <v>StWo</v>
      </c>
      <c r="F5" t="s">
        <v>114</v>
      </c>
    </row>
    <row r="6" spans="1:6" x14ac:dyDescent="0.25">
      <c r="A6" s="3" t="s">
        <v>114</v>
      </c>
      <c r="E6" s="20" t="str">
        <f>IF(ISBLANK(A6),"",IF(ISNA(VLOOKUP(A6,'049'!$B$4:$F$166,5,FALSE)),"",VLOOKUP(A6,'049'!$B$4:$F$166,5,FALSE))&amp;"")</f>
        <v>m²</v>
      </c>
      <c r="F6" t="s">
        <v>120</v>
      </c>
    </row>
    <row r="7" spans="1:6" x14ac:dyDescent="0.25">
      <c r="A7" s="3" t="s">
        <v>120</v>
      </c>
      <c r="E7" s="20" t="str">
        <f>IF(ISBLANK(A7),"",IF(ISNA(VLOOKUP(A7,'049'!$B$4:$F$166,5,FALSE)),"",VLOOKUP(A7,'049'!$B$4:$F$166,5,FALSE))&amp;"")</f>
        <v>m²</v>
      </c>
      <c r="F7" t="s">
        <v>124</v>
      </c>
    </row>
    <row r="8" spans="1:6" x14ac:dyDescent="0.25">
      <c r="A8" s="3" t="s">
        <v>124</v>
      </c>
      <c r="E8" s="20" t="str">
        <f>IF(ISBLANK(A8),"",IF(ISNA(VLOOKUP(A8,'049'!$B$4:$F$166,5,FALSE)),"",VLOOKUP(A8,'049'!$B$4:$F$166,5,FALSE))&amp;"")</f>
        <v>m²</v>
      </c>
      <c r="F8" t="s">
        <v>128</v>
      </c>
    </row>
    <row r="9" spans="1:6" x14ac:dyDescent="0.25">
      <c r="A9" s="3" t="s">
        <v>128</v>
      </c>
      <c r="E9" s="20" t="str">
        <f>IF(ISBLANK(A9),"",IF(ISNA(VLOOKUP(A9,'049'!$B$4:$F$166,5,FALSE)),"",VLOOKUP(A9,'049'!$B$4:$F$166,5,FALSE))&amp;"")</f>
        <v>m²</v>
      </c>
      <c r="F9" t="s">
        <v>132</v>
      </c>
    </row>
    <row r="10" spans="1:6" x14ac:dyDescent="0.25">
      <c r="A10" s="3" t="s">
        <v>132</v>
      </c>
      <c r="E10" s="20" t="str">
        <f>IF(ISBLANK(A10),"",IF(ISNA(VLOOKUP(A10,'049'!$B$4:$F$166,5,FALSE)),"",VLOOKUP(A10,'049'!$B$4:$F$166,5,FALSE))&amp;"")</f>
        <v>m²</v>
      </c>
      <c r="F10" t="s">
        <v>136</v>
      </c>
    </row>
    <row r="11" spans="1:6" x14ac:dyDescent="0.25">
      <c r="A11" s="3" t="s">
        <v>136</v>
      </c>
      <c r="E11" s="20" t="str">
        <f>IF(ISBLANK(A11),"",IF(ISNA(VLOOKUP(A11,'049'!$B$4:$F$166,5,FALSE)),"",VLOOKUP(A11,'049'!$B$4:$F$166,5,FALSE))&amp;"")</f>
        <v>m²</v>
      </c>
      <c r="F11" t="s">
        <v>140</v>
      </c>
    </row>
    <row r="12" spans="1:6" x14ac:dyDescent="0.25">
      <c r="A12" s="3" t="s">
        <v>140</v>
      </c>
      <c r="E12" s="20" t="str">
        <f>IF(ISBLANK(A12),"",IF(ISNA(VLOOKUP(A12,'049'!$B$4:$F$166,5,FALSE)),"",VLOOKUP(A12,'049'!$B$4:$F$166,5,FALSE))&amp;"")</f>
        <v>m²</v>
      </c>
      <c r="F12" t="s">
        <v>144</v>
      </c>
    </row>
    <row r="13" spans="1:6" x14ac:dyDescent="0.25">
      <c r="A13" s="3" t="s">
        <v>144</v>
      </c>
      <c r="E13" s="20" t="str">
        <f>IF(ISBLANK(A13),"",IF(ISNA(VLOOKUP(A13,'049'!$B$4:$F$166,5,FALSE)),"",VLOOKUP(A13,'049'!$B$4:$F$166,5,FALSE))&amp;"")</f>
        <v>m²</v>
      </c>
      <c r="F13" t="s">
        <v>148</v>
      </c>
    </row>
    <row r="14" spans="1:6" x14ac:dyDescent="0.25">
      <c r="A14" s="3" t="s">
        <v>148</v>
      </c>
      <c r="E14" s="20" t="str">
        <f>IF(ISBLANK(A14),"",IF(ISNA(VLOOKUP(A14,'049'!$B$4:$F$166,5,FALSE)),"",VLOOKUP(A14,'049'!$B$4:$F$166,5,FALSE))&amp;"")</f>
        <v>m²</v>
      </c>
      <c r="F14" t="s">
        <v>155</v>
      </c>
    </row>
    <row r="15" spans="1:6" x14ac:dyDescent="0.25">
      <c r="A15" s="3" t="s">
        <v>155</v>
      </c>
      <c r="E15" s="20" t="str">
        <f>IF(ISBLANK(A15),"",IF(ISNA(VLOOKUP(A15,'049'!$B$4:$F$166,5,FALSE)),"",VLOOKUP(A15,'049'!$B$4:$F$166,5,FALSE))&amp;"")</f>
        <v>m²</v>
      </c>
      <c r="F15" t="s">
        <v>160</v>
      </c>
    </row>
    <row r="16" spans="1:6" x14ac:dyDescent="0.25">
      <c r="A16" s="3" t="s">
        <v>160</v>
      </c>
      <c r="E16" s="20" t="str">
        <f>IF(ISBLANK(A16),"",IF(ISNA(VLOOKUP(A16,'049'!$B$4:$F$166,5,FALSE)),"",VLOOKUP(A16,'049'!$B$4:$F$166,5,FALSE))&amp;"")</f>
        <v>m²</v>
      </c>
      <c r="F16" t="s">
        <v>164</v>
      </c>
    </row>
    <row r="17" spans="1:6" x14ac:dyDescent="0.25">
      <c r="A17" s="3" t="s">
        <v>164</v>
      </c>
      <c r="E17" s="20" t="str">
        <f>IF(ISBLANK(A17),"",IF(ISNA(VLOOKUP(A17,'049'!$B$4:$F$166,5,FALSE)),"",VLOOKUP(A17,'049'!$B$4:$F$166,5,FALSE))&amp;"")</f>
        <v>m²</v>
      </c>
      <c r="F17" t="s">
        <v>168</v>
      </c>
    </row>
    <row r="18" spans="1:6" x14ac:dyDescent="0.25">
      <c r="A18" s="3" t="s">
        <v>168</v>
      </c>
      <c r="E18" s="20" t="str">
        <f>IF(ISBLANK(A18),"",IF(ISNA(VLOOKUP(A18,'049'!$B$4:$F$166,5,FALSE)),"",VLOOKUP(A18,'049'!$B$4:$F$166,5,FALSE))&amp;"")</f>
        <v>m²</v>
      </c>
      <c r="F18" t="s">
        <v>172</v>
      </c>
    </row>
    <row r="19" spans="1:6" x14ac:dyDescent="0.25">
      <c r="A19" s="3" t="s">
        <v>172</v>
      </c>
      <c r="E19" s="20" t="str">
        <f>IF(ISBLANK(A19),"",IF(ISNA(VLOOKUP(A19,'049'!$B$4:$F$166,5,FALSE)),"",VLOOKUP(A19,'049'!$B$4:$F$166,5,FALSE))&amp;"")</f>
        <v>m²</v>
      </c>
      <c r="F19" t="s">
        <v>176</v>
      </c>
    </row>
    <row r="20" spans="1:6" x14ac:dyDescent="0.25">
      <c r="A20" s="3" t="s">
        <v>176</v>
      </c>
      <c r="E20" s="20" t="str">
        <f>IF(ISBLANK(A20),"",IF(ISNA(VLOOKUP(A20,'049'!$B$4:$F$166,5,FALSE)),"",VLOOKUP(A20,'049'!$B$4:$F$166,5,FALSE))&amp;"")</f>
        <v>m²</v>
      </c>
      <c r="F20" t="s">
        <v>180</v>
      </c>
    </row>
    <row r="21" spans="1:6" x14ac:dyDescent="0.25">
      <c r="A21" s="3" t="s">
        <v>180</v>
      </c>
      <c r="E21" s="20" t="str">
        <f>IF(ISBLANK(A21),"",IF(ISNA(VLOOKUP(A21,'049'!$B$4:$F$166,5,FALSE)),"",VLOOKUP(A21,'049'!$B$4:$F$166,5,FALSE))&amp;"")</f>
        <v>m</v>
      </c>
      <c r="F21" t="s">
        <v>185</v>
      </c>
    </row>
    <row r="22" spans="1:6" x14ac:dyDescent="0.25">
      <c r="A22" s="3" t="s">
        <v>185</v>
      </c>
      <c r="E22" s="20" t="str">
        <f>IF(ISBLANK(A22),"",IF(ISNA(VLOOKUP(A22,'049'!$B$4:$F$166,5,FALSE)),"",VLOOKUP(A22,'049'!$B$4:$F$166,5,FALSE))&amp;"")</f>
        <v>m</v>
      </c>
      <c r="F22" t="s">
        <v>189</v>
      </c>
    </row>
    <row r="23" spans="1:6" x14ac:dyDescent="0.25">
      <c r="A23" s="3" t="s">
        <v>189</v>
      </c>
      <c r="E23" s="20" t="str">
        <f>IF(ISBLANK(A23),"",IF(ISNA(VLOOKUP(A23,'049'!$B$4:$F$166,5,FALSE)),"",VLOOKUP(A23,'049'!$B$4:$F$166,5,FALSE))&amp;"")</f>
        <v>m</v>
      </c>
      <c r="F23" t="s">
        <v>193</v>
      </c>
    </row>
    <row r="24" spans="1:6" x14ac:dyDescent="0.25">
      <c r="A24" s="3" t="s">
        <v>193</v>
      </c>
      <c r="E24" s="20" t="str">
        <f>IF(ISBLANK(A24),"",IF(ISNA(VLOOKUP(A24,'049'!$B$4:$F$166,5,FALSE)),"",VLOOKUP(A24,'049'!$B$4:$F$166,5,FALSE))&amp;"")</f>
        <v>m</v>
      </c>
      <c r="F24" t="s">
        <v>197</v>
      </c>
    </row>
    <row r="25" spans="1:6" x14ac:dyDescent="0.25">
      <c r="A25" s="3" t="s">
        <v>197</v>
      </c>
      <c r="E25" s="20" t="str">
        <f>IF(ISBLANK(A25),"",IF(ISNA(VLOOKUP(A25,'049'!$B$4:$F$166,5,FALSE)),"",VLOOKUP(A25,'049'!$B$4:$F$166,5,FALSE))&amp;"")</f>
        <v>m²</v>
      </c>
      <c r="F25" t="s">
        <v>201</v>
      </c>
    </row>
    <row r="26" spans="1:6" x14ac:dyDescent="0.25">
      <c r="A26" s="3" t="s">
        <v>201</v>
      </c>
      <c r="E26" s="20" t="str">
        <f>IF(ISBLANK(A26),"",IF(ISNA(VLOOKUP(A26,'049'!$B$4:$F$166,5,FALSE)),"",VLOOKUP(A26,'049'!$B$4:$F$166,5,FALSE))&amp;"")</f>
        <v>St</v>
      </c>
      <c r="F26" t="s">
        <v>205</v>
      </c>
    </row>
    <row r="27" spans="1:6" x14ac:dyDescent="0.25">
      <c r="A27" s="3" t="s">
        <v>205</v>
      </c>
      <c r="E27" s="20" t="str">
        <f>IF(ISBLANK(A27),"",IF(ISNA(VLOOKUP(A27,'049'!$B$4:$F$166,5,FALSE)),"",VLOOKUP(A27,'049'!$B$4:$F$166,5,FALSE))&amp;"")</f>
        <v>St</v>
      </c>
      <c r="F27" t="s">
        <v>212</v>
      </c>
    </row>
    <row r="28" spans="1:6" x14ac:dyDescent="0.25">
      <c r="A28" s="3" t="s">
        <v>212</v>
      </c>
      <c r="E28" s="20" t="str">
        <f>IF(ISBLANK(A28),"",IF(ISNA(VLOOKUP(A28,'049'!$B$4:$F$166,5,FALSE)),"",VLOOKUP(A28,'049'!$B$4:$F$166,5,FALSE))&amp;"")</f>
        <v>m²</v>
      </c>
      <c r="F28" t="s">
        <v>216</v>
      </c>
    </row>
    <row r="29" spans="1:6" x14ac:dyDescent="0.25">
      <c r="A29" s="3" t="s">
        <v>216</v>
      </c>
      <c r="E29" s="20" t="str">
        <f>IF(ISBLANK(A29),"",IF(ISNA(VLOOKUP(A29,'049'!$B$4:$F$166,5,FALSE)),"",VLOOKUP(A29,'049'!$B$4:$F$166,5,FALSE))&amp;"")</f>
        <v>m²</v>
      </c>
      <c r="F29" t="s">
        <v>219</v>
      </c>
    </row>
    <row r="30" spans="1:6" x14ac:dyDescent="0.25">
      <c r="A30" s="3" t="s">
        <v>219</v>
      </c>
      <c r="E30" s="20" t="str">
        <f>IF(ISBLANK(A30),"",IF(ISNA(VLOOKUP(A30,'049'!$B$4:$F$166,5,FALSE)),"",VLOOKUP(A30,'049'!$B$4:$F$166,5,FALSE))&amp;"")</f>
        <v>m²</v>
      </c>
      <c r="F30" t="s">
        <v>223</v>
      </c>
    </row>
    <row r="31" spans="1:6" x14ac:dyDescent="0.25">
      <c r="A31" s="3" t="s">
        <v>223</v>
      </c>
      <c r="E31" s="20" t="str">
        <f>IF(ISBLANK(A31),"",IF(ISNA(VLOOKUP(A31,'049'!$B$4:$F$166,5,FALSE)),"",VLOOKUP(A31,'049'!$B$4:$F$166,5,FALSE))&amp;"")</f>
        <v>m²</v>
      </c>
      <c r="F31" t="s">
        <v>227</v>
      </c>
    </row>
    <row r="32" spans="1:6" x14ac:dyDescent="0.25">
      <c r="A32" s="3" t="s">
        <v>227</v>
      </c>
      <c r="E32" s="20" t="str">
        <f>IF(ISBLANK(A32),"",IF(ISNA(VLOOKUP(A32,'049'!$B$4:$F$166,5,FALSE)),"",VLOOKUP(A32,'049'!$B$4:$F$166,5,FALSE))&amp;"")</f>
        <v>m²</v>
      </c>
      <c r="F32" t="s">
        <v>230</v>
      </c>
    </row>
    <row r="33" spans="1:6" x14ac:dyDescent="0.25">
      <c r="A33" s="3" t="s">
        <v>230</v>
      </c>
      <c r="E33" s="20" t="str">
        <f>IF(ISBLANK(A33),"",IF(ISNA(VLOOKUP(A33,'049'!$B$4:$F$166,5,FALSE)),"",VLOOKUP(A33,'049'!$B$4:$F$166,5,FALSE))&amp;"")</f>
        <v>m²</v>
      </c>
      <c r="F33" t="s">
        <v>234</v>
      </c>
    </row>
    <row r="34" spans="1:6" x14ac:dyDescent="0.25">
      <c r="A34" s="3" t="s">
        <v>234</v>
      </c>
      <c r="E34" s="20" t="str">
        <f>IF(ISBLANK(A34),"",IF(ISNA(VLOOKUP(A34,'049'!$B$4:$F$166,5,FALSE)),"",VLOOKUP(A34,'049'!$B$4:$F$166,5,FALSE))&amp;"")</f>
        <v>m²</v>
      </c>
      <c r="F34" t="s">
        <v>238</v>
      </c>
    </row>
    <row r="35" spans="1:6" x14ac:dyDescent="0.25">
      <c r="A35" s="3" t="s">
        <v>238</v>
      </c>
      <c r="E35" s="20" t="str">
        <f>IF(ISBLANK(A35),"",IF(ISNA(VLOOKUP(A35,'049'!$B$4:$F$166,5,FALSE)),"",VLOOKUP(A35,'049'!$B$4:$F$166,5,FALSE))&amp;"")</f>
        <v>m²</v>
      </c>
      <c r="F35" t="s">
        <v>245</v>
      </c>
    </row>
    <row r="36" spans="1:6" x14ac:dyDescent="0.25">
      <c r="A36" s="3" t="s">
        <v>245</v>
      </c>
      <c r="E36" s="20" t="str">
        <f>IF(ISBLANK(A36),"",IF(ISNA(VLOOKUP(A36,'049'!$B$4:$F$166,5,FALSE)),"",VLOOKUP(A36,'049'!$B$4:$F$166,5,FALSE))&amp;"")</f>
        <v>m²</v>
      </c>
      <c r="F36" t="s">
        <v>250</v>
      </c>
    </row>
    <row r="37" spans="1:6" x14ac:dyDescent="0.25">
      <c r="A37" s="3" t="s">
        <v>250</v>
      </c>
      <c r="E37" s="20" t="str">
        <f>IF(ISBLANK(A37),"",IF(ISNA(VLOOKUP(A37,'049'!$B$4:$F$166,5,FALSE)),"",VLOOKUP(A37,'049'!$B$4:$F$166,5,FALSE))&amp;"")</f>
        <v>St</v>
      </c>
      <c r="F37" t="s">
        <v>257</v>
      </c>
    </row>
    <row r="38" spans="1:6" x14ac:dyDescent="0.25">
      <c r="A38" s="3" t="s">
        <v>257</v>
      </c>
      <c r="E38" s="20" t="str">
        <f>IF(ISBLANK(A38),"",IF(ISNA(VLOOKUP(A38,'049'!$B$4:$F$166,5,FALSE)),"",VLOOKUP(A38,'049'!$B$4:$F$166,5,FALSE))&amp;"")</f>
        <v>m²</v>
      </c>
      <c r="F38" t="s">
        <v>261</v>
      </c>
    </row>
    <row r="39" spans="1:6" x14ac:dyDescent="0.25">
      <c r="A39" s="3" t="s">
        <v>261</v>
      </c>
      <c r="E39" s="20" t="str">
        <f>IF(ISBLANK(A39),"",IF(ISNA(VLOOKUP(A39,'049'!$B$4:$F$166,5,FALSE)),"",VLOOKUP(A39,'049'!$B$4:$F$166,5,FALSE))&amp;"")</f>
        <v>m²</v>
      </c>
      <c r="F39" t="s">
        <v>264</v>
      </c>
    </row>
    <row r="40" spans="1:6" x14ac:dyDescent="0.25">
      <c r="A40" s="3" t="s">
        <v>264</v>
      </c>
      <c r="E40" s="20" t="str">
        <f>IF(ISBLANK(A40),"",IF(ISNA(VLOOKUP(A40,'049'!$B$4:$F$166,5,FALSE)),"",VLOOKUP(A40,'049'!$B$4:$F$166,5,FALSE))&amp;"")</f>
        <v>m²</v>
      </c>
      <c r="F40" t="s">
        <v>267</v>
      </c>
    </row>
    <row r="41" spans="1:6" x14ac:dyDescent="0.25">
      <c r="A41" s="3" t="s">
        <v>267</v>
      </c>
      <c r="E41" s="20" t="str">
        <f>IF(ISBLANK(A41),"",IF(ISNA(VLOOKUP(A41,'049'!$B$4:$F$166,5,FALSE)),"",VLOOKUP(A41,'049'!$B$4:$F$166,5,FALSE))&amp;"")</f>
        <v>m²</v>
      </c>
      <c r="F41" t="s">
        <v>270</v>
      </c>
    </row>
    <row r="42" spans="1:6" x14ac:dyDescent="0.25">
      <c r="A42" s="3" t="s">
        <v>270</v>
      </c>
      <c r="E42" s="20" t="str">
        <f>IF(ISBLANK(A42),"",IF(ISNA(VLOOKUP(A42,'049'!$B$4:$F$166,5,FALSE)),"",VLOOKUP(A42,'049'!$B$4:$F$166,5,FALSE))&amp;"")</f>
        <v>m²</v>
      </c>
      <c r="F42" t="s">
        <v>273</v>
      </c>
    </row>
    <row r="43" spans="1:6" x14ac:dyDescent="0.25">
      <c r="A43" s="3" t="s">
        <v>273</v>
      </c>
      <c r="E43" s="20" t="str">
        <f>IF(ISBLANK(A43),"",IF(ISNA(VLOOKUP(A43,'049'!$B$4:$F$166,5,FALSE)),"",VLOOKUP(A43,'049'!$B$4:$F$166,5,FALSE))&amp;"")</f>
        <v>m²</v>
      </c>
      <c r="F43" t="s">
        <v>276</v>
      </c>
    </row>
    <row r="44" spans="1:6" x14ac:dyDescent="0.25">
      <c r="A44" s="3" t="s">
        <v>276</v>
      </c>
      <c r="E44" s="20" t="str">
        <f>IF(ISBLANK(A44),"",IF(ISNA(VLOOKUP(A44,'049'!$B$4:$F$166,5,FALSE)),"",VLOOKUP(A44,'049'!$B$4:$F$166,5,FALSE))&amp;"")</f>
        <v>m²</v>
      </c>
      <c r="F44" t="s">
        <v>280</v>
      </c>
    </row>
    <row r="45" spans="1:6" x14ac:dyDescent="0.25">
      <c r="A45" s="3" t="s">
        <v>280</v>
      </c>
      <c r="E45" s="20" t="str">
        <f>IF(ISBLANK(A45),"",IF(ISNA(VLOOKUP(A45,'049'!$B$4:$F$166,5,FALSE)),"",VLOOKUP(A45,'049'!$B$4:$F$166,5,FALSE))&amp;"")</f>
        <v>m²</v>
      </c>
      <c r="F45" t="s">
        <v>283</v>
      </c>
    </row>
    <row r="46" spans="1:6" x14ac:dyDescent="0.25">
      <c r="A46" s="3" t="s">
        <v>283</v>
      </c>
      <c r="E46" s="20" t="str">
        <f>IF(ISBLANK(A46),"",IF(ISNA(VLOOKUP(A46,'049'!$B$4:$F$166,5,FALSE)),"",VLOOKUP(A46,'049'!$B$4:$F$166,5,FALSE))&amp;"")</f>
        <v>m²</v>
      </c>
      <c r="F46" t="s">
        <v>287</v>
      </c>
    </row>
    <row r="47" spans="1:6" x14ac:dyDescent="0.25">
      <c r="A47" s="3" t="s">
        <v>287</v>
      </c>
      <c r="E47" s="20" t="str">
        <f>IF(ISBLANK(A47),"",IF(ISNA(VLOOKUP(A47,'049'!$B$4:$F$166,5,FALSE)),"",VLOOKUP(A47,'049'!$B$4:$F$166,5,FALSE))&amp;"")</f>
        <v>m²</v>
      </c>
      <c r="F47" t="s">
        <v>292</v>
      </c>
    </row>
    <row r="48" spans="1:6" x14ac:dyDescent="0.25">
      <c r="A48" s="3" t="s">
        <v>292</v>
      </c>
      <c r="E48" s="20" t="str">
        <f>IF(ISBLANK(A48),"",IF(ISNA(VLOOKUP(A48,'049'!$B$4:$F$166,5,FALSE)),"",VLOOKUP(A48,'049'!$B$4:$F$166,5,FALSE))&amp;"")</f>
        <v>m²</v>
      </c>
      <c r="F48" t="s">
        <v>296</v>
      </c>
    </row>
    <row r="49" spans="1:6" x14ac:dyDescent="0.25">
      <c r="A49" s="3" t="s">
        <v>296</v>
      </c>
      <c r="E49" s="20" t="str">
        <f>IF(ISBLANK(A49),"",IF(ISNA(VLOOKUP(A49,'049'!$B$4:$F$166,5,FALSE)),"",VLOOKUP(A49,'049'!$B$4:$F$166,5,FALSE))&amp;"")</f>
        <v>St</v>
      </c>
      <c r="F49" t="s">
        <v>299</v>
      </c>
    </row>
    <row r="50" spans="1:6" x14ac:dyDescent="0.25">
      <c r="A50" s="3" t="s">
        <v>299</v>
      </c>
      <c r="E50" s="20" t="str">
        <f>IF(ISBLANK(A50),"",IF(ISNA(VLOOKUP(A50,'049'!$B$4:$F$166,5,FALSE)),"",VLOOKUP(A50,'049'!$B$4:$F$166,5,FALSE))&amp;"")</f>
        <v>m²</v>
      </c>
      <c r="F50" t="s">
        <v>303</v>
      </c>
    </row>
    <row r="51" spans="1:6" x14ac:dyDescent="0.25">
      <c r="A51" s="3" t="s">
        <v>303</v>
      </c>
      <c r="E51" s="20" t="str">
        <f>IF(ISBLANK(A51),"",IF(ISNA(VLOOKUP(A51,'049'!$B$4:$F$166,5,FALSE)),"",VLOOKUP(A51,'049'!$B$4:$F$166,5,FALSE))&amp;"")</f>
        <v>St</v>
      </c>
      <c r="F51" t="s">
        <v>308</v>
      </c>
    </row>
    <row r="52" spans="1:6" x14ac:dyDescent="0.25">
      <c r="A52" s="3" t="s">
        <v>308</v>
      </c>
      <c r="E52" s="20" t="str">
        <f>IF(ISBLANK(A52),"",IF(ISNA(VLOOKUP(A52,'049'!$B$4:$F$166,5,FALSE)),"",VLOOKUP(A52,'049'!$B$4:$F$166,5,FALSE))&amp;"")</f>
        <v>m²</v>
      </c>
      <c r="F52" t="s">
        <v>312</v>
      </c>
    </row>
    <row r="53" spans="1:6" x14ac:dyDescent="0.25">
      <c r="A53" s="3" t="s">
        <v>312</v>
      </c>
      <c r="E53" s="20" t="str">
        <f>IF(ISBLANK(A53),"",IF(ISNA(VLOOKUP(A53,'049'!$B$4:$F$166,5,FALSE)),"",VLOOKUP(A53,'049'!$B$4:$F$166,5,FALSE))&amp;"")</f>
        <v>m²</v>
      </c>
      <c r="F53" t="s">
        <v>316</v>
      </c>
    </row>
    <row r="54" spans="1:6" x14ac:dyDescent="0.25">
      <c r="A54" s="3" t="s">
        <v>316</v>
      </c>
      <c r="E54" s="20" t="str">
        <f>IF(ISBLANK(A54),"",IF(ISNA(VLOOKUP(A54,'049'!$B$4:$F$166,5,FALSE)),"",VLOOKUP(A54,'049'!$B$4:$F$166,5,FALSE))&amp;"")</f>
        <v>m²</v>
      </c>
      <c r="F54" t="s">
        <v>319</v>
      </c>
    </row>
    <row r="55" spans="1:6" x14ac:dyDescent="0.25">
      <c r="A55" s="3" t="s">
        <v>319</v>
      </c>
      <c r="E55" s="20" t="str">
        <f>IF(ISBLANK(A55),"",IF(ISNA(VLOOKUP(A55,'049'!$B$4:$F$166,5,FALSE)),"",VLOOKUP(A55,'049'!$B$4:$F$166,5,FALSE))&amp;"")</f>
        <v>m²</v>
      </c>
      <c r="F55" t="s">
        <v>323</v>
      </c>
    </row>
    <row r="56" spans="1:6" x14ac:dyDescent="0.25">
      <c r="A56" s="3" t="s">
        <v>323</v>
      </c>
      <c r="E56" s="20" t="str">
        <f>IF(ISBLANK(A56),"",IF(ISNA(VLOOKUP(A56,'049'!$B$4:$F$166,5,FALSE)),"",VLOOKUP(A56,'049'!$B$4:$F$166,5,FALSE))&amp;"")</f>
        <v>m²</v>
      </c>
      <c r="F56" t="s">
        <v>330</v>
      </c>
    </row>
    <row r="57" spans="1:6" x14ac:dyDescent="0.25">
      <c r="A57" s="3" t="s">
        <v>330</v>
      </c>
      <c r="E57" s="20" t="str">
        <f>IF(ISBLANK(A57),"",IF(ISNA(VLOOKUP(A57,'049'!$B$4:$F$166,5,FALSE)),"",VLOOKUP(A57,'049'!$B$4:$F$166,5,FALSE))&amp;"")</f>
        <v>m²</v>
      </c>
      <c r="F57" t="s">
        <v>334</v>
      </c>
    </row>
    <row r="58" spans="1:6" x14ac:dyDescent="0.25">
      <c r="A58" s="3" t="s">
        <v>334</v>
      </c>
      <c r="E58" s="20" t="str">
        <f>IF(ISBLANK(A58),"",IF(ISNA(VLOOKUP(A58,'049'!$B$4:$F$166,5,FALSE)),"",VLOOKUP(A58,'049'!$B$4:$F$166,5,FALSE))&amp;"")</f>
        <v>m²</v>
      </c>
      <c r="F58" t="s">
        <v>337</v>
      </c>
    </row>
    <row r="59" spans="1:6" x14ac:dyDescent="0.25">
      <c r="A59" s="3" t="s">
        <v>337</v>
      </c>
      <c r="E59" s="20" t="str">
        <f>IF(ISBLANK(A59),"",IF(ISNA(VLOOKUP(A59,'049'!$B$4:$F$166,5,FALSE)),"",VLOOKUP(A59,'049'!$B$4:$F$166,5,FALSE))&amp;"")</f>
        <v>m²</v>
      </c>
      <c r="F59" t="s">
        <v>340</v>
      </c>
    </row>
    <row r="60" spans="1:6" x14ac:dyDescent="0.25">
      <c r="A60" s="3" t="s">
        <v>340</v>
      </c>
      <c r="E60" s="20" t="str">
        <f>IF(ISBLANK(A60),"",IF(ISNA(VLOOKUP(A60,'049'!$B$4:$F$166,5,FALSE)),"",VLOOKUP(A60,'049'!$B$4:$F$166,5,FALSE))&amp;"")</f>
        <v>m²</v>
      </c>
      <c r="F60" t="s">
        <v>343</v>
      </c>
    </row>
    <row r="61" spans="1:6" x14ac:dyDescent="0.25">
      <c r="A61" s="3" t="s">
        <v>343</v>
      </c>
      <c r="E61" s="20" t="str">
        <f>IF(ISBLANK(A61),"",IF(ISNA(VLOOKUP(A61,'049'!$B$4:$F$166,5,FALSE)),"",VLOOKUP(A61,'049'!$B$4:$F$166,5,FALSE))&amp;"")</f>
        <v>St</v>
      </c>
      <c r="F61" t="s">
        <v>349</v>
      </c>
    </row>
    <row r="62" spans="1:6" x14ac:dyDescent="0.25">
      <c r="A62" s="3" t="s">
        <v>349</v>
      </c>
      <c r="E62" s="20" t="str">
        <f>IF(ISBLANK(A62),"",IF(ISNA(VLOOKUP(A62,'049'!$B$4:$F$166,5,FALSE)),"",VLOOKUP(A62,'049'!$B$4:$F$166,5,FALSE))&amp;"")</f>
        <v>m²</v>
      </c>
      <c r="F62" t="s">
        <v>354</v>
      </c>
    </row>
    <row r="63" spans="1:6" x14ac:dyDescent="0.25">
      <c r="A63" s="3" t="s">
        <v>354</v>
      </c>
      <c r="E63" s="20" t="str">
        <f>IF(ISBLANK(A63),"",IF(ISNA(VLOOKUP(A63,'049'!$B$4:$F$166,5,FALSE)),"",VLOOKUP(A63,'049'!$B$4:$F$166,5,FALSE))&amp;"")</f>
        <v>m²</v>
      </c>
      <c r="F63" t="s">
        <v>358</v>
      </c>
    </row>
    <row r="64" spans="1:6" x14ac:dyDescent="0.25">
      <c r="A64" s="3" t="s">
        <v>358</v>
      </c>
      <c r="E64" s="20" t="str">
        <f>IF(ISBLANK(A64),"",IF(ISNA(VLOOKUP(A64,'049'!$B$4:$F$166,5,FALSE)),"",VLOOKUP(A64,'049'!$B$4:$F$166,5,FALSE))&amp;"")</f>
        <v>m²</v>
      </c>
      <c r="F64" t="s">
        <v>361</v>
      </c>
    </row>
    <row r="65" spans="1:6" x14ac:dyDescent="0.25">
      <c r="A65" s="3" t="s">
        <v>361</v>
      </c>
      <c r="E65" s="20" t="str">
        <f>IF(ISBLANK(A65),"",IF(ISNA(VLOOKUP(A65,'049'!$B$4:$F$166,5,FALSE)),"",VLOOKUP(A65,'049'!$B$4:$F$166,5,FALSE))&amp;"")</f>
        <v>m²</v>
      </c>
      <c r="F65" t="s">
        <v>364</v>
      </c>
    </row>
    <row r="66" spans="1:6" x14ac:dyDescent="0.25">
      <c r="A66" s="3" t="s">
        <v>364</v>
      </c>
      <c r="E66" s="20" t="str">
        <f>IF(ISBLANK(A66),"",IF(ISNA(VLOOKUP(A66,'049'!$B$4:$F$166,5,FALSE)),"",VLOOKUP(A66,'049'!$B$4:$F$166,5,FALSE))&amp;"")</f>
        <v>m²</v>
      </c>
      <c r="F66" t="s">
        <v>367</v>
      </c>
    </row>
    <row r="67" spans="1:6" x14ac:dyDescent="0.25">
      <c r="A67" s="3" t="s">
        <v>367</v>
      </c>
      <c r="E67" s="20" t="str">
        <f>IF(ISBLANK(A67),"",IF(ISNA(VLOOKUP(A67,'049'!$B$4:$F$166,5,FALSE)),"",VLOOKUP(A67,'049'!$B$4:$F$166,5,FALSE))&amp;"")</f>
        <v>m²</v>
      </c>
      <c r="F67" t="s">
        <v>373</v>
      </c>
    </row>
    <row r="68" spans="1:6" x14ac:dyDescent="0.25">
      <c r="A68" s="3" t="s">
        <v>373</v>
      </c>
      <c r="E68" s="20" t="str">
        <f>IF(ISBLANK(A68),"",IF(ISNA(VLOOKUP(A68,'049'!$B$4:$F$166,5,FALSE)),"",VLOOKUP(A68,'049'!$B$4:$F$166,5,FALSE))&amp;"")</f>
        <v>m²</v>
      </c>
      <c r="F68" t="s">
        <v>380</v>
      </c>
    </row>
    <row r="69" spans="1:6" x14ac:dyDescent="0.25">
      <c r="A69" s="3" t="s">
        <v>380</v>
      </c>
      <c r="E69" s="20" t="str">
        <f>IF(ISBLANK(A69),"",IF(ISNA(VLOOKUP(A69,'049'!$B$4:$F$166,5,FALSE)),"",VLOOKUP(A69,'049'!$B$4:$F$166,5,FALSE))&amp;"")</f>
        <v>St</v>
      </c>
      <c r="F69" t="s">
        <v>385</v>
      </c>
    </row>
    <row r="70" spans="1:6" x14ac:dyDescent="0.25">
      <c r="A70" s="3" t="s">
        <v>385</v>
      </c>
      <c r="E70" s="20" t="str">
        <f>IF(ISBLANK(A70),"",IF(ISNA(VLOOKUP(A70,'049'!$B$4:$F$166,5,FALSE)),"",VLOOKUP(A70,'049'!$B$4:$F$166,5,FALSE))&amp;"")</f>
        <v>m</v>
      </c>
      <c r="F70" t="s">
        <v>389</v>
      </c>
    </row>
    <row r="71" spans="1:6" x14ac:dyDescent="0.25">
      <c r="A71" s="3" t="s">
        <v>389</v>
      </c>
      <c r="E71" s="20" t="str">
        <f>IF(ISBLANK(A71),"",IF(ISNA(VLOOKUP(A71,'049'!$B$4:$F$166,5,FALSE)),"",VLOOKUP(A71,'049'!$B$4:$F$166,5,FALSE))&amp;"")</f>
        <v>m</v>
      </c>
      <c r="F71" t="s">
        <v>393</v>
      </c>
    </row>
    <row r="72" spans="1:6" x14ac:dyDescent="0.25">
      <c r="A72" s="3" t="s">
        <v>393</v>
      </c>
      <c r="E72" s="20" t="str">
        <f>IF(ISBLANK(A72),"",IF(ISNA(VLOOKUP(A72,'049'!$B$4:$F$166,5,FALSE)),"",VLOOKUP(A72,'049'!$B$4:$F$166,5,FALSE))&amp;"")</f>
        <v>m</v>
      </c>
      <c r="F72" t="s">
        <v>397</v>
      </c>
    </row>
    <row r="73" spans="1:6" x14ac:dyDescent="0.25">
      <c r="A73" s="3" t="s">
        <v>397</v>
      </c>
      <c r="E73" s="20" t="str">
        <f>IF(ISBLANK(A73),"",IF(ISNA(VLOOKUP(A73,'049'!$B$4:$F$166,5,FALSE)),"",VLOOKUP(A73,'049'!$B$4:$F$166,5,FALSE))&amp;"")</f>
        <v>m</v>
      </c>
      <c r="F73" t="s">
        <v>401</v>
      </c>
    </row>
    <row r="74" spans="1:6" x14ac:dyDescent="0.25">
      <c r="A74" s="3" t="s">
        <v>401</v>
      </c>
      <c r="E74" s="20" t="str">
        <f>IF(ISBLANK(A74),"",IF(ISNA(VLOOKUP(A74,'049'!$B$4:$F$166,5,FALSE)),"",VLOOKUP(A74,'049'!$B$4:$F$166,5,FALSE))&amp;"")</f>
        <v>m</v>
      </c>
      <c r="F74" t="s">
        <v>405</v>
      </c>
    </row>
    <row r="75" spans="1:6" x14ac:dyDescent="0.25">
      <c r="A75" s="3" t="s">
        <v>405</v>
      </c>
      <c r="E75" s="20" t="str">
        <f>IF(ISBLANK(A75),"",IF(ISNA(VLOOKUP(A75,'049'!$B$4:$F$166,5,FALSE)),"",VLOOKUP(A75,'049'!$B$4:$F$166,5,FALSE))&amp;"")</f>
        <v>m</v>
      </c>
      <c r="F75" t="s">
        <v>409</v>
      </c>
    </row>
    <row r="76" spans="1:6" x14ac:dyDescent="0.25">
      <c r="A76" s="3" t="s">
        <v>409</v>
      </c>
      <c r="E76" s="20" t="str">
        <f>IF(ISBLANK(A76),"",IF(ISNA(VLOOKUP(A76,'049'!$B$4:$F$166,5,FALSE)),"",VLOOKUP(A76,'049'!$B$4:$F$166,5,FALSE))&amp;"")</f>
        <v>m</v>
      </c>
      <c r="F76" t="s">
        <v>413</v>
      </c>
    </row>
    <row r="77" spans="1:6" x14ac:dyDescent="0.25">
      <c r="A77" s="3" t="s">
        <v>413</v>
      </c>
      <c r="E77" s="20" t="str">
        <f>IF(ISBLANK(A77),"",IF(ISNA(VLOOKUP(A77,'049'!$B$4:$F$166,5,FALSE)),"",VLOOKUP(A77,'049'!$B$4:$F$166,5,FALSE))&amp;"")</f>
        <v>St</v>
      </c>
      <c r="F77" t="s">
        <v>417</v>
      </c>
    </row>
    <row r="78" spans="1:6" x14ac:dyDescent="0.25">
      <c r="A78" s="3" t="s">
        <v>417</v>
      </c>
      <c r="E78" s="20" t="str">
        <f>IF(ISBLANK(A78),"",IF(ISNA(VLOOKUP(A78,'049'!$B$4:$F$166,5,FALSE)),"",VLOOKUP(A78,'049'!$B$4:$F$166,5,FALSE))&amp;"")</f>
        <v>St</v>
      </c>
      <c r="F78" t="s">
        <v>421</v>
      </c>
    </row>
    <row r="79" spans="1:6" x14ac:dyDescent="0.25">
      <c r="A79" s="3" t="s">
        <v>421</v>
      </c>
      <c r="E79" s="20" t="str">
        <f>IF(ISBLANK(A79),"",IF(ISNA(VLOOKUP(A79,'049'!$B$4:$F$166,5,FALSE)),"",VLOOKUP(A79,'049'!$B$4:$F$166,5,FALSE))&amp;"")</f>
        <v>St</v>
      </c>
      <c r="F79" t="s">
        <v>425</v>
      </c>
    </row>
    <row r="80" spans="1:6" x14ac:dyDescent="0.25">
      <c r="A80" s="3" t="s">
        <v>425</v>
      </c>
      <c r="E80" s="20" t="str">
        <f>IF(ISBLANK(A80),"",IF(ISNA(VLOOKUP(A80,'049'!$B$4:$F$166,5,FALSE)),"",VLOOKUP(A80,'049'!$B$4:$F$166,5,FALSE))&amp;"")</f>
        <v>St</v>
      </c>
      <c r="F80" t="s">
        <v>429</v>
      </c>
    </row>
    <row r="81" spans="1:6" x14ac:dyDescent="0.25">
      <c r="A81" s="3" t="s">
        <v>429</v>
      </c>
      <c r="E81" s="20" t="str">
        <f>IF(ISBLANK(A81),"",IF(ISNA(VLOOKUP(A81,'049'!$B$4:$F$166,5,FALSE)),"",VLOOKUP(A81,'049'!$B$4:$F$166,5,FALSE))&amp;"")</f>
        <v>St</v>
      </c>
      <c r="F81" t="s">
        <v>433</v>
      </c>
    </row>
    <row r="82" spans="1:6" x14ac:dyDescent="0.25">
      <c r="A82" s="3" t="s">
        <v>433</v>
      </c>
      <c r="E82" s="20" t="str">
        <f>IF(ISBLANK(A82),"",IF(ISNA(VLOOKUP(A82,'049'!$B$4:$F$166,5,FALSE)),"",VLOOKUP(A82,'049'!$B$4:$F$166,5,FALSE))&amp;"")</f>
        <v>St</v>
      </c>
      <c r="F82" t="s">
        <v>437</v>
      </c>
    </row>
    <row r="83" spans="1:6" x14ac:dyDescent="0.25">
      <c r="A83" s="3" t="s">
        <v>437</v>
      </c>
      <c r="E83" s="20" t="str">
        <f>IF(ISBLANK(A83),"",IF(ISNA(VLOOKUP(A83,'049'!$B$4:$F$166,5,FALSE)),"",VLOOKUP(A83,'049'!$B$4:$F$166,5,FALSE))&amp;"")</f>
        <v>St</v>
      </c>
      <c r="F83" t="s">
        <v>441</v>
      </c>
    </row>
    <row r="84" spans="1:6" x14ac:dyDescent="0.25">
      <c r="A84" s="3" t="s">
        <v>441</v>
      </c>
      <c r="E84" s="20" t="str">
        <f>IF(ISBLANK(A84),"",IF(ISNA(VLOOKUP(A84,'049'!$B$4:$F$166,5,FALSE)),"",VLOOKUP(A84,'049'!$B$4:$F$166,5,FALSE))&amp;"")</f>
        <v>St</v>
      </c>
      <c r="F84" t="s">
        <v>445</v>
      </c>
    </row>
    <row r="85" spans="1:6" x14ac:dyDescent="0.25">
      <c r="A85" s="3" t="s">
        <v>445</v>
      </c>
      <c r="E85" s="20" t="str">
        <f>IF(ISBLANK(A85),"",IF(ISNA(VLOOKUP(A85,'049'!$B$4:$F$166,5,FALSE)),"",VLOOKUP(A85,'049'!$B$4:$F$166,5,FALSE))&amp;"")</f>
        <v>St</v>
      </c>
      <c r="F85" t="s">
        <v>449</v>
      </c>
    </row>
    <row r="86" spans="1:6" x14ac:dyDescent="0.25">
      <c r="A86" s="3" t="s">
        <v>449</v>
      </c>
      <c r="E86" s="20" t="str">
        <f>IF(ISBLANK(A86),"",IF(ISNA(VLOOKUP(A86,'049'!$B$4:$F$166,5,FALSE)),"",VLOOKUP(A86,'049'!$B$4:$F$166,5,FALSE))&amp;"")</f>
        <v>St</v>
      </c>
      <c r="F86" t="s">
        <v>453</v>
      </c>
    </row>
    <row r="87" spans="1:6" x14ac:dyDescent="0.25">
      <c r="A87" s="3" t="s">
        <v>453</v>
      </c>
      <c r="E87" s="20" t="str">
        <f>IF(ISBLANK(A87),"",IF(ISNA(VLOOKUP(A87,'049'!$B$4:$F$166,5,FALSE)),"",VLOOKUP(A87,'049'!$B$4:$F$166,5,FALSE))&amp;"")</f>
        <v>St</v>
      </c>
      <c r="F87" t="s">
        <v>457</v>
      </c>
    </row>
    <row r="88" spans="1:6" x14ac:dyDescent="0.25">
      <c r="A88" s="3" t="s">
        <v>457</v>
      </c>
      <c r="E88" s="20" t="str">
        <f>IF(ISBLANK(A88),"",IF(ISNA(VLOOKUP(A88,'049'!$B$4:$F$166,5,FALSE)),"",VLOOKUP(A88,'049'!$B$4:$F$166,5,FALSE))&amp;"")</f>
        <v>St</v>
      </c>
      <c r="F88" t="s">
        <v>461</v>
      </c>
    </row>
    <row r="89" spans="1:6" x14ac:dyDescent="0.25">
      <c r="A89" s="3" t="s">
        <v>461</v>
      </c>
      <c r="E89" s="20" t="str">
        <f>IF(ISBLANK(A89),"",IF(ISNA(VLOOKUP(A89,'049'!$B$4:$F$166,5,FALSE)),"",VLOOKUP(A89,'049'!$B$4:$F$166,5,FALSE))&amp;"")</f>
        <v>m</v>
      </c>
      <c r="F89" t="s">
        <v>465</v>
      </c>
    </row>
    <row r="90" spans="1:6" x14ac:dyDescent="0.25">
      <c r="A90" s="3" t="s">
        <v>465</v>
      </c>
      <c r="E90" s="20" t="str">
        <f>IF(ISBLANK(A90),"",IF(ISNA(VLOOKUP(A90,'049'!$B$4:$F$166,5,FALSE)),"",VLOOKUP(A90,'049'!$B$4:$F$166,5,FALSE))&amp;"")</f>
        <v>m²</v>
      </c>
      <c r="F90" t="s">
        <v>471</v>
      </c>
    </row>
    <row r="91" spans="1:6" x14ac:dyDescent="0.25">
      <c r="A91" s="3" t="s">
        <v>471</v>
      </c>
      <c r="E91" s="20" t="str">
        <f>IF(ISBLANK(A91),"",IF(ISNA(VLOOKUP(A91,'049'!$B$4:$F$166,5,FALSE)),"",VLOOKUP(A91,'049'!$B$4:$F$166,5,FALSE))&amp;"")</f>
        <v>psch</v>
      </c>
      <c r="F91" t="s">
        <v>481</v>
      </c>
    </row>
    <row r="92" spans="1:6" x14ac:dyDescent="0.25">
      <c r="A92" s="3" t="s">
        <v>481</v>
      </c>
      <c r="E92" s="20" t="str">
        <f>IF(ISBLANK(A92),"",IF(ISNA(VLOOKUP(A92,'049'!$B$4:$F$166,5,FALSE)),"",VLOOKUP(A92,'049'!$B$4:$F$166,5,FALSE))&amp;"")</f>
        <v>h</v>
      </c>
      <c r="F92" t="s">
        <v>487</v>
      </c>
    </row>
    <row r="93" spans="1:6" x14ac:dyDescent="0.25">
      <c r="A93" s="3" t="s">
        <v>487</v>
      </c>
      <c r="E93" s="20" t="str">
        <f>IF(ISBLANK(A93),"",IF(ISNA(VLOOKUP(A93,'049'!$B$4:$F$166,5,FALSE)),"",VLOOKUP(A93,'049'!$B$4:$F$166,5,FALSE))&amp;"")</f>
        <v>h</v>
      </c>
      <c r="F93" t="s">
        <v>491</v>
      </c>
    </row>
    <row r="94" spans="1:6" x14ac:dyDescent="0.25">
      <c r="A94" s="3" t="s">
        <v>491</v>
      </c>
      <c r="E94" s="20" t="str">
        <f>IF(ISBLANK(A94),"",IF(ISNA(VLOOKUP(A94,'049'!$B$4:$F$166,5,FALSE)),"",VLOOKUP(A94,'049'!$B$4:$F$166,5,FALSE))&amp;"")</f>
        <v>h</v>
      </c>
    </row>
  </sheetData>
  <dataValidations count="1">
    <dataValidation type="list" allowBlank="1" showInputMessage="1" showErrorMessage="1" sqref="A2:A10000" xr:uid="{00000000-0002-0000-0200-000000000000}">
      <formula1>$F$1:$F$93</formula1>
    </dataValidation>
  </dataValidations>
  <pageMargins left="0.4" right="0.4" top="0.75" bottom="1" header="0.5" footer="0.75"/>
  <pageSetup paperSize="9" orientation="landscape"/>
  <headerFooter>
    <oddHeader>&amp;CKalkulation - 049&amp;R&amp;D</oddHeader>
    <oddFooter>&amp;LDangl.AVA.Converter www.dangl-it.com V2.28.9 ©2026&amp;R&amp;P/&amp;N</oddFooter>
    <evenHeader>&amp;CKalkulation - 049&amp;R&amp;D</evenHeader>
    <evenFooter>&amp;LDangl.AVA.Converter www.dangl-it.com V2.28.9 ©2026&amp;R&amp;P/&amp;N</evenFooter>
    <firstHeader>&amp;CKalkulation - 049&amp;R&amp;D</firstHeader>
    <firstFooter>&amp;LDangl.AVA.Converter www.dangl-it.com V2.28.9 ©2026&amp;R&amp;P/&amp;N</firstFooter>
  </headerFooter>
  <extLst>
    <ext xmlns:x14="http://schemas.microsoft.com/office/spreadsheetml/2009/9/main" uri="{78C0D931-6437-407d-A8EE-F0AAD7539E65}">
      <x14:conditionalFormattings>
        <x14:conditionalFormatting xmlns:xm="http://schemas.microsoft.com/office/excel/2006/main">
          <x14:cfRule type="expression" priority="1" id="{00000000-000E-0000-0200-000001000000}">
            <xm:f>AND(NOT(ISBLANK(A2)),SUMPRODUCT(('049'!$B$4:$B$166=A2)*1)&lt;1)</xm:f>
            <x14:dxf>
              <fill>
                <patternFill patternType="solid">
                  <fgColor auto="1"/>
                  <bgColor rgb="FFFFC7CE"/>
                </patternFill>
              </fill>
            </x14:dxf>
          </x14:cfRule>
          <xm:sqref>A2:A1000000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1000000}">
          <x14:formula1>
            <xm:f>Projektinfo!$B$3:$B$7</xm:f>
          </x14:formula1>
          <xm:sqref>C2:C10000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8"/>
  <sheetViews>
    <sheetView workbookViewId="0"/>
  </sheetViews>
  <sheetFormatPr baseColWidth="10" defaultColWidth="9.140625" defaultRowHeight="15" x14ac:dyDescent="0.25"/>
  <cols>
    <col min="1" max="1" width="120.7109375" customWidth="1"/>
  </cols>
  <sheetData>
    <row r="1" spans="1:2" x14ac:dyDescent="0.25">
      <c r="A1" t="s">
        <v>522</v>
      </c>
      <c r="B1">
        <v>2</v>
      </c>
    </row>
    <row r="2" spans="1:2" x14ac:dyDescent="0.25">
      <c r="A2" t="s">
        <v>523</v>
      </c>
      <c r="B2">
        <v>0</v>
      </c>
    </row>
    <row r="3" spans="1:2" x14ac:dyDescent="0.25">
      <c r="A3" t="s">
        <v>529</v>
      </c>
    </row>
    <row r="4" spans="1:2" x14ac:dyDescent="0.25">
      <c r="A4" t="s">
        <v>524</v>
      </c>
      <c r="B4" t="s">
        <v>497</v>
      </c>
    </row>
    <row r="5" spans="1:2" x14ac:dyDescent="0.25">
      <c r="A5" t="s">
        <v>525</v>
      </c>
      <c r="B5" t="s">
        <v>526</v>
      </c>
    </row>
    <row r="6" spans="1:2" x14ac:dyDescent="0.25">
      <c r="A6" t="s">
        <v>527</v>
      </c>
      <c r="B6" t="s">
        <v>528</v>
      </c>
    </row>
    <row r="7" spans="1:2" x14ac:dyDescent="0.25">
      <c r="A7" t="s">
        <v>531</v>
      </c>
    </row>
    <row r="8" spans="1:2" x14ac:dyDescent="0.25">
      <c r="A8" t="s">
        <v>530</v>
      </c>
    </row>
    <row r="9" spans="1:2" x14ac:dyDescent="0.25">
      <c r="A9" t="s">
        <v>532</v>
      </c>
      <c r="B9" s="25">
        <v>46031.7964623148</v>
      </c>
    </row>
    <row r="11" spans="1:2" x14ac:dyDescent="0.25">
      <c r="A11" t="s">
        <v>533</v>
      </c>
    </row>
    <row r="12" spans="1:2" x14ac:dyDescent="0.25">
      <c r="A12" t="s">
        <v>534</v>
      </c>
    </row>
    <row r="13" spans="1:2" x14ac:dyDescent="0.25">
      <c r="A13" t="s">
        <v>535</v>
      </c>
    </row>
    <row r="14" spans="1:2" x14ac:dyDescent="0.25">
      <c r="A14" t="s">
        <v>536</v>
      </c>
    </row>
    <row r="15" spans="1:2" x14ac:dyDescent="0.25">
      <c r="A15" t="s">
        <v>537</v>
      </c>
    </row>
    <row r="16" spans="1:2" x14ac:dyDescent="0.25">
      <c r="A16" t="s">
        <v>538</v>
      </c>
    </row>
    <row r="17" spans="1:1" x14ac:dyDescent="0.25">
      <c r="A17" t="s">
        <v>539</v>
      </c>
    </row>
    <row r="18" spans="1:1" x14ac:dyDescent="0.25">
      <c r="A18" t="s">
        <v>540</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vt:i4>
      </vt:variant>
      <vt:variant>
        <vt:lpstr>Benannte Bereiche</vt:lpstr>
      </vt:variant>
      <vt:variant>
        <vt:i4>1</vt:i4>
      </vt:variant>
    </vt:vector>
  </HeadingPairs>
  <TitlesOfParts>
    <vt:vector size="4" baseType="lpstr">
      <vt:lpstr>049</vt:lpstr>
      <vt:lpstr>Projektinfo</vt:lpstr>
      <vt:lpstr>Kalkulation</vt:lpstr>
      <vt:lpstr>'049'!Drucktitel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GAEB Projekt 049</dc:title>
  <dc:subject>GAEB Projekt 049</dc:subject>
  <dc:creator>Dangl.AVA.Converter www.dangl-it.com V2.28.9 ©2026</dc:creator>
  <cp:keywords>GAEB Dangl AVA</cp:keywords>
  <dc:description>Diese Datei wurde automatisch vom GAEB Format nach MS Excel konvertiert</dc:description>
  <cp:lastModifiedBy>Mohamed Senhaby</cp:lastModifiedBy>
  <dcterms:created xsi:type="dcterms:W3CDTF">2026-01-09T19:06:54Z</dcterms:created>
  <dcterms:modified xsi:type="dcterms:W3CDTF">2026-01-10T12:13:30Z</dcterms:modified>
  <cp:category>GAEB Export</cp:category>
  <cp:contentStatus>Exportiert</cp:contentStatus>
</cp:coreProperties>
</file>