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uniduede-my.sharepoint.com/personal/mohamed_senhaby_stud_uni-due_de/Documents/PersonalWork/Laith/Data/"/>
    </mc:Choice>
  </mc:AlternateContent>
  <xr:revisionPtr revIDLastSave="9" documentId="8_{B6DEDA7F-B8CC-4FBF-81BE-7DE6F2C3D256}" xr6:coauthVersionLast="47" xr6:coauthVersionMax="47" xr10:uidLastSave="{A8D94E75-5273-4EDC-90BA-E3E818BECCE7}"/>
  <bookViews>
    <workbookView xWindow="28680" yWindow="-120" windowWidth="25440" windowHeight="15270" xr2:uid="{00000000-000D-0000-FFFF-FFFF00000000}"/>
  </bookViews>
  <sheets>
    <sheet name="PM2300085" sheetId="1" r:id="rId1"/>
    <sheet name="Projektinfo" sheetId="2" r:id="rId2"/>
    <sheet name="Kalkulation" sheetId="3" r:id="rId3"/>
    <sheet name="Config" sheetId="4" state="veryHidden" r:id="rId4"/>
  </sheets>
  <definedNames>
    <definedName name="_xlnm.Print_Titles" localSheetId="0">PM2300085!1:3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K5" i="1"/>
  <c r="K6" i="1"/>
  <c r="H7" i="1"/>
  <c r="J7" i="1" s="1"/>
  <c r="K7" i="1"/>
  <c r="H8" i="1"/>
  <c r="J8" i="1" s="1"/>
  <c r="K8" i="1"/>
  <c r="I12" i="1"/>
  <c r="E2" i="3"/>
  <c r="E3" i="3"/>
  <c r="H9" i="1" l="1"/>
  <c r="J9" i="1" s="1"/>
  <c r="H10" i="1" s="1"/>
  <c r="J10" i="1" s="1"/>
  <c r="H11" i="1" s="1"/>
  <c r="J11" i="1" s="1"/>
  <c r="J13" i="1" s="1"/>
  <c r="J12" i="1" l="1"/>
</calcChain>
</file>

<file path=xl/sharedStrings.xml><?xml version="1.0" encoding="utf-8"?>
<sst xmlns="http://schemas.openxmlformats.org/spreadsheetml/2006/main" count="92" uniqueCount="62">
  <si>
    <t>Projektname</t>
  </si>
  <si>
    <t>MwSt.</t>
  </si>
  <si>
    <t>Typ</t>
  </si>
  <si>
    <t>Ordnungszahl</t>
  </si>
  <si>
    <t>Kurztext</t>
  </si>
  <si>
    <t>Langtext</t>
  </si>
  <si>
    <t>Menge</t>
  </si>
  <si>
    <t>Einheit</t>
  </si>
  <si>
    <t>Einheitspreis</t>
  </si>
  <si>
    <t>Nachlass</t>
  </si>
  <si>
    <t>Gesamtpreis</t>
  </si>
  <si>
    <t>Preis nach Nachlass</t>
  </si>
  <si>
    <t>Leistungsbeschreibung</t>
  </si>
  <si>
    <t>Abbrucharbeiten</t>
  </si>
  <si>
    <t>Gruppe</t>
  </si>
  <si>
    <t>01.</t>
  </si>
  <si>
    <t>Abbrucharbeiten des Schulstandort Rölsdorfstraße</t>
  </si>
  <si>
    <t>01.01.</t>
  </si>
  <si>
    <t>Position</t>
  </si>
  <si>
    <t>01.01.0010.</t>
  </si>
  <si>
    <t>Pauschalpreis für den Abbruchunternehmer</t>
  </si>
  <si>
    <t>psch</t>
  </si>
  <si>
    <t>3e936996-abc5-483d-a773-57262ced8b2c</t>
  </si>
  <si>
    <t>9bf0f196-d964-4258-aef8-ef1a4e7c95e9</t>
  </si>
  <si>
    <t>01.01.0020.</t>
  </si>
  <si>
    <t>Verlängerte Vorhaltung Bauzaun</t>
  </si>
  <si>
    <t>Der Bauzaun zur Einfriedung des Baufeldes ist über die Bauzeit hinaus vorzuhalten, im Bedarfsfall instand zu setzen und nach Aufforderung durch die Bauherrenschaft abzufahren.
Einzukalkulieren sind weiterhin:
- alle Materialien und Verbrauchsmaterialien
- alle Instandhaltungs- sowie Nebenarbeiten
Der Bauzaun ist mit Hinweisschildern "Betreten verboten" zu kennzeichnen.
Antizipiert wird eine verlängerte Vorhaltung von ca. 600 Metern Bauzaun für ca. ein Jahr über die Tätigkeiten das AN hinaus.
Abrechnungsgrundlage sind vorgehaltene Bauzaunmeter x Wochen inkl. aller Nebenkosten
Verlängerte Vorhaltung Bauzaun                                          31.200 MeterWochen</t>
  </si>
  <si>
    <t>f4686beb-3874-4da1-ba7a-36858375242a</t>
  </si>
  <si>
    <t>Summe Gruppe</t>
  </si>
  <si>
    <t>8dcdc5f3-6d59-460f-b33e-45ff2e36bedc</t>
  </si>
  <si>
    <t>b9639df7-2450-4743-a8d5-b925b24f98e8</t>
  </si>
  <si>
    <t>Summe Leistungsbeschreibung</t>
  </si>
  <si>
    <t>Brutto</t>
  </si>
  <si>
    <t>PM-23-00085</t>
  </si>
  <si>
    <t>Einheitspreisanteile</t>
  </si>
  <si>
    <t>Käufer</t>
  </si>
  <si>
    <t>Name</t>
  </si>
  <si>
    <t>Bundesstadt Bonn</t>
  </si>
  <si>
    <t>Straße</t>
  </si>
  <si>
    <t>Postleitzahl</t>
  </si>
  <si>
    <t>Stadt</t>
  </si>
  <si>
    <t>Land</t>
  </si>
  <si>
    <t>Kontaktperson</t>
  </si>
  <si>
    <t>Email</t>
  </si>
  <si>
    <t>Telefon</t>
  </si>
  <si>
    <t>Bieter</t>
  </si>
  <si>
    <t>Kommentar</t>
  </si>
  <si>
    <t>Einheitspreisanteil</t>
  </si>
  <si>
    <t>Ergebnis</t>
  </si>
  <si>
    <t>Configuration Version</t>
  </si>
  <si>
    <t>Service Specification Index</t>
  </si>
  <si>
    <t>Worksheetname Overview</t>
  </si>
  <si>
    <t>PM2300085</t>
  </si>
  <si>
    <t>Worksheetname ProjectInfo</t>
  </si>
  <si>
    <t>Projektinfo</t>
  </si>
  <si>
    <t>Worksheetname Calculation</t>
  </si>
  <si>
    <t>Kalkulation</t>
  </si>
  <si>
    <t>Dangl.AVA.Converter www.dangl-it.com V2.28.9 ©2026</t>
  </si>
  <si>
    <t>This worksheet contains configuration data needed so the file can be read again as GAEB file. Please do not modify any values.</t>
  </si>
  <si>
    <t>Dieses Arbeitsblatt enthält Konfigurationsdaten, die dem späteren Einlesen als GAEB Datei dienen. Bitte ändern Sie keine Werte.</t>
  </si>
  <si>
    <t>Created at 09.01.2026 18:26 (UTC)</t>
  </si>
  <si>
    <t>1000:9BB7AA9B339165B23AD740EBB70262B1EF76BA5F593B4B8B15C68C649A255CCE:0A7E0759C02830B46EC3647EA2220DBB:yOArwzcPkP2HLtF/9c+PliG/onpbSnuLE96N34+kqmiNAgc8KzQnvsiWz2Fi0djGwkQDtTNnLvoF+dl6xkcTOIs4Bw+KDvhu1QcLK9+9H/U3E9XisUbQEwXI3sgi0wrK7YKhj+AgYMKHffBuIH9uFLSr51JpIRPK2TI2td7QpjEi8vf8HQwxLL4/ewS7PysxkBPf3WTJMzyJxo9JIpgN3W0037f7QI0xqu1noUeFCRAE6RC++oFvJe5Q9o4/mmorHCkYxBJTqPyhJteKIQRUgXtQijAMZngkr82p4YIdmv54DuHNH/jxM/61IaSZyajzypw7TmP2GZYoqnTlCdo9p07cqJZioH3vrwb1V3reRRENAnpag+loab27by71BcwqIKVdgX4jA5BCiK53HbW7Y7TQL6DMnjdTYhBJIJfNs4SIQ2V1NX8hEZkfr8k1FHQgKLPo29ITa6//QYitYEzD8S6LnUmuwKwgpsxWRB5IbmmyT3BmLw0l4DIl89ZSGsAl62UeKRrITlS8oOk+6A7IwGwbkp3+QMrfs+MlmzdM7nd50Py5kk5zvUXKoZSqFv6ON/wjSirK140yiPgrngYu0FzoIzMFK/PdyQm/ISMCbvbLmWo7Su1V+IqjI+wYNa1rTMs0wVJ18zFvrTLzZmvU+MEMferp8NFMp8GtIbncx+D8d6JtlVYTZMhq/P/T/hfBcht5Cy+T4a4jSMS4Vz5vgstYHZFnAvd42npFxPXVrp/zdrS9UAEKStkeLhWmWw2wTcH/USFLTZamemszo73zi7MvflMM82Kjyjrrjv04AWbUzYqPUhWsDxtxHnazv/JqUHaxBy57sqZCBGVm9pGfIlLusWCA/NTy5mgzC/5ivgyQiAe6ivLahGFOQi/PvvTl2KesFsieAEE7nB06/6Vg//afIdQofz6FTqwm9y9M2AafQYuLrAVrJJ309PV1pfBsOULxab5LHjDin9kgI7rYU8hSFx0U/7HakAwLnGDdnqnPCe1VAGOJaSRYQnv3VqHStKyaJVGUNXD+dP3hnol9zJbQk4gjzLANVlnQmHYyH0sIZsXHB56ApIrO8gkUzU5FY9manWk/+roqCM8WJJUBr65VLCDLB5ZGipsRjWuONW4rFRwpx2r45+09OJv+HZAbNgvj8M0hGi6ZVdSUVwDM6RinvX2sN/3gnKzWPT792wh52V+pbtvP+HE+kCKEAlxg0IlA+/Xx7dErGKB4G3A0Gw6TKXd1OptXHny1Uk4GnzuhgDLRGfoJepCoRXRtv45j3xqKI6a9zVMOsN0BdGJQZfx2nsKJnOmBHA3Rix5a7QF9whH0pGxnTD48f1plpC9xU7vTmWt77KxLf7MNH+vtI2T01H0y4TzJng7ECwH2CI1rueA7phsKBRizZuVW9qmEnsg/lSdoWiPt1LyH3MwTSNSJ8k+syBrnQH10zvUFWNQIKyCwDLj3KYQOFpztXvic/cqUkVcnZvbm0qy+ok64Wre6mT8CStfhSoXduEStDFA5+jfNcJY0kwACxPRkckLndKnKnxqVZKLWI0AMIPi/H8cmAS3aZnqBVstvW+LprgoAEFQeB/H+5elv6sqPdeqYcxMCm3OxA6cn9+aJZvkoSSxiB4wpM5ZUtJjtTT1Ro12A7qYtpLviMxUngo+BhK2RJbWyNaDtypTsbN5f+BBiKhQx09krW2czmRcsWqgSCRaB6bLmWzVdrnGsKmLZW2zF/w719QLQS3h4hMY6vGn2jBCjoqHEmGfkXb4QWTk5w+31W+mvOVxDws5nDw/xNS+xNrmXrKFFP6pDKWbviJybjKzY2mvAaOuc7C//fpT4E+3ykroSjqdV5+AMp5Yi27xPLbwSNdHJeN7I5PGx1bR8nUlvET4Sb4t+uoNTo2D6UOMS3FAnM1xBWAqDEsU8kk8A66LdEYXcd/NK+D8VrJhnrrcA7pi0NWEDhKlANosdLFzprMTMhdqUstiKLw1BTP2QOPwUXFcqC32QDK8MHcbxQJSPFQY3uJqC3sKQ/LwiibC8d+GcFhzfz7LNAIRIs9OLqq+3OwCdSmXSBw4ZUNMCpkRs0fXdWAC4qF2GGMjTRmx8H03kCOrvwWS1aNUJk8t2P7hWccJKscR4whJUxGe9B0nPXlIWn3v/nVmykJZz0prmqIh5ARir5OuSWPCE4sWlJnxsqLPAkBKNZq3vh6sqOC664/j644ry2K7yKYidQsn58OL18DNSSnEX5EagEZUa4Wapa4pKd8J5v8opIoNedmxCOGc4okZCKwsq+FoaplSW3/KZATkiUey/VTv4kaic+wd6sr+Z25dzgR2FcHFe8WA4raeg7ZmqvSgIh944QZVlyKOTf9vmtYjDyUSPkM8TGYMtL8sYENLucFpSQBmfbu9GSF1TcmZKx12z9P7/YYZLRUWosT81SKZjQPczvfdP1boS4z51AM3ZKe8XXNT+H5HOz+zg6IyuaIBxDSyXP0eGZpIJbKt673GWSg5P5MdrUP9PnxLGHilINEWlVgRvQIcQWKf0/yn3PpY5tpt9HSt+GEoAz5Rdjt23lRooZFyXbk96iSa9uB5hwV/BVdOyu+217GEh8uQHWssY1cQOFKkV6OWZ0W/UmwcN6wAKao0AjANqzwzGGJjMk3ySK1g4cHemO+ioR/UsPnjE/G2FktsFX6NmWnYmzGVEDkTtzg5GenEji6nvI8oTvgIv6oek8KKdakWXQvgFNKrAbCtTWK4lFd0J6ORbs2FraMwGXREYOIeRYQ/jcemhi7cIhPCQUHGL8oQ6P+j5JrJqX/YWM9FapbWLa0ACSSBFDCLsAWIjL2xi6dfe4O/Kr/wV1bLLqUyNOSRBszeNsQs+d0uCA1ZwbmAe48FDxFLBa0o5lMndn3oIjzTcP0x0hkF+LwNbFQnPbNlxSENfCaIt1+TNNjmYmKeVbqzf8lvfqycYe+n9QoD8HU8EWmBamdtXz879aBFPxMokLXL0iR79Yy4eq3C2JXZZltKNJHMjXD3ax3aErLwC81yl7lMTgQKgjWBGZYpdl6uXADb0jxnm216G7LWgEQDzdu+3hfahWvz9QFc7WKgt6g76JSC9egSbKCwzfnq/v7ffWb+DVjQ3KP7FeOvh9kjjx8uG2TsX4SjL20dJQSnZURRGNJ8Ud38DeSS3V+/XQTWTcnvlczr2lCen2JhrF9hSBPhF9DfzjM0bd63oQbpteP7y85d8HBwACuJzZ9jYMY8tXE2BZNWZFP+HQRHuq5mFREtiO81YUYt4bC4pSX9DVkTNabtoihRU9JNviRcad1NaUch0A607eIXvlaImgS5mGIXFmzWwzAS9Dg+Vc3enpRLaCwT7/qytCk1RR2EJj10Eq7W923ltw6Ye9+R4d1j//huGjelg43xS7HIN+Rl3pkMwbt2Ln5wnkxnyZFZBQTX2sUE2GLbrfM9pYvQDXzDvgrmRk+/3ZdV6JJqfMIgBuGr5ucQJgqU3DiIEtN3qEy5Rk/ffEafYanX5AR1gAsJhHdrx3TYUOBrhUxPzSueGORrAT27KrGNsWXdlZEP4XiW5FEz1a+ZQ2Dgu9nRhaqud90/S7ZxAIBzVG4JbKaLQ4jHweimq1Weg+uX7k0LQ4XwgJv0Ac9higpuYDYpsXabknBZwVSGURyUZdQi5AxDEZV+fbJpybbDNwohspXRHFMrzecS00CmDglbDFAbFKOR1WsmkDo2yJc1erBKN6G3/n8anK3tt43bTZicpPxNoXUF5VdOnjZLXRYULLY39zi/djde4shkwULAEpx91Nzcva/mqgCJJfyoNwjNzAKHnp17tuD1NzlpUmsG35xbet+fued6DVPBCs2oJPh0zxTalsuf2xGMB8TMbt8MCWTaZjtTzj2YPtB1MA2ruBHzG4yPFhQ+foMCa6ZQrF/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</si>
</sst>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quot; EUR&quot;"/>
    <numFmt numFmtId="166" formatCode="#0.00%"/>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applyBorder="0"/>
  </cellStyleXfs>
  <cellXfs count="26">
    <xf numFmtId="0" fontId="0" fillId="0" borderId="0" xfId="0"/>
    <xf numFmtId="49" fontId="0" fillId="0" borderId="0" xfId="0" applyNumberFormat="1"/>
    <xf numFmtId="164" fontId="0" fillId="0" borderId="0" xfId="0" applyNumberFormat="1"/>
    <xf numFmtId="165" fontId="0" fillId="0" borderId="0" xfId="0" applyNumberFormat="1"/>
    <xf numFmtId="166" fontId="0" fillId="0" borderId="0" xfId="0" applyNumberFormat="1"/>
    <xf numFmtId="0" fontId="1" fillId="0" borderId="0" xfId="0" applyFont="1"/>
    <xf numFmtId="49" fontId="1" fillId="0" borderId="0" xfId="0" applyNumberFormat="1" applyFont="1"/>
    <xf numFmtId="0" fontId="1" fillId="0" borderId="1" xfId="0" applyFont="1" applyBorder="1"/>
    <xf numFmtId="49" fontId="1" fillId="0" borderId="1" xfId="0" applyNumberFormat="1" applyFont="1" applyBorder="1"/>
    <xf numFmtId="164" fontId="1" fillId="0" borderId="1" xfId="0" applyNumberFormat="1" applyFont="1" applyBorder="1"/>
    <xf numFmtId="165" fontId="1" fillId="0" borderId="1" xfId="0" applyNumberFormat="1" applyFont="1" applyBorder="1"/>
    <xf numFmtId="166" fontId="1" fillId="0" borderId="1" xfId="0" applyNumberFormat="1" applyFont="1" applyBorder="1"/>
    <xf numFmtId="0" fontId="1" fillId="0" borderId="2" xfId="0" applyFont="1" applyBorder="1"/>
    <xf numFmtId="49" fontId="1" fillId="0" borderId="2" xfId="0" applyNumberFormat="1" applyFont="1" applyBorder="1"/>
    <xf numFmtId="164" fontId="1" fillId="0" borderId="2" xfId="0" applyNumberFormat="1" applyFont="1" applyBorder="1"/>
    <xf numFmtId="165" fontId="1" fillId="0" borderId="2" xfId="0" applyNumberFormat="1" applyFont="1" applyBorder="1"/>
    <xf numFmtId="166" fontId="1" fillId="0" borderId="2" xfId="0" applyNumberFormat="1" applyFont="1" applyBorder="1"/>
    <xf numFmtId="165" fontId="0" fillId="0" borderId="0" xfId="0" applyNumberFormat="1" applyAlignment="1">
      <alignment horizontal="right"/>
    </xf>
    <xf numFmtId="0" fontId="0" fillId="0" borderId="0" xfId="0" applyAlignment="1">
      <alignment horizontal="left"/>
    </xf>
    <xf numFmtId="0" fontId="1" fillId="0" borderId="0" xfId="0" applyFont="1" applyAlignment="1">
      <alignment horizontal="left"/>
    </xf>
    <xf numFmtId="49" fontId="1" fillId="0" borderId="1" xfId="0" applyNumberFormat="1" applyFont="1" applyBorder="1" applyAlignment="1">
      <alignment horizontal="left"/>
    </xf>
    <xf numFmtId="0" fontId="1" fillId="0" borderId="1" xfId="0" applyFont="1" applyBorder="1" applyAlignment="1">
      <alignment horizontal="left"/>
    </xf>
    <xf numFmtId="165" fontId="1" fillId="0" borderId="1" xfId="0" applyNumberFormat="1" applyFont="1" applyBorder="1" applyAlignment="1">
      <alignment horizontal="left"/>
    </xf>
    <xf numFmtId="22" fontId="0" fillId="0" borderId="0" xfId="0" applyNumberFormat="1"/>
    <xf numFmtId="49" fontId="1" fillId="0" borderId="0" xfId="0" applyNumberFormat="1" applyFont="1"/>
    <xf numFmtId="0" fontId="1" fillId="0" borderId="1" xfId="0" applyFont="1" applyBorder="1"/>
  </cellXfs>
  <cellStyles count="1">
    <cellStyle name="Standard" xfId="0" builtinId="0"/>
  </cellStyles>
  <dxfs count="1">
    <dxf>
      <fill>
        <patternFill patternType="solid">
          <fgColor auto="1"/>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3"/>
  <sheetViews>
    <sheetView tabSelected="1" workbookViewId="0">
      <pane xSplit="3" ySplit="3" topLeftCell="D4" activePane="bottomRight" state="frozenSplit"/>
      <selection pane="topRight"/>
      <selection pane="bottomLeft"/>
      <selection pane="bottomRight" activeCell="G7" sqref="G7"/>
    </sheetView>
  </sheetViews>
  <sheetFormatPr baseColWidth="10" defaultColWidth="9.140625" defaultRowHeight="15" outlineLevelRow="2" x14ac:dyDescent="0.25"/>
  <cols>
    <col min="1" max="1" width="15.7109375" customWidth="1"/>
    <col min="2" max="2" width="15.7109375" style="1" customWidth="1"/>
    <col min="3" max="3" width="22.5703125" customWidth="1"/>
    <col min="4" max="4" width="255.7109375" bestFit="1" customWidth="1"/>
    <col min="5" max="5" width="9.7109375" style="2" customWidth="1"/>
    <col min="6" max="6" width="8.7109375" customWidth="1"/>
    <col min="7" max="7" width="9.7109375" style="3" customWidth="1"/>
    <col min="8" max="8" width="12.7109375" style="3" customWidth="1"/>
    <col min="9" max="9" width="9.7109375" style="4" customWidth="1"/>
    <col min="10" max="10" width="14.7109375" style="3" customWidth="1"/>
    <col min="11" max="11" width="7.7109375" style="4" customWidth="1"/>
    <col min="12" max="12" width="9.140625" style="1" hidden="1" customWidth="1"/>
    <col min="13" max="13" width="9.140625" hidden="1" customWidth="1"/>
  </cols>
  <sheetData>
    <row r="1" spans="1:13" s="5" customFormat="1" x14ac:dyDescent="0.25">
      <c r="A1" s="5" t="s">
        <v>0</v>
      </c>
      <c r="B1" s="24" t="str">
        <f>IF(Projektinfo!B1="","",Projektinfo!B1)</f>
        <v>PM-23-00085</v>
      </c>
      <c r="C1" s="24"/>
      <c r="D1" s="24"/>
      <c r="E1" s="24"/>
      <c r="F1" s="24"/>
      <c r="G1" s="24"/>
      <c r="H1" s="24"/>
      <c r="I1" s="24"/>
      <c r="J1" s="24"/>
      <c r="K1" s="24"/>
      <c r="L1" s="6"/>
    </row>
    <row r="2" spans="1:13" x14ac:dyDescent="0.25">
      <c r="A2" t="s">
        <v>1</v>
      </c>
      <c r="B2" s="4"/>
    </row>
    <row r="3" spans="1:13" s="5" customFormat="1" x14ac:dyDescent="0.25">
      <c r="A3" s="7" t="s">
        <v>2</v>
      </c>
      <c r="B3" s="8" t="s">
        <v>3</v>
      </c>
      <c r="C3" s="7" t="s">
        <v>4</v>
      </c>
      <c r="D3" s="7" t="s">
        <v>5</v>
      </c>
      <c r="E3" s="9" t="s">
        <v>6</v>
      </c>
      <c r="F3" s="7" t="s">
        <v>7</v>
      </c>
      <c r="G3" s="10" t="s">
        <v>8</v>
      </c>
      <c r="H3" s="10" t="s">
        <v>10</v>
      </c>
      <c r="I3" s="11" t="s">
        <v>9</v>
      </c>
      <c r="J3" s="10" t="s">
        <v>11</v>
      </c>
      <c r="K3" s="11" t="s">
        <v>1</v>
      </c>
      <c r="L3" s="6"/>
    </row>
    <row r="4" spans="1:13" x14ac:dyDescent="0.25">
      <c r="A4" t="s">
        <v>12</v>
      </c>
      <c r="C4" t="s">
        <v>13</v>
      </c>
    </row>
    <row r="5" spans="1:13" outlineLevel="1" x14ac:dyDescent="0.25">
      <c r="A5" t="s">
        <v>14</v>
      </c>
      <c r="B5" s="1" t="s">
        <v>15</v>
      </c>
      <c r="C5" t="s">
        <v>16</v>
      </c>
      <c r="K5" s="4" t="str">
        <f>""</f>
        <v/>
      </c>
    </row>
    <row r="6" spans="1:13" outlineLevel="2" x14ac:dyDescent="0.25">
      <c r="A6" t="s">
        <v>14</v>
      </c>
      <c r="B6" s="1" t="s">
        <v>17</v>
      </c>
      <c r="C6" t="s">
        <v>13</v>
      </c>
      <c r="K6" s="4" t="str">
        <f>""</f>
        <v/>
      </c>
    </row>
    <row r="7" spans="1:13" outlineLevel="2" x14ac:dyDescent="0.25">
      <c r="A7" t="s">
        <v>18</v>
      </c>
      <c r="B7" s="1" t="s">
        <v>19</v>
      </c>
      <c r="C7" t="s">
        <v>13</v>
      </c>
      <c r="D7" t="s">
        <v>20</v>
      </c>
      <c r="E7" s="2">
        <v>1</v>
      </c>
      <c r="F7" t="s">
        <v>21</v>
      </c>
      <c r="G7" s="3">
        <v>5450.65</v>
      </c>
      <c r="H7" s="3">
        <f>G7*E7</f>
        <v>5450.65</v>
      </c>
      <c r="J7" s="3">
        <f>H7*(1-I7)</f>
        <v>5450.65</v>
      </c>
      <c r="K7" s="4">
        <f>B2</f>
        <v>0</v>
      </c>
      <c r="L7" s="1" t="s">
        <v>22</v>
      </c>
      <c r="M7" t="s">
        <v>23</v>
      </c>
    </row>
    <row r="8" spans="1:13" outlineLevel="2" x14ac:dyDescent="0.25">
      <c r="A8" t="s">
        <v>18</v>
      </c>
      <c r="B8" s="1" t="s">
        <v>24</v>
      </c>
      <c r="C8" t="s">
        <v>25</v>
      </c>
      <c r="D8" t="s">
        <v>26</v>
      </c>
      <c r="E8" s="2">
        <v>1</v>
      </c>
      <c r="F8" t="s">
        <v>21</v>
      </c>
      <c r="G8" s="3">
        <v>246170.45</v>
      </c>
      <c r="H8" s="3">
        <f>G8*E8</f>
        <v>246170.45</v>
      </c>
      <c r="J8" s="3">
        <f>H8*(1-I8)</f>
        <v>246170.45</v>
      </c>
      <c r="K8" s="4">
        <f>B2</f>
        <v>0</v>
      </c>
      <c r="L8" s="1" t="s">
        <v>22</v>
      </c>
      <c r="M8" t="s">
        <v>27</v>
      </c>
    </row>
    <row r="9" spans="1:13" s="5" customFormat="1" outlineLevel="1" x14ac:dyDescent="0.25">
      <c r="A9" s="12" t="s">
        <v>28</v>
      </c>
      <c r="B9" s="13" t="s">
        <v>17</v>
      </c>
      <c r="C9" s="12" t="s">
        <v>13</v>
      </c>
      <c r="D9" s="12"/>
      <c r="E9" s="14"/>
      <c r="F9" s="12"/>
      <c r="G9" s="15"/>
      <c r="H9" s="15">
        <f>SUMIF(L:L,"3e936996-abc5-483d-a773-57262ced8b2c",J:J)</f>
        <v>251621.1</v>
      </c>
      <c r="I9" s="16"/>
      <c r="J9" s="15">
        <f>H9*(1-I9)</f>
        <v>251621.1</v>
      </c>
      <c r="K9" s="16"/>
      <c r="L9" s="6" t="s">
        <v>29</v>
      </c>
      <c r="M9" s="5" t="s">
        <v>22</v>
      </c>
    </row>
    <row r="10" spans="1:13" s="5" customFormat="1" x14ac:dyDescent="0.25">
      <c r="A10" s="12" t="s">
        <v>28</v>
      </c>
      <c r="B10" s="13" t="s">
        <v>15</v>
      </c>
      <c r="C10" s="12" t="s">
        <v>16</v>
      </c>
      <c r="D10" s="12"/>
      <c r="E10" s="14"/>
      <c r="F10" s="12"/>
      <c r="G10" s="15"/>
      <c r="H10" s="15">
        <f>SUMIF(L:L,"8dcdc5f3-6d59-460f-b33e-45ff2e36bedc",J:J)</f>
        <v>251621.1</v>
      </c>
      <c r="I10" s="16"/>
      <c r="J10" s="15">
        <f>H10*(1-I10)</f>
        <v>251621.1</v>
      </c>
      <c r="K10" s="16"/>
      <c r="L10" s="6" t="s">
        <v>30</v>
      </c>
      <c r="M10" s="5" t="s">
        <v>29</v>
      </c>
    </row>
    <row r="11" spans="1:13" s="5" customFormat="1" x14ac:dyDescent="0.25">
      <c r="A11" s="12" t="s">
        <v>31</v>
      </c>
      <c r="B11" s="13"/>
      <c r="C11" s="12"/>
      <c r="D11" s="12"/>
      <c r="E11" s="14"/>
      <c r="F11" s="12"/>
      <c r="G11" s="15"/>
      <c r="H11" s="15">
        <f>SUMIF(L:L,"b9639df7-2450-4743-a8d5-b925b24f98e8",J:J)</f>
        <v>251621.1</v>
      </c>
      <c r="I11" s="16"/>
      <c r="J11" s="15">
        <f>(1-I11)*H11</f>
        <v>251621.1</v>
      </c>
      <c r="K11" s="16"/>
      <c r="L11" s="6"/>
      <c r="M11" s="5" t="s">
        <v>30</v>
      </c>
    </row>
    <row r="12" spans="1:13" x14ac:dyDescent="0.25">
      <c r="I12" s="4" t="str">
        <f>"MwSt. "&amp;$B$2*100&amp;"%"</f>
        <v>MwSt. 0%</v>
      </c>
      <c r="J12" s="3">
        <f>$B$2*J11</f>
        <v>0</v>
      </c>
    </row>
    <row r="13" spans="1:13" x14ac:dyDescent="0.25">
      <c r="I13" s="11" t="s">
        <v>32</v>
      </c>
      <c r="J13" s="10">
        <f>(1+$B$2)*J11</f>
        <v>251621.1</v>
      </c>
    </row>
  </sheetData>
  <mergeCells count="1">
    <mergeCell ref="B1:K1"/>
  </mergeCells>
  <pageMargins left="0.4" right="0.4" top="0.75" bottom="1" header="0.5" footer="0.75"/>
  <pageSetup paperSize="9" fitToHeight="0" orientation="landscape" r:id="rId1"/>
  <headerFooter>
    <oddHeader>&amp;CGAEB Export - PM2300085&amp;R&amp;D</oddHeader>
    <oddFooter>&amp;LDangl.AVA.Converter www.dangl-it.com V2.28.9 ©2026&amp;R&amp;P/&amp;N</oddFooter>
    <evenHeader>&amp;CGAEB Export - PM2300085&amp;R&amp;D</evenHeader>
    <evenFooter>&amp;LDangl.AVA.Converter www.dangl-it.com V2.28.9 ©2026&amp;R&amp;P/&amp;N</evenFooter>
    <firstHeader>&amp;CGAEB Export - PM2300085&amp;R&amp;D</firstHeader>
    <firstFooter>&amp;LDangl.AVA.Converter www.dangl-it.com V2.28.9 ©2026&amp;R&amp;P/&amp;N</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heetViews>
  <sheetFormatPr baseColWidth="10" defaultColWidth="9.140625" defaultRowHeight="15" x14ac:dyDescent="0.25"/>
  <cols>
    <col min="1" max="1" width="30.7109375" customWidth="1"/>
    <col min="2" max="2" width="40.7109375" customWidth="1"/>
  </cols>
  <sheetData>
    <row r="1" spans="1:2" x14ac:dyDescent="0.25">
      <c r="A1" s="5" t="s">
        <v>0</v>
      </c>
      <c r="B1" t="s">
        <v>33</v>
      </c>
    </row>
    <row r="2" spans="1:2" x14ac:dyDescent="0.25">
      <c r="A2" s="25" t="s">
        <v>34</v>
      </c>
      <c r="B2" s="25"/>
    </row>
    <row r="4" spans="1:2" x14ac:dyDescent="0.25">
      <c r="A4" s="25" t="s">
        <v>35</v>
      </c>
      <c r="B4" s="25"/>
    </row>
    <row r="5" spans="1:2" x14ac:dyDescent="0.25">
      <c r="A5" t="s">
        <v>36</v>
      </c>
      <c r="B5" t="s">
        <v>37</v>
      </c>
    </row>
    <row r="6" spans="1:2" x14ac:dyDescent="0.25">
      <c r="A6" t="s">
        <v>38</v>
      </c>
    </row>
    <row r="7" spans="1:2" x14ac:dyDescent="0.25">
      <c r="A7" t="s">
        <v>39</v>
      </c>
    </row>
    <row r="8" spans="1:2" x14ac:dyDescent="0.25">
      <c r="A8" t="s">
        <v>40</v>
      </c>
    </row>
    <row r="9" spans="1:2" x14ac:dyDescent="0.25">
      <c r="A9" t="s">
        <v>41</v>
      </c>
    </row>
    <row r="10" spans="1:2" x14ac:dyDescent="0.25">
      <c r="A10" t="s">
        <v>42</v>
      </c>
    </row>
    <row r="11" spans="1:2" x14ac:dyDescent="0.25">
      <c r="A11" t="s">
        <v>43</v>
      </c>
    </row>
    <row r="12" spans="1:2" x14ac:dyDescent="0.25">
      <c r="A12" t="s">
        <v>44</v>
      </c>
    </row>
    <row r="15" spans="1:2" x14ac:dyDescent="0.25">
      <c r="A15" s="25" t="s">
        <v>45</v>
      </c>
      <c r="B15" s="25"/>
    </row>
    <row r="16" spans="1:2" x14ac:dyDescent="0.25">
      <c r="A16" t="s">
        <v>36</v>
      </c>
    </row>
    <row r="20" spans="1:1" x14ac:dyDescent="0.25">
      <c r="A20" t="s">
        <v>38</v>
      </c>
    </row>
    <row r="21" spans="1:1" x14ac:dyDescent="0.25">
      <c r="A21" t="s">
        <v>39</v>
      </c>
    </row>
    <row r="22" spans="1:1" x14ac:dyDescent="0.25">
      <c r="A22" t="s">
        <v>40</v>
      </c>
    </row>
    <row r="23" spans="1:1" x14ac:dyDescent="0.25">
      <c r="A23" t="s">
        <v>41</v>
      </c>
    </row>
    <row r="24" spans="1:1" x14ac:dyDescent="0.25">
      <c r="A24" t="s">
        <v>42</v>
      </c>
    </row>
    <row r="25" spans="1:1" x14ac:dyDescent="0.25">
      <c r="A25" t="s">
        <v>43</v>
      </c>
    </row>
    <row r="26" spans="1:1" x14ac:dyDescent="0.25">
      <c r="A26" t="s">
        <v>44</v>
      </c>
    </row>
  </sheetData>
  <mergeCells count="3">
    <mergeCell ref="A2:B2"/>
    <mergeCell ref="A4:B4"/>
    <mergeCell ref="A15:B15"/>
  </mergeCells>
  <pageMargins left="0.75" right="0.75" top="0.75" bottom="0.5" header="0.5" footer="0.75"/>
  <pageSetup paperSize="9" orientation="portrait"/>
  <headerFooter>
    <oddHeader>&amp;L&amp;P/&amp;N&amp;CProjektinfo - PM2300085&amp;R&amp;D</oddHeader>
    <oddFooter>&amp;LDangl.AVA.Converter www.dangl-it.com V2.28.9 ©2026</oddFooter>
    <evenHeader>&amp;L&amp;P/&amp;N&amp;CProjektinfo - PM2300085&amp;R&amp;D</evenHeader>
    <evenFooter>&amp;LDangl.AVA.Converter www.dangl-it.com V2.28.9 ©2026</evenFooter>
    <firstHeader>&amp;L&amp;P/&amp;N&amp;CProjektinfo - PM2300085&amp;R&amp;D</firstHeader>
    <firstFooter>&amp;LDangl.AVA.Converter www.dangl-it.com V2.28.9 ©2026</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pane ySplit="1" topLeftCell="A2" activePane="bottomLeft" state="frozenSplit"/>
      <selection pane="bottomLeft"/>
    </sheetView>
  </sheetViews>
  <sheetFormatPr baseColWidth="10" defaultColWidth="9.140625" defaultRowHeight="15" x14ac:dyDescent="0.25"/>
  <cols>
    <col min="1" max="1" width="15.7109375" style="1" customWidth="1"/>
    <col min="2" max="2" width="76.7109375" customWidth="1"/>
    <col min="3" max="3" width="20.7109375" customWidth="1"/>
    <col min="4" max="4" width="15.7109375" style="17" customWidth="1"/>
    <col min="5" max="5" width="12.7109375" style="18" customWidth="1"/>
    <col min="6" max="6" width="9.140625" hidden="1" customWidth="1"/>
  </cols>
  <sheetData>
    <row r="1" spans="1:6" s="19" customFormat="1" x14ac:dyDescent="0.25">
      <c r="A1" s="20" t="s">
        <v>3</v>
      </c>
      <c r="B1" s="21" t="s">
        <v>46</v>
      </c>
      <c r="C1" s="21" t="s">
        <v>47</v>
      </c>
      <c r="D1" s="22" t="s">
        <v>48</v>
      </c>
      <c r="E1" s="21" t="s">
        <v>7</v>
      </c>
      <c r="F1" s="19" t="s">
        <v>19</v>
      </c>
    </row>
    <row r="2" spans="1:6" x14ac:dyDescent="0.25">
      <c r="A2" s="1" t="s">
        <v>19</v>
      </c>
      <c r="E2" s="18" t="str">
        <f>IF(ISBLANK(A2),"",IF(ISNA(VLOOKUP(A2,PM2300085!$B$4:$F$13,5,FALSE)),"",VLOOKUP(A2,PM2300085!$B$4:$F$13,5,FALSE))&amp;"")</f>
        <v>psch</v>
      </c>
      <c r="F2" t="s">
        <v>24</v>
      </c>
    </row>
    <row r="3" spans="1:6" x14ac:dyDescent="0.25">
      <c r="A3" s="1" t="s">
        <v>24</v>
      </c>
      <c r="E3" s="18" t="str">
        <f>IF(ISBLANK(A3),"",IF(ISNA(VLOOKUP(A3,PM2300085!$B$4:$F$13,5,FALSE)),"",VLOOKUP(A3,PM2300085!$B$4:$F$13,5,FALSE))&amp;"")</f>
        <v>psch</v>
      </c>
    </row>
  </sheetData>
  <dataValidations count="1">
    <dataValidation type="list" allowBlank="1" showInputMessage="1" showErrorMessage="1" sqref="A2:A10000" xr:uid="{00000000-0002-0000-0200-000000000000}">
      <formula1>$F$1:$F$2</formula1>
    </dataValidation>
  </dataValidations>
  <pageMargins left="0.4" right="0.4" top="0.75" bottom="1" header="0.5" footer="0.75"/>
  <pageSetup paperSize="9" orientation="landscape"/>
  <headerFooter>
    <oddHeader>&amp;CKalkulation - PM2300085&amp;R&amp;D</oddHeader>
    <oddFooter>&amp;LDangl.AVA.Converter www.dangl-it.com V2.28.9 ©2026&amp;R&amp;P/&amp;N</oddFooter>
    <evenHeader>&amp;CKalkulation - PM2300085&amp;R&amp;D</evenHeader>
    <evenFooter>&amp;LDangl.AVA.Converter www.dangl-it.com V2.28.9 ©2026&amp;R&amp;P/&amp;N</evenFooter>
    <firstHeader>&amp;CKalkulation - PM2300085&amp;R&amp;D</firstHeader>
    <firstFooter>&amp;LDangl.AVA.Converter www.dangl-it.com V2.28.9 ©2026&amp;R&amp;P/&amp;N</firstFooter>
  </headerFooter>
  <extLst>
    <ext xmlns:x14="http://schemas.microsoft.com/office/spreadsheetml/2009/9/main" uri="{78C0D931-6437-407d-A8EE-F0AAD7539E65}">
      <x14:conditionalFormattings>
        <x14:conditionalFormatting xmlns:xm="http://schemas.microsoft.com/office/excel/2006/main">
          <x14:cfRule type="expression" priority="1" id="{00000000-000E-0000-0200-000001000000}">
            <xm:f>AND(NOT(ISBLANK(A2)),SUMPRODUCT((PM2300085!$B$4:$B$13=A2)*1)&lt;1)</xm:f>
            <x14:dxf>
              <fill>
                <patternFill patternType="solid">
                  <fgColor auto="1"/>
                  <bgColor rgb="FFFFC7CE"/>
                </patternFill>
              </fill>
            </x14:dxf>
          </x14:cfRule>
          <xm:sqref>A2:A1000000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Projektinfo!$B$3:$B$3</xm:f>
          </x14:formula1>
          <xm:sqref>C2:C10000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baseColWidth="10" defaultColWidth="9.140625" defaultRowHeight="15" x14ac:dyDescent="0.25"/>
  <cols>
    <col min="1" max="1" width="120.7109375" customWidth="1"/>
  </cols>
  <sheetData>
    <row r="1" spans="1:2" x14ac:dyDescent="0.25">
      <c r="A1" t="s">
        <v>49</v>
      </c>
      <c r="B1">
        <v>2</v>
      </c>
    </row>
    <row r="2" spans="1:2" x14ac:dyDescent="0.25">
      <c r="A2" t="s">
        <v>50</v>
      </c>
      <c r="B2">
        <v>0</v>
      </c>
    </row>
    <row r="3" spans="1:2" x14ac:dyDescent="0.25">
      <c r="A3" t="s">
        <v>57</v>
      </c>
    </row>
    <row r="4" spans="1:2" x14ac:dyDescent="0.25">
      <c r="A4" t="s">
        <v>51</v>
      </c>
      <c r="B4" t="s">
        <v>52</v>
      </c>
    </row>
    <row r="5" spans="1:2" x14ac:dyDescent="0.25">
      <c r="A5" t="s">
        <v>53</v>
      </c>
      <c r="B5" t="s">
        <v>54</v>
      </c>
    </row>
    <row r="6" spans="1:2" x14ac:dyDescent="0.25">
      <c r="A6" t="s">
        <v>55</v>
      </c>
      <c r="B6" t="s">
        <v>56</v>
      </c>
    </row>
    <row r="7" spans="1:2" x14ac:dyDescent="0.25">
      <c r="A7" t="s">
        <v>59</v>
      </c>
    </row>
    <row r="8" spans="1:2" x14ac:dyDescent="0.25">
      <c r="A8" t="s">
        <v>58</v>
      </c>
    </row>
    <row r="9" spans="1:2" x14ac:dyDescent="0.25">
      <c r="A9" t="s">
        <v>60</v>
      </c>
      <c r="B9" s="23">
        <v>46031.768393032398</v>
      </c>
    </row>
    <row r="11" spans="1:2" x14ac:dyDescent="0.25">
      <c r="A11" t="s">
        <v>61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PM2300085</vt:lpstr>
      <vt:lpstr>Projektinfo</vt:lpstr>
      <vt:lpstr>Kalkulation</vt:lpstr>
      <vt:lpstr>PM2300085!Drucktitel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GAEB Projekt PM2300085</dc:title>
  <dc:subject>GAEB Projekt PM2300085</dc:subject>
  <dc:creator>Dangl.AVA.Converter www.dangl-it.com V2.28.9 ©2026</dc:creator>
  <cp:keywords>GAEB Dangl AVA</cp:keywords>
  <dc:description>Diese Datei wurde automatisch vom GAEB Format nach MS Excel konvertiert</dc:description>
  <cp:lastModifiedBy>Mohamed Senhaby</cp:lastModifiedBy>
  <dcterms:created xsi:type="dcterms:W3CDTF">2026-01-09T18:26:29Z</dcterms:created>
  <dcterms:modified xsi:type="dcterms:W3CDTF">2026-01-10T21:31:56Z</dcterms:modified>
  <cp:category>GAEB Export</cp:category>
  <cp:contentStatus>Exportiert</cp:contentStatus>
</cp:coreProperties>
</file>